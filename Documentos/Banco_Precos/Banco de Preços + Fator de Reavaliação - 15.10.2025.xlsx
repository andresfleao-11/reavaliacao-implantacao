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Meu Drive\CLIENTES\CJF\4 - REAVALIAÇÃO\PLANILHAS - IMPORTAÇÃO\Fator de Reavaliação\"/>
    </mc:Choice>
  </mc:AlternateContent>
  <xr:revisionPtr revIDLastSave="0" documentId="13_ncr:1_{93853483-A9F1-4717-A912-E726AD895604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Reavaliação" sheetId="1" r:id="rId1"/>
    <sheet name="Parametros" sheetId="2" state="hidden" r:id="rId2"/>
    <sheet name="Contas" sheetId="3" state="hidden" r:id="rId3"/>
    <sheet name="Cotações" sheetId="4" r:id="rId4"/>
    <sheet name="Planilha1" sheetId="5" r:id="rId5"/>
  </sheets>
  <definedNames>
    <definedName name="BD">Tabela2[]</definedName>
    <definedName name="contas">Contas!$A$1:$D$36</definedName>
    <definedName name="cotacao">Tabela2[CÓDIGO]</definedName>
    <definedName name="Fisico">Parametros!$A$2:$B$4</definedName>
    <definedName name="PU" localSheetId="1">Parametros!$A$7:$B$16</definedName>
    <definedName name="VUF" localSheetId="1">Parametros!$A$20:$B$20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E10" i="1"/>
  <c r="F9" i="1"/>
  <c r="D9" i="1"/>
  <c r="C10" i="1" s="1"/>
  <c r="B9" i="1"/>
  <c r="A10" i="1" s="1"/>
  <c r="G4" i="1"/>
  <c r="H2" i="1"/>
  <c r="E11" i="1" l="1"/>
  <c r="H3" i="1" s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B10" authorId="0" shapeId="0" xr:uid="{00000000-0006-0000-0200-000001000000}">
      <text>
        <r>
          <rPr>
            <sz val="10"/>
            <rFont val="Arial"/>
            <family val="2"/>
          </rPr>
          <t xml:space="preserve">Luciano:
</t>
        </r>
        <r>
          <rPr>
            <sz val="9"/>
            <color rgb="FF000000"/>
            <rFont val="Segoe UI"/>
            <family val="2"/>
            <charset val="1"/>
          </rPr>
          <t>O subelemento de despesas do FIP062 é o 13 - MÁQUINAS E EQUIPAMENTOS AGRÍCOLAS E
RODOVIÁRIOS</t>
        </r>
      </text>
    </comment>
  </commentList>
</comments>
</file>

<file path=xl/sharedStrings.xml><?xml version="1.0" encoding="utf-8"?>
<sst xmlns="http://schemas.openxmlformats.org/spreadsheetml/2006/main" count="2929" uniqueCount="1311">
  <si>
    <t>CÁLCULO PARA REAVALIAÇÃO DE BENS</t>
  </si>
  <si>
    <t>FATOR DE REAVALIAÇÃO DO BEM</t>
  </si>
  <si>
    <t>VALOR MÉDIO DE MERCADO</t>
  </si>
  <si>
    <t>ESTADO DE CONSERVAÇÃO (EC):</t>
  </si>
  <si>
    <t>BOM</t>
  </si>
  <si>
    <t>VALOR PARA REAVALIAÇÃO:</t>
  </si>
  <si>
    <t>PERÍODO DE UTILIZAÇÃO (PU) - ANO:</t>
  </si>
  <si>
    <t>VIDA ÚTIL FUTURA (VUF) - ANO:</t>
  </si>
  <si>
    <t>FÓRMULA: (4 x EC) + (6 x PU) - (3 x VUF)</t>
  </si>
  <si>
    <t>A vida útil futura dos materiais deverá ser definida com o cliente já no início do projeto.</t>
  </si>
  <si>
    <t>EC</t>
  </si>
  <si>
    <t>PU</t>
  </si>
  <si>
    <t>VUF</t>
  </si>
  <si>
    <t>PERCENTUAL DE REAVALIAÇÃO</t>
  </si>
  <si>
    <t>FATOR DE INFLUÊNCIA</t>
  </si>
  <si>
    <t>Estado de Conservação</t>
  </si>
  <si>
    <t>Período Utilizado</t>
  </si>
  <si>
    <t>Vida Útil Futura</t>
  </si>
  <si>
    <t>Conceito</t>
  </si>
  <si>
    <t>Pontuação</t>
  </si>
  <si>
    <t>Bom</t>
  </si>
  <si>
    <t>10 Anos</t>
  </si>
  <si>
    <t>04 Anos</t>
  </si>
  <si>
    <t>Regular</t>
  </si>
  <si>
    <t>09 Anos</t>
  </si>
  <si>
    <t>Ruim</t>
  </si>
  <si>
    <t>08 Anos</t>
  </si>
  <si>
    <t>07 Anos</t>
  </si>
  <si>
    <t>06 Anos</t>
  </si>
  <si>
    <t>05 Anos</t>
  </si>
  <si>
    <t>03 Anos</t>
  </si>
  <si>
    <t>02 Anos</t>
  </si>
  <si>
    <t>01 Anos</t>
  </si>
  <si>
    <t>ESTADO FÍSICO</t>
  </si>
  <si>
    <t>PONTOS</t>
  </si>
  <si>
    <t>REGULAR</t>
  </si>
  <si>
    <t>RUIM</t>
  </si>
  <si>
    <t>ANOS</t>
  </si>
  <si>
    <t>CODIGO</t>
  </si>
  <si>
    <t>NOME</t>
  </si>
  <si>
    <t>VIDA UTIL</t>
  </si>
  <si>
    <t>V. RESIDUAL %</t>
  </si>
  <si>
    <t>AERONAVES</t>
  </si>
  <si>
    <t>APARELHOS DE MEDICAO E ORIENTACAO</t>
  </si>
  <si>
    <t>APARELHOS E EQUIPAMENTOS DE COMUNICACAO</t>
  </si>
  <si>
    <t>AP./EQUIP/UTENS.MEDICO/ODONT./LAB. E HOSPITALARES</t>
  </si>
  <si>
    <t>APARELHOS E EQUIPAMENTOS P/ESPORTES DIVERSOES</t>
  </si>
  <si>
    <t>APARELHOS E UTENSILIOS DOMESTICOS</t>
  </si>
  <si>
    <t>ARMAMENTOS</t>
  </si>
  <si>
    <t>COLECOES E MATERIAIS BIBLIOGRAFICOS</t>
  </si>
  <si>
    <t>MAQUINAS E IMPLEMENTOS PARA AGRICULTURA E OBRAS</t>
  </si>
  <si>
    <t>EQUIPAMENTOS DE MANOBRA E PATRULHA</t>
  </si>
  <si>
    <t>EQUIP. DE PROT. SEGURANCA, SOCORRO E SOBREVIVENCIA</t>
  </si>
  <si>
    <t>INST. MUSICAIS E EQUIP. DE SOM DE USO DOMESTICO</t>
  </si>
  <si>
    <t>MAQUINAS, APARELHOS E EQUIP. DE USO INDUSTRIAL</t>
  </si>
  <si>
    <t>MAQUINAS, APARELHOS E EQUIP. ENERGETICOS</t>
  </si>
  <si>
    <t>MAQUINAS, APARELHOS E EQUIPAMENTOS GRAFICOS</t>
  </si>
  <si>
    <t>MAQUINAS, UTENSILIOS E EQUIPAMENTOS DIVERSOS</t>
  </si>
  <si>
    <t>MAQUINAS, APARELHOS E UTENSILIOS DE ESCRITORIOS</t>
  </si>
  <si>
    <t>MAQUINAS, FERRAMENTAS E UTENSILIOS DE OFICINA</t>
  </si>
  <si>
    <t>MOBILIARIO EM GERAL</t>
  </si>
  <si>
    <t>SEMOVENTES E EQUIP DE MONTARIAS</t>
  </si>
  <si>
    <t>VEICULOS DIVERSOS</t>
  </si>
  <si>
    <t>EQUIPAMENTO DE PROCESSAMENTO DE DADOS</t>
  </si>
  <si>
    <t>EQUIP., PECAS E ACESSORIOS AERON. E PROTECAO DE VOO</t>
  </si>
  <si>
    <t>ACESSORIOS PARA AUTOMOVEIS</t>
  </si>
  <si>
    <t>EQUIPAMENTOS PARA AUDIO, VIDEO E FOTO</t>
  </si>
  <si>
    <t>EQUIP. P/REFRIGERACAO, CIRCULACAO E CONDICIONAMENTO DE AR</t>
  </si>
  <si>
    <t>EQUIP. DE INSTALACOES HIDRAULICAS E ELETRICAS</t>
  </si>
  <si>
    <t>PECAS NAO INCORPORAVEIS A IMOVEIS</t>
  </si>
  <si>
    <t>EMBARCACOES</t>
  </si>
  <si>
    <t>EQUIP. P/ IMPLEMENTACAO DE PROJETOS DE AGRONEGOCIO</t>
  </si>
  <si>
    <t>VEICULOS DE TRACAO MECANICA</t>
  </si>
  <si>
    <t>CARROS DE COMBATE</t>
  </si>
  <si>
    <t>EQUIPAMENTOS DE MERGULHO E SALVAMENTO</t>
  </si>
  <si>
    <t>EQUIPAMENTOS, PECAS E ACESSORIOS MARITIMOS</t>
  </si>
  <si>
    <t>EQUIPAMENTOS E SISTEMAS DE PROTECAO E VIGILANCIA AMBIENTAL</t>
  </si>
  <si>
    <t>CÓDIGO</t>
  </si>
  <si>
    <t>MATERIAL</t>
  </si>
  <si>
    <t>CARACTERÍSTICAS</t>
  </si>
  <si>
    <t>VL_MERCADO</t>
  </si>
  <si>
    <t>FLIP CHART EM MADEIRA</t>
  </si>
  <si>
    <t>QUADRO BRANCO</t>
  </si>
  <si>
    <t>CALCULADORA CIENTIFICA</t>
  </si>
  <si>
    <t>REGULADOR DE PRESSAO PARA CILINDRO</t>
  </si>
  <si>
    <t xml:space="preserve"> ARQUIVO EM AÇO			
			</t>
  </si>
  <si>
    <t>RADIO GRAVADOR</t>
  </si>
  <si>
    <t>BOOMBOX</t>
  </si>
  <si>
    <t xml:space="preserve">FLASH PARA CAMERA FOTOGRAFICA			
			</t>
  </si>
  <si>
    <t>APARELHO ESTETOSCOPIO</t>
  </si>
  <si>
    <t>APARELHO DE TESTE DE CONECTIVIDADE</t>
  </si>
  <si>
    <t>KIT MICROFONE .</t>
  </si>
  <si>
    <t>CARRO ELEVADOR</t>
  </si>
  <si>
    <t>PRENSA FOTOLITOGRAFICA</t>
  </si>
  <si>
    <t>IMPRESSORA OFF SET</t>
  </si>
  <si>
    <t>MÁQUINA PICOTADEIRA</t>
  </si>
  <si>
    <t>Cotar pelo IPCA</t>
  </si>
  <si>
    <t>MAQUINA PARA CORTAR E REFILAR BOBINA</t>
  </si>
  <si>
    <t xml:space="preserve"> MAQUINA POLICORTE			
</t>
  </si>
  <si>
    <t>SERRA CIRCULAR DE BANCADA</t>
  </si>
  <si>
    <t>MAZUTTI</t>
  </si>
  <si>
    <t>TARRACHA 1/2 A 2" DE CATRACA</t>
  </si>
  <si>
    <t>SERRA DE ESQUADRIA</t>
  </si>
  <si>
    <t xml:space="preserve">CONJUNTO PARA TELEPROMPTER			
			</t>
  </si>
  <si>
    <t>CARREGADOR DE BATERIA PARA VEICULO</t>
  </si>
  <si>
    <t>TACOMETRO FOTO DIGITAL</t>
  </si>
  <si>
    <t>TANQUE PARA CHAPA DE REVELACAO</t>
  </si>
  <si>
    <t>MEDIDOR DE ATERRAMENTO</t>
  </si>
  <si>
    <t>SOPRADOR TERMICO</t>
  </si>
  <si>
    <t>MALETA PARA TRANSPORTE DE PROCESSO</t>
  </si>
  <si>
    <t xml:space="preserve">ENCERADEIRA INDUSTRIAL </t>
  </si>
  <si>
    <t xml:space="preserve">BOTIJAO . </t>
  </si>
  <si>
    <t xml:space="preserve">GRAMPEADOR DE MESA SEMIINDUSTRIAL </t>
  </si>
  <si>
    <t>GUILHOTINA PARA ESCRITORIO</t>
  </si>
  <si>
    <t>RADIO AM / FM</t>
  </si>
  <si>
    <t>APARELHO DE VIDEO CASSETE</t>
  </si>
  <si>
    <t>(DVD - BLU-RAY)</t>
  </si>
  <si>
    <t>EXTRATOR DE SUCO TIPO INDUSTRIAL</t>
  </si>
  <si>
    <t>0,25 CV</t>
  </si>
  <si>
    <t xml:space="preserve">CALCULADORA ELETRONICA    </t>
  </si>
  <si>
    <t>MAQUINA DE ESCREVER ELETRONICA</t>
  </si>
  <si>
    <t>TAPETE COMUM LISO</t>
  </si>
  <si>
    <t xml:space="preserve">FERRO DE PASSAR ROUPA			
			</t>
  </si>
  <si>
    <t>FOGAO TIPO INDUSTRIAL</t>
  </si>
  <si>
    <t>(04 QUEIMADORES)</t>
  </si>
  <si>
    <t>BATEDEIRA DE BOLO TIPO DOMESTICA</t>
  </si>
  <si>
    <t>BALCAO EM MADEIRA</t>
  </si>
  <si>
    <t xml:space="preserve">QUADRO DE AVISO			
			</t>
  </si>
  <si>
    <t>GAVETEIRO VOLANTE</t>
  </si>
  <si>
    <t>3 GAVETAS 
MEDIDA: 0,66 X 0,40 X 0,49 M</t>
  </si>
  <si>
    <t xml:space="preserve">POLTRONA PARA AUDITORIO                        
</t>
  </si>
  <si>
    <t>SERVIDOR PARA PROCESSAMENTO DE DADOS</t>
  </si>
  <si>
    <t>BALANCA DE PRECISAO ELETRONICA</t>
  </si>
  <si>
    <t>05 KG</t>
  </si>
  <si>
    <t>BALANCA ANTROPOMETRICA</t>
  </si>
  <si>
    <t>200 KG</t>
  </si>
  <si>
    <t xml:space="preserve">REFLETOR </t>
  </si>
  <si>
    <t>TIPO FRESNE</t>
  </si>
  <si>
    <t>TELA DE PROJEÇÃO - ELETRICA</t>
  </si>
  <si>
    <t>SUPORTE PARA SORO</t>
  </si>
  <si>
    <t>CARRINHO PARA CURATIVO</t>
  </si>
  <si>
    <t>ALICATE AMPERIMETRO DIGITAL</t>
  </si>
  <si>
    <t>1000V</t>
  </si>
  <si>
    <t>MEDIDOR DE DISTANCIA A LASER</t>
  </si>
  <si>
    <t>80M</t>
  </si>
  <si>
    <t>MULTIMETRO DIGITAL</t>
  </si>
  <si>
    <t>600v</t>
  </si>
  <si>
    <t>TAMBOR PARA CURATIVO</t>
  </si>
  <si>
    <t xml:space="preserve">PINCA HEMOSTATICA RETA KELLY			
			</t>
  </si>
  <si>
    <t>PINCA HEMOSTATICA CURVA KELLY</t>
  </si>
  <si>
    <t xml:space="preserve">PINCA MICRO DENTE DE RATO CURVA			
			</t>
  </si>
  <si>
    <t>AUTOCLAVE ODONTOLOGICO</t>
  </si>
  <si>
    <t xml:space="preserve">APARELHO GLICOSIMETRO			
			</t>
  </si>
  <si>
    <t>APARELHO LARINGOSCOPIO</t>
  </si>
  <si>
    <t>NO BREAK</t>
  </si>
  <si>
    <t>6 KVA</t>
  </si>
  <si>
    <t>LUMINARIA DE PEDESTAL</t>
  </si>
  <si>
    <t>CANCELA AUTOMATICA</t>
  </si>
  <si>
    <t>BARREIRA DE 3 A 5 MTS</t>
  </si>
  <si>
    <t>APARELHO DE SOM</t>
  </si>
  <si>
    <t>MINI SYSTEM</t>
  </si>
  <si>
    <t>MICROFONE.</t>
  </si>
  <si>
    <t>RADIO TRANSCEPTOR PORTATIL</t>
  </si>
  <si>
    <t>MACACO HIDRAULICO TIPO JACARE</t>
  </si>
  <si>
    <t>2 TONELADA</t>
  </si>
  <si>
    <t>LIXADEIRA DE FITA PROFISSIONAL</t>
  </si>
  <si>
    <t>ESCADA DE ABRIR</t>
  </si>
  <si>
    <t>EXTINTOR DE INCENDIO CO2</t>
  </si>
  <si>
    <t>EXTINTOR DE INCENDIO PQS</t>
  </si>
  <si>
    <t>CALIBRADOR DE PNEUS</t>
  </si>
  <si>
    <t>ELEVADOR PARA VEICULOS</t>
  </si>
  <si>
    <t xml:space="preserve"> APARADOR DE GRAMA ELETRICO</t>
  </si>
  <si>
    <t xml:space="preserve">CARRINHO TIPO PALLET                     </t>
  </si>
  <si>
    <t>TALHA .</t>
  </si>
  <si>
    <t>KOCH 5T</t>
  </si>
  <si>
    <t>BEBEDOURO DE AGUA TIPO GARRAFAO</t>
  </si>
  <si>
    <t xml:space="preserve">COMPRESSOR HELMETICO			
			</t>
  </si>
  <si>
    <t xml:space="preserve">CIRCULADOR DE AR  </t>
  </si>
  <si>
    <t>130W</t>
  </si>
  <si>
    <t>GRAVADORA DE CD INTERNA</t>
  </si>
  <si>
    <t>ENCADERNADORA MANUAL PARA ESPIRAL</t>
  </si>
  <si>
    <t>GRAMPEADORA INDUSTRIAL PARA TIPOGRAFIA</t>
  </si>
  <si>
    <t>CANTEADORA PARA PAPEL</t>
  </si>
  <si>
    <t>BALANCA PARA CORRESPONDENCIA</t>
  </si>
  <si>
    <t>SERRA POLICORTE</t>
  </si>
  <si>
    <t>PRENSA HIDRAULICA</t>
  </si>
  <si>
    <t>LAVADORA DE ROUPA</t>
  </si>
  <si>
    <t>AMBULANCIA</t>
  </si>
  <si>
    <t>SPRINTER 312D – 2000</t>
  </si>
  <si>
    <t>FURGAO</t>
  </si>
  <si>
    <t>SPRINTER 312D –  2001</t>
  </si>
  <si>
    <t xml:space="preserve">MOTO-SERRA PARA MADEIRA   
   </t>
  </si>
  <si>
    <t>SERRA DE FITA</t>
  </si>
  <si>
    <t>TORNO DE BANCADA PARA MADEIRA</t>
  </si>
  <si>
    <t>MOTO ESMERIL DE BANCADA</t>
  </si>
  <si>
    <t xml:space="preserve">GAVETEIRO FIXO                        
                        </t>
  </si>
  <si>
    <t>CILINDRO PARA OXIGENIO</t>
  </si>
  <si>
    <t>10/15 LITROS</t>
  </si>
  <si>
    <t>CARRINHO PARA PROCESSO</t>
  </si>
  <si>
    <t>CAMERA POLICROMATICA</t>
  </si>
  <si>
    <t>IP AXIS M3004-V.</t>
  </si>
  <si>
    <t xml:space="preserve">SUPORTE PARA BOBINA DE PAPEL                        
                        </t>
  </si>
  <si>
    <t>ANEMOMETRO DIGITAL</t>
  </si>
  <si>
    <t>MDA 10 A</t>
  </si>
  <si>
    <t>CAVALETE PARA VEICULO</t>
  </si>
  <si>
    <t>MICROFONE DE MESA GOOSENECK</t>
  </si>
  <si>
    <t>TELA ELETRICA,  DE PROJECAO RETRATIL</t>
  </si>
  <si>
    <t>CARRINHO .</t>
  </si>
  <si>
    <t>Tipo armazem, capacidade de 400kg</t>
  </si>
  <si>
    <t xml:space="preserve">PARAFUSADEIRA (TEKS)   
   </t>
  </si>
  <si>
    <t xml:space="preserve">TESTADOR DE CABOS UTP-STP E COAXIL			
			</t>
  </si>
  <si>
    <t xml:space="preserve">PENTA SCANNER </t>
  </si>
  <si>
    <t>MEDIDOR DE QUALIDADE DE ENERGIA</t>
  </si>
  <si>
    <t>COLETOR DE DADOS</t>
  </si>
  <si>
    <t>COMPEX CPX 8000</t>
  </si>
  <si>
    <t>PORTA-BOLSAS EM MDF</t>
  </si>
  <si>
    <t>CATRACA ELETRÔNICA</t>
  </si>
  <si>
    <t>COFRE HBD - 60</t>
  </si>
  <si>
    <t xml:space="preserve">PORTA .                       </t>
  </si>
  <si>
    <t xml:space="preserve">ESTACAO DE TRABALHO                        
                        </t>
  </si>
  <si>
    <t>IMPRESSORA DE CRACHA E CARTAO</t>
  </si>
  <si>
    <t>PROTOCOLADORA ELETRONICA MÓVEL, RELOGIO DATADOR , NUMERADOR</t>
  </si>
  <si>
    <t xml:space="preserve">IMPRESSORA TIPO PLOTTER </t>
  </si>
  <si>
    <t>LOUSA INTERATIVA SMART BOARD SB 640</t>
  </si>
  <si>
    <t>APARELHO TELEFONICO ANALÓGICO</t>
  </si>
  <si>
    <t xml:space="preserve">PAINEL FRONTAL DIVISORIA EM MDF
                        </t>
  </si>
  <si>
    <t xml:space="preserve">SOLUÇÃO CODEC DE
VIDEOCONFERÊNCIA </t>
  </si>
  <si>
    <t xml:space="preserve">MICROFONE DE LAPELA			
			</t>
  </si>
  <si>
    <t>ESMERILHADEIRA ANGULAR</t>
  </si>
  <si>
    <t>SERRA MÁRMORE 4</t>
  </si>
  <si>
    <t>3/8"</t>
  </si>
  <si>
    <t>ESMERILHADEIRA DE SINTA  COM COLETOR DE PÓ</t>
  </si>
  <si>
    <t>SWITCH ACESSO</t>
  </si>
  <si>
    <t>(modelo 9200)</t>
  </si>
  <si>
    <t>APARELHO DE PRESSÃO DE EMERGÊNCIA</t>
  </si>
  <si>
    <t>REANIMADOR MANUAL(AMBU)</t>
  </si>
  <si>
    <t>LAVADORA</t>
  </si>
  <si>
    <t xml:space="preserve">CONTAINER PARA LIXO </t>
  </si>
  <si>
    <t>1000L</t>
  </si>
  <si>
    <t>CONTAINER PARA LIXO</t>
  </si>
  <si>
    <t>360L</t>
  </si>
  <si>
    <t>CARRO ARMAZÉM .</t>
  </si>
  <si>
    <t>CARRINHO PARA TRANSPORTE DE LIXO</t>
  </si>
  <si>
    <t>LAVADORA E SECADORA DE PISO .</t>
  </si>
  <si>
    <t>POLIDORA DE MÁRMORE E GRANIDO PROFISSIONAL</t>
  </si>
  <si>
    <t>BEBEDOUROS REFRIGERADORES.</t>
  </si>
  <si>
    <t>SANDUICHEIRA INDUSTRIAL COM CHAPA E PRENSA .</t>
  </si>
  <si>
    <t>CROYDON CHAPA LISA</t>
  </si>
  <si>
    <t>ELETROCARDIÓGRAFO</t>
  </si>
  <si>
    <t>ESCADA DE DOIS DEGRAUS</t>
  </si>
  <si>
    <t>CAMA HOSPITALAR</t>
  </si>
  <si>
    <t>APARELHO TELEFONICO IP BÁSICO</t>
  </si>
  <si>
    <t>TELA DE PROJEÇÃO RETRÁTIL</t>
  </si>
  <si>
    <t xml:space="preserve">IMPRESSORA TÉRMICA                       </t>
  </si>
  <si>
    <t>ESFIGMOMANÔMETRO ANERÓIDE</t>
  </si>
  <si>
    <t>PALETEIRA MANUAL</t>
  </si>
  <si>
    <t>CREDENZA</t>
  </si>
  <si>
    <t xml:space="preserve">APARADOR DE CERCA VIVA ..			
			</t>
  </si>
  <si>
    <t>SERRA (KIT SERRA TICO TICO)</t>
  </si>
  <si>
    <t xml:space="preserve">DIMMERBOX  </t>
  </si>
  <si>
    <t xml:space="preserve">MESA DE COMANDO                        </t>
  </si>
  <si>
    <t>IMPRESSORA MODELO XEROX</t>
  </si>
  <si>
    <t>CARRINHO DOBRÁVEL EM ALUMÍNIO</t>
  </si>
  <si>
    <t>CARRINHO PLATAFORMA EM ALUMÍNIO</t>
  </si>
  <si>
    <t>CARRINHO PARA TRANSPORTE DE ÁGUA</t>
  </si>
  <si>
    <t>CARRINHO HIDRAULICO PARA PALETEIRA</t>
  </si>
  <si>
    <t>LUMINARIA PARA ESTUDIOS</t>
  </si>
  <si>
    <t>TIPO ELIPSOIDAL</t>
  </si>
  <si>
    <t>PRANCHA DE RESGATE</t>
  </si>
  <si>
    <t>COLAR CERVICAL, CONFECCIONADO EM POLIPROPILENO.</t>
  </si>
  <si>
    <t xml:space="preserve">IMOBILIZADOR DE CABEÇA IMPERMEÁVEL                        
                        </t>
  </si>
  <si>
    <t xml:space="preserve">COLETE CERVICAL (TIPO KED)			
			</t>
  </si>
  <si>
    <t xml:space="preserve"> BOLSA DE EMERGENCIA</t>
  </si>
  <si>
    <t>MAQUINA FECHADORA ELÉTRICA</t>
  </si>
  <si>
    <t xml:space="preserve">LIXEIRA CILINDRICA			
			</t>
  </si>
  <si>
    <t>CONJUNTO DE LIXEIRA CILINDRICA</t>
  </si>
  <si>
    <t>CADEIRA FIXA</t>
  </si>
  <si>
    <t>EM TECIDO, ESPALDAR MÉDIO, SEM BRAÇO</t>
  </si>
  <si>
    <t>LUMINADOR DE LED</t>
  </si>
  <si>
    <t xml:space="preserve">MINI TRILHO . </t>
  </si>
  <si>
    <t>CAFETEIRA ELETRICA .</t>
  </si>
  <si>
    <t>SCANNER DE PAREDE</t>
  </si>
  <si>
    <t>KIT</t>
  </si>
  <si>
    <t>PARAFUSADEIRA + FURADEIRA DE IMPACTO</t>
  </si>
  <si>
    <t>TUPIA DE COLUNA</t>
  </si>
  <si>
    <t>PISTA DE ROLETE</t>
  </si>
  <si>
    <t>COLADEIRA</t>
  </si>
  <si>
    <t>CONVERSOR .</t>
  </si>
  <si>
    <t>MÁQUINA SELADORA/EMPACOTADORA</t>
  </si>
  <si>
    <t>CENTRAL CONTROLADORA - Esperando definir nomenclatura</t>
  </si>
  <si>
    <t>SUBWOOFER ATIVO</t>
  </si>
  <si>
    <t xml:space="preserve">MACA                         
                        </t>
  </si>
  <si>
    <t>NIVELADOR</t>
  </si>
  <si>
    <t xml:space="preserve">SMARTPHONE 			
			</t>
  </si>
  <si>
    <t>MOTOROLA G73</t>
  </si>
  <si>
    <t>BALANCA PESADORA</t>
  </si>
  <si>
    <t>ATÉ 30 KG</t>
  </si>
  <si>
    <t>CARREGADOR DE BATERIA</t>
  </si>
  <si>
    <t>CARRINHO PARA CARREGAR MATERIAL DE LIMPEZA</t>
  </si>
  <si>
    <t xml:space="preserve">COLCHÃO                        </t>
  </si>
  <si>
    <t>ESGUICHO .</t>
  </si>
  <si>
    <t>MESA DIGITALIZADORA  - TAMANHO A3 PARA SCANNER</t>
  </si>
  <si>
    <t xml:space="preserve">COLETOR DE MESA - BIOMINI, SUPREMA. (COM INSTALAÇÃO)			</t>
  </si>
  <si>
    <t xml:space="preserve">COLETOR BIOMETRICO, (COM INSTALAÇÃO)			
			</t>
  </si>
  <si>
    <t>CORTADOR DE GRAMA</t>
  </si>
  <si>
    <t xml:space="preserve">CORTADOR DE GRAMA A GASOLINA			
			</t>
  </si>
  <si>
    <t>DETECTOR DE METAL</t>
  </si>
  <si>
    <t xml:space="preserve">CONTROLE REMOTO DE CÂMERA                        </t>
  </si>
  <si>
    <t xml:space="preserve">DISTRIBUIDOR                       </t>
  </si>
  <si>
    <t>GRAVADOR DIGITAL</t>
  </si>
  <si>
    <t>SWITCHER .</t>
  </si>
  <si>
    <t>BLACKMAGIC (ATEM M/E BROADCAST)</t>
  </si>
  <si>
    <t xml:space="preserve">MISTURADOR DE VÍDEO			
			</t>
  </si>
  <si>
    <t>PORTAL DETECTOR DE METAL</t>
  </si>
  <si>
    <t>SCANNER - EQUIPAMENTO DE INSPEÇÃO POR RAIOS X</t>
  </si>
  <si>
    <t>VALOR ATUALIZADO PELO IPCA-BRASIL (FGV)</t>
  </si>
  <si>
    <t>APARELHO DE PRESSÃO DIGITAL</t>
  </si>
  <si>
    <t>TESOURA KELLY RETA 14CM</t>
  </si>
  <si>
    <t xml:space="preserve"> TESOURA KELLY CURVA 14CM			
			</t>
  </si>
  <si>
    <t>MONITOR HOSPITALAR</t>
  </si>
  <si>
    <t>SWITCH TOR TOPO DE RACK ITEM</t>
  </si>
  <si>
    <t>OTOSCOPIO MD</t>
  </si>
  <si>
    <t>SINALIZADOR EAGLE LIGHT</t>
  </si>
  <si>
    <t>IPCA</t>
  </si>
  <si>
    <t>LEITORA DE PROXIMIDADE</t>
  </si>
  <si>
    <t>DESFRIBILADOR CARDÍACO</t>
  </si>
  <si>
    <t xml:space="preserve">SUPORTE PARA HAMPER			
			</t>
  </si>
  <si>
    <t>POSTE BALIZADOR PUBLICO</t>
  </si>
  <si>
    <t>LUMINARIA LED PUBLICA 200W</t>
  </si>
  <si>
    <t xml:space="preserve"> ESMERILHADEIRA ANGULAR DE 4.1/2" 720W			
			</t>
  </si>
  <si>
    <t>FURADEIRA DE 3/8 450W</t>
  </si>
  <si>
    <t>MARTELETE COMBINADO SDS PLUS 830W</t>
  </si>
  <si>
    <t>SERRA CIRCULAR DE 7.1/4" 5800RPM 1800W</t>
  </si>
  <si>
    <t>PINADOR PNEUMATICO 15-50MM
18GA</t>
  </si>
  <si>
    <t>GRAMPEADOR PNEUMATICO</t>
  </si>
  <si>
    <t xml:space="preserve">TUPIA DE LAMINACAO </t>
  </si>
  <si>
    <t>530W 30000RPM</t>
  </si>
  <si>
    <t>SERRA ESQUADRIA 10 1650W</t>
  </si>
  <si>
    <t>DEWALT</t>
  </si>
  <si>
    <t xml:space="preserve">TUPIA DE MESA POT </t>
  </si>
  <si>
    <t xml:space="preserve"> 5CV</t>
  </si>
  <si>
    <t>1100W</t>
  </si>
  <si>
    <t xml:space="preserve">COMPRESSOR DE AR 20 PES 250L 76DB 5CV </t>
  </si>
  <si>
    <t>BETONEIRA .</t>
  </si>
  <si>
    <t xml:space="preserve">LIXADEIRA ORBITAL 1.6MM .			
			</t>
  </si>
  <si>
    <t>EQUIPAMENTO DE GERENCIAMENTO UNIFICADO DE AMEAÇAS UTM - UTM Fortinet FortiGate FG-101F</t>
  </si>
  <si>
    <t>VAPORIZADOR /HIGIENIZADOR</t>
  </si>
  <si>
    <t>ASPIRADOR DE SECREÇÃO PORTÁTIL</t>
  </si>
  <si>
    <t>CARRINHO PARA CHA/CAFÉ</t>
  </si>
  <si>
    <t xml:space="preserve">WEB CAM			
			</t>
  </si>
  <si>
    <t>COTADA COM SEMELHANTES</t>
  </si>
  <si>
    <t xml:space="preserve">CARDIOVERSOR </t>
  </si>
  <si>
    <t>ALGEMA DE PULSO</t>
  </si>
  <si>
    <t>FREEZER HORIZONTAL</t>
  </si>
  <si>
    <t xml:space="preserve">CÂMERA DE VIDEOCONFERÊNCIA			
			</t>
  </si>
  <si>
    <t xml:space="preserve">MICROFONE DE EXPANSÃO			
			</t>
  </si>
  <si>
    <t>POLTRONA RECLINÁVEL</t>
  </si>
  <si>
    <t>ESPREMEDOR DE LARANJA</t>
  </si>
  <si>
    <t xml:space="preserve">ESTRADO .                        </t>
  </si>
  <si>
    <t xml:space="preserve"> COMPUTADOR WORKSTATION </t>
  </si>
  <si>
    <t>DELL Precision 5820</t>
  </si>
  <si>
    <t xml:space="preserve">CAMERA PROFISSIONAL                        </t>
  </si>
  <si>
    <t>FREEZER VERTICAL</t>
  </si>
  <si>
    <t>CAIXA DE SOM SUBWOOFER 2.1</t>
  </si>
  <si>
    <t>ARMARIO ESTANTE EM MADEIRA</t>
  </si>
  <si>
    <t xml:space="preserve">PARAFUSADEIRA E FURADEIRA DE IMPACTO .                        
</t>
  </si>
  <si>
    <t>PARAFUSADEIRA DRYWALL .</t>
  </si>
  <si>
    <t>ENCADERNADORA PERFURADORA ELÉTRICA</t>
  </si>
  <si>
    <t xml:space="preserve">PAR DE ANTENAS + CENTRAL ANTIFURTO                        </t>
  </si>
  <si>
    <t>100002248.1</t>
  </si>
  <si>
    <t>FILMADORA DE VIDEO</t>
  </si>
  <si>
    <t>100002248.2</t>
  </si>
  <si>
    <t xml:space="preserve">FILMADORA DE VIDEO			
			</t>
  </si>
  <si>
    <t>SONY NEX-FS100N</t>
  </si>
  <si>
    <t>100002250.1</t>
  </si>
  <si>
    <t xml:space="preserve">MESA DE SOM DIGITAL			
			</t>
  </si>
  <si>
    <t>32 CANAIS</t>
  </si>
  <si>
    <t>100002250.2</t>
  </si>
  <si>
    <t>MESA DE SOM DIGITAL</t>
  </si>
  <si>
    <t xml:space="preserve">16 CANAIS </t>
  </si>
  <si>
    <t>100002274.1</t>
  </si>
  <si>
    <t>CARRINHO PARA TRANSPORTE DE LIVROS</t>
  </si>
  <si>
    <t>100002274.2</t>
  </si>
  <si>
    <t xml:space="preserve">CARRINHO PARA TRANSPORTE DE LIVROS                       </t>
  </si>
  <si>
    <t>100002319.1</t>
  </si>
  <si>
    <t xml:space="preserve">MESA DE RETOQUE                        </t>
  </si>
  <si>
    <t>100002319.2</t>
  </si>
  <si>
    <t>03 GAVETAS (FILME)</t>
  </si>
  <si>
    <t>100002333.1</t>
  </si>
  <si>
    <t>TUPIA INDUSTRIAL</t>
  </si>
  <si>
    <t>100002333.2</t>
  </si>
  <si>
    <t>DE BANCADA</t>
  </si>
  <si>
    <t>100002334.1</t>
  </si>
  <si>
    <t>DESENGROSSADEIRA INDUSTRIAL</t>
  </si>
  <si>
    <t>100002334.2</t>
  </si>
  <si>
    <t>01 face 400mm eixo redondo 04 facas, trifásico</t>
  </si>
  <si>
    <t>100002338.1</t>
  </si>
  <si>
    <t>MARTELETE PERFURADOR/ROMPEDOR</t>
  </si>
  <si>
    <t>BOSCH - MODELO SIMPLES</t>
  </si>
  <si>
    <t>100002338.2</t>
  </si>
  <si>
    <t xml:space="preserve">DEWALT POT. 900W, TENSÃO 220W </t>
  </si>
  <si>
    <t>100002338.3</t>
  </si>
  <si>
    <t>BOSCH GBH 2-24 DSE 1128</t>
  </si>
  <si>
    <t>100002338.4</t>
  </si>
  <si>
    <t>BOSCH GBH 11 DE, 3.170,00</t>
  </si>
  <si>
    <t>100002350.1</t>
  </si>
  <si>
    <t>PULVERIZADOR MANUAL</t>
  </si>
  <si>
    <t>MARCA: GUARANY</t>
  </si>
  <si>
    <t>100002350.2</t>
  </si>
  <si>
    <t>MARCA: LACTO</t>
  </si>
  <si>
    <t>100010069.1</t>
  </si>
  <si>
    <t>EXTRATOR DE SUCO TIPO DOMESTICO</t>
  </si>
  <si>
    <t>100010069.2</t>
  </si>
  <si>
    <t xml:space="preserve">EXTRATOR DE SUCO TIPO DOMESTICO                        </t>
  </si>
  <si>
    <t>100010073.1</t>
  </si>
  <si>
    <t xml:space="preserve">LIQUIDIFICADOR. </t>
  </si>
  <si>
    <t>INDUSTRIAL - 4 LITROS</t>
  </si>
  <si>
    <t>100010073.2</t>
  </si>
  <si>
    <t>RESIDENCIAL - 1 LITRO</t>
  </si>
  <si>
    <t>100010095.1</t>
  </si>
  <si>
    <t>FRAGMENTADORA PARA PAPEL</t>
  </si>
  <si>
    <t>(01) - SIMILAR</t>
  </si>
  <si>
    <t>100010095.2</t>
  </si>
  <si>
    <t>(02) - SIMILAR</t>
  </si>
  <si>
    <t>100010101.1</t>
  </si>
  <si>
    <t>PLASTIFICADORA</t>
  </si>
  <si>
    <t>(NW) - SIMILAR</t>
  </si>
  <si>
    <t>100010101.2</t>
  </si>
  <si>
    <t>(RICALL) - SIMILIAR</t>
  </si>
  <si>
    <t>100010123.1</t>
  </si>
  <si>
    <t>FOGAO TIPO RESIDENCIAL</t>
  </si>
  <si>
    <t>100010123.2</t>
  </si>
  <si>
    <t>100010124.1</t>
  </si>
  <si>
    <t>04 QUEIMADORES</t>
  </si>
  <si>
    <t>100010124.2</t>
  </si>
  <si>
    <t>06 QUEIMADORES</t>
  </si>
  <si>
    <t>100010125.1</t>
  </si>
  <si>
    <t xml:space="preserve">FOGÃO. </t>
  </si>
  <si>
    <t xml:space="preserve"> 06 BOCAS INDUSTRIAL</t>
  </si>
  <si>
    <t>100010125.2</t>
  </si>
  <si>
    <t>FOGÃO INDUSTRIAL</t>
  </si>
  <si>
    <t>100010127.1</t>
  </si>
  <si>
    <t>FORNO ELETRICO</t>
  </si>
  <si>
    <t xml:space="preserve"> 44 L</t>
  </si>
  <si>
    <t>100010127.2</t>
  </si>
  <si>
    <t xml:space="preserve"> 50 L</t>
  </si>
  <si>
    <t>100010138.1</t>
  </si>
  <si>
    <t>ARMARIO ALTO EM MADEIRA</t>
  </si>
  <si>
    <t>1,56 X 0,80 X 0,50 M</t>
  </si>
  <si>
    <t>100010138.2</t>
  </si>
  <si>
    <t xml:space="preserve">PORTA DE CORRER </t>
  </si>
  <si>
    <t>100010138.3</t>
  </si>
  <si>
    <t>2,08 X 1,00 X 0,60 M</t>
  </si>
  <si>
    <t>100010138.4</t>
  </si>
  <si>
    <t>2,10 X 0,85 X 0,50 M</t>
  </si>
  <si>
    <t>100010138.5</t>
  </si>
  <si>
    <t xml:space="preserve">ARMARIO ALTO EM MADEIRA            </t>
  </si>
  <si>
    <t>2 PORTAS (90X50X60CM)</t>
  </si>
  <si>
    <t>100010138.6</t>
  </si>
  <si>
    <t>2 PORTAS (2,08 X 1,00 X 0,60 M)</t>
  </si>
  <si>
    <t>100010138.7</t>
  </si>
  <si>
    <t>1 PORTA</t>
  </si>
  <si>
    <t>100010138.8</t>
  </si>
  <si>
    <t>4 PORTAS</t>
  </si>
  <si>
    <t>100010138.9</t>
  </si>
  <si>
    <t>10 PORTAS</t>
  </si>
  <si>
    <t>100010140.1</t>
  </si>
  <si>
    <t xml:space="preserve">ARMARIO BAIXO EM MADEIRA </t>
  </si>
  <si>
    <t xml:space="preserve">2 PORTAS </t>
  </si>
  <si>
    <t>100010140.2</t>
  </si>
  <si>
    <t>3 PORTAS</t>
  </si>
  <si>
    <t>100010140.3</t>
  </si>
  <si>
    <t xml:space="preserve">4 PORTAS EXECUTIVO </t>
  </si>
  <si>
    <t>100010140.4</t>
  </si>
  <si>
    <t xml:space="preserve">4 PORTAS </t>
  </si>
  <si>
    <t>100010140.5</t>
  </si>
  <si>
    <t xml:space="preserve">ARMARIO BAIXO EM MADEIRA - 3 PORTAS                        
                        </t>
  </si>
  <si>
    <t>100010140.6</t>
  </si>
  <si>
    <t xml:space="preserve">ARMARIO BAIXO EM MADEIRA - 4 PORTAS                        </t>
  </si>
  <si>
    <t>100010140.7</t>
  </si>
  <si>
    <t xml:space="preserve">ARMARIO BAIXO EM MADEIRA - 2 PORTAS                        </t>
  </si>
  <si>
    <t>100010146.1</t>
  </si>
  <si>
    <t>ESTANTE EM MADEIRA</t>
  </si>
  <si>
    <t>1,90 X 1,16 X 0,45 M</t>
  </si>
  <si>
    <t>100010146.2</t>
  </si>
  <si>
    <t>1,20 X 1,10 X 0,35 M</t>
  </si>
  <si>
    <t>100010146.3</t>
  </si>
  <si>
    <t>ESTANTE EM MADEIRA - 1,20 X 1,10 X 0,35 M</t>
  </si>
  <si>
    <t>100010146.4</t>
  </si>
  <si>
    <t>ESTANTE EM MADEIRA - 1,90 X 1,16 X 0,45 M</t>
  </si>
  <si>
    <t>100010146.5</t>
  </si>
  <si>
    <t>ESTANTE EM MADEIRA - 2,10 X 0,85 X 0,50 M</t>
  </si>
  <si>
    <t>100010150.1</t>
  </si>
  <si>
    <t>BANCADA DE TRABALHO .</t>
  </si>
  <si>
    <t>ABERTA</t>
  </si>
  <si>
    <t>100010150.2</t>
  </si>
  <si>
    <t>FECHADA, 04 PORTAS</t>
  </si>
  <si>
    <t>100010152.1</t>
  </si>
  <si>
    <t>BANCO DE ESPERA EM MADEIRA</t>
  </si>
  <si>
    <t>100010152.2</t>
  </si>
  <si>
    <t xml:space="preserve">BANCO DE ESPERA EM MADEIRA                        </t>
  </si>
  <si>
    <t>100010219.1</t>
  </si>
  <si>
    <t xml:space="preserve">ARMARIO ALTO EM METAL </t>
  </si>
  <si>
    <t>02 PORTAS</t>
  </si>
  <si>
    <t>100010219.2</t>
  </si>
  <si>
    <t>04 PORTAS</t>
  </si>
  <si>
    <t>100010219.3</t>
  </si>
  <si>
    <t>06 PORTAS</t>
  </si>
  <si>
    <t>100010219.4</t>
  </si>
  <si>
    <t xml:space="preserve">ARMARIO ALTO EM METAL - 02 PORTAS </t>
  </si>
  <si>
    <t>100010219.5</t>
  </si>
  <si>
    <t>ARMARIO ALTO EM METAL - 04 PORTAS</t>
  </si>
  <si>
    <t>100010219.6</t>
  </si>
  <si>
    <t>ARMARIO ALTO EM METAL - 06 PORTAS</t>
  </si>
  <si>
    <t>100010239.1</t>
  </si>
  <si>
    <t>COFRE EM ACO DE CHAO</t>
  </si>
  <si>
    <t>100010239.2</t>
  </si>
  <si>
    <t>LAMPERTZ</t>
  </si>
  <si>
    <t>100010250.1</t>
  </si>
  <si>
    <t>MESA PARA ESCRITORIO .</t>
  </si>
  <si>
    <t xml:space="preserve">COM GAVETEIRO </t>
  </si>
  <si>
    <t>100010250.2</t>
  </si>
  <si>
    <t xml:space="preserve">BIBLIOTECA </t>
  </si>
  <si>
    <t>100010250.3</t>
  </si>
  <si>
    <t>0,72 X 0,80 X 0,60 M</t>
  </si>
  <si>
    <t>100010250.4</t>
  </si>
  <si>
    <t>0,73 X 0,75 X 0,63 M</t>
  </si>
  <si>
    <t>100010291.1</t>
  </si>
  <si>
    <t>ARQUIVO EM MADEIRA</t>
  </si>
  <si>
    <t>CEREJEIRA
1,55 X 0,90 X 0,50 M</t>
  </si>
  <si>
    <t>100010291.2</t>
  </si>
  <si>
    <t xml:space="preserve">ARQUIVO EM MADEIRA                        </t>
  </si>
  <si>
    <t>100010332.1</t>
  </si>
  <si>
    <t>MESA DE CENTRO.</t>
  </si>
  <si>
    <t xml:space="preserve">TAMPO DE VIDRO </t>
  </si>
  <si>
    <t>100010332.2</t>
  </si>
  <si>
    <t>TAMPO DE VIDRO 42X60X60</t>
  </si>
  <si>
    <t>100010332.3</t>
  </si>
  <si>
    <t xml:space="preserve">EM MADEIRA </t>
  </si>
  <si>
    <t>100010332.4</t>
  </si>
  <si>
    <t xml:space="preserve">EM MADEIRA COR PRETA </t>
  </si>
  <si>
    <t>100010395.1</t>
  </si>
  <si>
    <t>MICROCOMPUTADOR PORTATIL NOTEBOOK - 3.406,70</t>
  </si>
  <si>
    <t>HP - ELITEBOOK 8440p</t>
  </si>
  <si>
    <t>100010395.2</t>
  </si>
  <si>
    <t>MICROCOMPUTADOR PORTATIL NOTEBOOK - 1.400,00</t>
  </si>
  <si>
    <t>HP - ELITEBOOK 8460p</t>
  </si>
  <si>
    <t>100010395.3</t>
  </si>
  <si>
    <t>MICROCOMPUTADOR PORTATIL NOTEBOOK - 7.150,00</t>
  </si>
  <si>
    <t>HP - ELITEBOOK REVOLVE 810 G2</t>
  </si>
  <si>
    <t>100010395.4</t>
  </si>
  <si>
    <t>MICROCOMPUTADOR PORTATIL NOTEBOOK - 3.230,00</t>
  </si>
  <si>
    <t>ProBook 640 G2</t>
  </si>
  <si>
    <t>100010395.5</t>
  </si>
  <si>
    <t>MICROCOMPUTADOR PORTATIL NOTEBOOK - 14.500,00</t>
  </si>
  <si>
    <t>ZBook 17</t>
  </si>
  <si>
    <t>100010395.6</t>
  </si>
  <si>
    <t>MICROCOMPUTADOR PORTATIL NOTEBOOK - R$ 5.115,00</t>
  </si>
  <si>
    <t>(LATITUDE 3480) E (LATITUDE 3410)</t>
  </si>
  <si>
    <t>100010395.7</t>
  </si>
  <si>
    <t>MICROCOMPUTADOR PORTATIL NOTEBOOK - R$ 9.130,00</t>
  </si>
  <si>
    <t>LATITUDE 5400</t>
  </si>
  <si>
    <t>100010413.1</t>
  </si>
  <si>
    <t>SCANNER DE MESA - R$ 500,00</t>
  </si>
  <si>
    <t>FUJITSU FI-6670</t>
  </si>
  <si>
    <t>100010413.2</t>
  </si>
  <si>
    <t>SCANNER DE MESA - R$ 23.300,00</t>
  </si>
  <si>
    <t>KODAK I3400</t>
  </si>
  <si>
    <t>100010413.3</t>
  </si>
  <si>
    <t>SCANNER DE MESA</t>
  </si>
  <si>
    <t>KODAK I2620</t>
  </si>
  <si>
    <t>100010435.1</t>
  </si>
  <si>
    <t>BALANCA MECÂNICA</t>
  </si>
  <si>
    <t>100010435.2</t>
  </si>
  <si>
    <t>300  KG</t>
  </si>
  <si>
    <t>100010677.1</t>
  </si>
  <si>
    <t>ESTABILIZADOR DE VOLTAGEM</t>
  </si>
  <si>
    <t xml:space="preserve">1270 VA/W </t>
  </si>
  <si>
    <t>100010677.2</t>
  </si>
  <si>
    <t>30 KVA</t>
  </si>
  <si>
    <t>100010679.1</t>
  </si>
  <si>
    <t>TRANSFORMADOR DE VOLTAGEM</t>
  </si>
  <si>
    <t>1.0 KVA</t>
  </si>
  <si>
    <t>100010679.2</t>
  </si>
  <si>
    <t>100010711.1</t>
  </si>
  <si>
    <t>AMPLIFICADOR DE SOM</t>
  </si>
  <si>
    <t xml:space="preserve"> 4 OHM_ 8 Canais _150 W - IPCA_BRASIL (FVG)</t>
  </si>
  <si>
    <t>100010711.2</t>
  </si>
  <si>
    <t xml:space="preserve">AMPLIFICADOR DE SOM                        </t>
  </si>
  <si>
    <t>100010717.1</t>
  </si>
  <si>
    <t>MESA DE SOM ANALOGICA</t>
  </si>
  <si>
    <t>16 CANAIS</t>
  </si>
  <si>
    <t>100010717.2</t>
  </si>
  <si>
    <t>24 CANAIS</t>
  </si>
  <si>
    <t>100010773.1</t>
  </si>
  <si>
    <t>CAIXA ACÚSTICA (DE EMBUTIR)</t>
  </si>
  <si>
    <t>100010773.2</t>
  </si>
  <si>
    <t xml:space="preserve"> CAIXA ACUSTICA			
			</t>
  </si>
  <si>
    <t xml:space="preserve">ACOPLADA </t>
  </si>
  <si>
    <t>100010773.3</t>
  </si>
  <si>
    <t xml:space="preserve">CAIXA ACUSTICA			
			</t>
  </si>
  <si>
    <t>QSC K10.2</t>
  </si>
  <si>
    <t>100010776.1</t>
  </si>
  <si>
    <t xml:space="preserve"> ALICATE .</t>
  </si>
  <si>
    <t>CABO ISOLADO PARA CLIMPAGEM DE CABO LÓGICO</t>
  </si>
  <si>
    <t>100010776.2</t>
  </si>
  <si>
    <t>QG PARA COMPRENSÃO</t>
  </si>
  <si>
    <t>100010791.1</t>
  </si>
  <si>
    <t>MAKITA</t>
  </si>
  <si>
    <t>100010791.2</t>
  </si>
  <si>
    <t>BOSCH DW818, 41-2 (115MM) 900W, 11.000 RPM, EIXO M-14,2</t>
  </si>
  <si>
    <t>100010813.1</t>
  </si>
  <si>
    <t>COMPRESSOR DE AR</t>
  </si>
  <si>
    <t>INDUSTRIAL - 2 ESTÁGIO - 10CV - 175 PSI - 380 L</t>
  </si>
  <si>
    <t>100010813.2</t>
  </si>
  <si>
    <t>INDUSTRIAL - 2 ESTÁGIO - 5CV - 175 PSI - 220 L</t>
  </si>
  <si>
    <t>100010813.3</t>
  </si>
  <si>
    <t>MOTOCOMPRESSOR - 1 ESTÁGIO -  2CV - 120 PSI - 24 L</t>
  </si>
  <si>
    <t>100010849.1</t>
  </si>
  <si>
    <t>240L</t>
  </si>
  <si>
    <t>100010849.2</t>
  </si>
  <si>
    <t>1200L</t>
  </si>
  <si>
    <t>100010849.3</t>
  </si>
  <si>
    <t>1600L</t>
  </si>
  <si>
    <t>100010861.1</t>
  </si>
  <si>
    <t xml:space="preserve"> BOMBA DE DRENAGEM DE TETO TIPO SPLIT           
                        </t>
  </si>
  <si>
    <t>VALOR ASI: 6900,00</t>
  </si>
  <si>
    <t>100010861.2</t>
  </si>
  <si>
    <t xml:space="preserve">BOMBA DE DRENAGEM DE TETO TIPO SPLIT			
			</t>
  </si>
  <si>
    <t>VALOR ASI: 1730,96</t>
  </si>
  <si>
    <t>100010861.3</t>
  </si>
  <si>
    <t xml:space="preserve">BOMBA DE DRENAGEM DE TETO TIPO SPLIT                        
                        </t>
  </si>
  <si>
    <t>VALOR ASI: 2.000 Á 3.000</t>
  </si>
  <si>
    <t>100011317.1</t>
  </si>
  <si>
    <t>GUILHOTINA INDUSTRIAL PARA PAPEL - 5.000,00</t>
  </si>
  <si>
    <t>100011317.2</t>
  </si>
  <si>
    <t>GUILHOTINA INDUSTRIAL PARA PAPEL - 95.000,00</t>
  </si>
  <si>
    <t>100011317.3</t>
  </si>
  <si>
    <t>GUILHOTINA INDUSTRIAL PARA PAPEL - 131.000,00</t>
  </si>
  <si>
    <t>100011317.4</t>
  </si>
  <si>
    <t>GUILHOTINA INDUSTRIAL PARA PAPEL - MARCA IDEAL</t>
  </si>
  <si>
    <t>100011317.5</t>
  </si>
  <si>
    <t>GUILHOTINA INDUSTRIAL PARA PAPEL - MARCA GUARANY</t>
  </si>
  <si>
    <t>100011698.1</t>
  </si>
  <si>
    <t>SERRA TICO-TICO</t>
  </si>
  <si>
    <t>100011698.2</t>
  </si>
  <si>
    <t xml:space="preserve">SERRA TICO-TICO                        </t>
  </si>
  <si>
    <t>GTS700</t>
  </si>
  <si>
    <t>100011698.3</t>
  </si>
  <si>
    <t xml:space="preserve"> SERRA TICO-TICO			
</t>
  </si>
  <si>
    <t>VVR 220V -700WDW DW 31K</t>
  </si>
  <si>
    <t>100011701.1</t>
  </si>
  <si>
    <t xml:space="preserve"> MAQUINA DE SOLDA ELETRICA			
			</t>
  </si>
  <si>
    <t>V8</t>
  </si>
  <si>
    <t>100011701.2</t>
  </si>
  <si>
    <t xml:space="preserve">MAQUINA DE SOLDA ELETRICA </t>
  </si>
  <si>
    <t xml:space="preserve">BOXER </t>
  </si>
  <si>
    <t>100011966.1</t>
  </si>
  <si>
    <t>AUTOMOVEL DE PASSAGEIRO</t>
  </si>
  <si>
    <t>CORSA HATCH 1.8 – 2007</t>
  </si>
  <si>
    <t>100011966.2</t>
  </si>
  <si>
    <t>CRUZE LT 1.4 - 2023</t>
  </si>
  <si>
    <t>100011966.3</t>
  </si>
  <si>
    <t>CRUZE SEDAN MIDNIGHT 1.4  – 2023</t>
  </si>
  <si>
    <t>100011966.4</t>
  </si>
  <si>
    <t>MONTANA CONQUEST 1.8 – 2007</t>
  </si>
  <si>
    <t>100011966.5</t>
  </si>
  <si>
    <t>MITSUBISHI – ASX HPE AWD 2.0 – 2020</t>
  </si>
  <si>
    <t>100011966.6</t>
  </si>
  <si>
    <t>PALIO WEEKEND 1.4 – 2013</t>
  </si>
  <si>
    <t>100011966.7</t>
  </si>
  <si>
    <t>LINEA ESSENCE 1.8 – 2015</t>
  </si>
  <si>
    <t>100011966.8</t>
  </si>
  <si>
    <t>GRAND LIVINA 1.8 – 2014</t>
  </si>
  <si>
    <t>100011966.9</t>
  </si>
  <si>
    <t>BLAZER COLINA 4X4 2.8 – 2008</t>
  </si>
  <si>
    <t>100011968.1</t>
  </si>
  <si>
    <t>MICRO-ONIBUS</t>
  </si>
  <si>
    <t>SPRINTER 312D - 16 LUGARES – 2001</t>
  </si>
  <si>
    <t>100011968.2</t>
  </si>
  <si>
    <t>DUCATO ME 2.3 - 2011</t>
  </si>
  <si>
    <t>100011968.3</t>
  </si>
  <si>
    <t>BOXER M330M 2.3 – 15 LUGARES – 2014</t>
  </si>
  <si>
    <t>100011988.1</t>
  </si>
  <si>
    <t>FURADEIRA DE BANCADA</t>
  </si>
  <si>
    <t>SCHULZ MODELO FSB-13P</t>
  </si>
  <si>
    <t>100011988.2</t>
  </si>
  <si>
    <t xml:space="preserve">FURADEIRA DE BANCADA </t>
  </si>
  <si>
    <t xml:space="preserve">FERRARI RDM-1600B) </t>
  </si>
  <si>
    <t>100011988.3</t>
  </si>
  <si>
    <t xml:space="preserve">HORIZONTAL </t>
  </si>
  <si>
    <t>100011995.1</t>
  </si>
  <si>
    <t>SERRA CIRCULAR</t>
  </si>
  <si>
    <t>MAKITA 4107R</t>
  </si>
  <si>
    <t>100011995.2</t>
  </si>
  <si>
    <t>MAKITA 4100NH</t>
  </si>
  <si>
    <t>100012249.1</t>
  </si>
  <si>
    <t>PLAINA</t>
  </si>
  <si>
    <t xml:space="preserve">BOSCH - 710W </t>
  </si>
  <si>
    <t>100012249.2</t>
  </si>
  <si>
    <t>PLAINA .</t>
  </si>
  <si>
    <t xml:space="preserve">EINHELL VERMELHA (ELETRICA PARA MADEIRA) </t>
  </si>
  <si>
    <t>100012249.3</t>
  </si>
  <si>
    <t xml:space="preserve">FERRARI, INDUSTRIAL </t>
  </si>
  <si>
    <t>100012249.4</t>
  </si>
  <si>
    <t xml:space="preserve">MANUAL N° 4 </t>
  </si>
  <si>
    <t>100012268.1</t>
  </si>
  <si>
    <t>CARRINHO PARA EQUIPAMENTOS HOSPITALARES</t>
  </si>
  <si>
    <t>100012268.2</t>
  </si>
  <si>
    <t>100012305.1</t>
  </si>
  <si>
    <t xml:space="preserve">REFRIGERADOR </t>
  </si>
  <si>
    <t>260 A 294L</t>
  </si>
  <si>
    <t>100012305.2</t>
  </si>
  <si>
    <t>407 A 450L</t>
  </si>
  <si>
    <t>100012307.1</t>
  </si>
  <si>
    <t>CADEIRA GIRATORIA</t>
  </si>
  <si>
    <t xml:space="preserve"> TECIDO E COM BRAÇO - COR AZUL</t>
  </si>
  <si>
    <t>100012307.2</t>
  </si>
  <si>
    <t xml:space="preserve"> TECIDO E SEM BRAÇO - COR AZUL</t>
  </si>
  <si>
    <t>100012307.3</t>
  </si>
  <si>
    <t>COURVIM SEM BRAÇO - COR BEGE</t>
  </si>
  <si>
    <t>100012307.4</t>
  </si>
  <si>
    <t>TECIDO E SEM BRAÇO - COR PRETA</t>
  </si>
  <si>
    <t>100012307.5</t>
  </si>
  <si>
    <t xml:space="preserve"> TECIDO E SEM BRAÇO - COR VERDE</t>
  </si>
  <si>
    <t>100012345.1</t>
  </si>
  <si>
    <t>RACK PARA EQUIPAMENTOS DE TI</t>
  </si>
  <si>
    <t>TAMANHO MÉDIO</t>
  </si>
  <si>
    <t>100012345.2</t>
  </si>
  <si>
    <t>BÁSICO</t>
  </si>
  <si>
    <t>100012345.3</t>
  </si>
  <si>
    <t>100012465.1</t>
  </si>
  <si>
    <t>MONITOR DE VIDEO .</t>
  </si>
  <si>
    <t>LG - L17NS - 7 (17 POLEGADAS)</t>
  </si>
  <si>
    <t>100012465.10</t>
  </si>
  <si>
    <t>LG - 55LV75D-B</t>
  </si>
  <si>
    <t>100012465.11</t>
  </si>
  <si>
    <t>LG - 49VL5B</t>
  </si>
  <si>
    <t>100012465.2</t>
  </si>
  <si>
    <t>19 POLEGADAS</t>
  </si>
  <si>
    <t>100012465.3</t>
  </si>
  <si>
    <t>SYNCMASTER 215TW</t>
  </si>
  <si>
    <t>100012465.4</t>
  </si>
  <si>
    <t>AOC - E2243FWK</t>
  </si>
  <si>
    <t>100012465.5</t>
  </si>
  <si>
    <t>HP - LA2405wg</t>
  </si>
  <si>
    <t>100012465.6</t>
  </si>
  <si>
    <t>PHILIPS - 231B4LPYCB</t>
  </si>
  <si>
    <t>100012465.7</t>
  </si>
  <si>
    <t>DELL - P2722H</t>
  </si>
  <si>
    <t>100012465.8</t>
  </si>
  <si>
    <t>PHILIPS - 271P4QPJKEB</t>
  </si>
  <si>
    <t>100012465.9</t>
  </si>
  <si>
    <t>MONITOR TV 46 E 48 PL</t>
  </si>
  <si>
    <t>100012468.1</t>
  </si>
  <si>
    <t xml:space="preserve">PONTO DE ACESSO (ACESS POINT)                        </t>
  </si>
  <si>
    <t>100012468.2</t>
  </si>
  <si>
    <t>PONTO DE ACESSO (ACESS POINT)</t>
  </si>
  <si>
    <t>100012476.1</t>
  </si>
  <si>
    <t>FONE DE OUVIDO</t>
  </si>
  <si>
    <t>100012476.2</t>
  </si>
  <si>
    <t>FONE DE OUVIDO .</t>
  </si>
  <si>
    <t>SONY MODELO MDR-7506</t>
  </si>
  <si>
    <t>100012529.1</t>
  </si>
  <si>
    <t xml:space="preserve">ASPIRADOR DE PÓ </t>
  </si>
  <si>
    <t>20L</t>
  </si>
  <si>
    <t>100012529.2</t>
  </si>
  <si>
    <t>50/60L</t>
  </si>
  <si>
    <t>100012545.1</t>
  </si>
  <si>
    <t>LAVADORA DE ALTA PRESSÃO .</t>
  </si>
  <si>
    <t>2500W</t>
  </si>
  <si>
    <t>100012545.2</t>
  </si>
  <si>
    <t>2200W</t>
  </si>
  <si>
    <t>100012547.1</t>
  </si>
  <si>
    <t xml:space="preserve">LAVADORA PROFISSIONAL </t>
  </si>
  <si>
    <t xml:space="preserve"> ESTOFADO E CARPETES COM ESCOVA .</t>
  </si>
  <si>
    <t>100012547.2</t>
  </si>
  <si>
    <t>LAVADORA PROFISSIONAL DE ESTOFADO E CARPETES COM ESCOVA .</t>
  </si>
  <si>
    <t>100012551.1</t>
  </si>
  <si>
    <t xml:space="preserve">FRIGOBAR </t>
  </si>
  <si>
    <t>120L</t>
  </si>
  <si>
    <t>100012551.2</t>
  </si>
  <si>
    <t>124L</t>
  </si>
  <si>
    <t>100012552.1</t>
  </si>
  <si>
    <t>FREEZER .</t>
  </si>
  <si>
    <t>100012552.2</t>
  </si>
  <si>
    <t>FREEZER</t>
  </si>
  <si>
    <t>100012554.1</t>
  </si>
  <si>
    <t>MICROONDAS</t>
  </si>
  <si>
    <t>25 L</t>
  </si>
  <si>
    <t>100012554.2</t>
  </si>
  <si>
    <t>31 L</t>
  </si>
  <si>
    <t>100012595.1</t>
  </si>
  <si>
    <t>SUPORTE PARA BRAÇO</t>
  </si>
  <si>
    <t>100012595.2</t>
  </si>
  <si>
    <t>100012597.1</t>
  </si>
  <si>
    <t>CLIMATIZADOR DE AR .</t>
  </si>
  <si>
    <t>100012597.2</t>
  </si>
  <si>
    <t>CLIMATIZADOR DE AR</t>
  </si>
  <si>
    <t>100012601.1</t>
  </si>
  <si>
    <t>CADEIRA DE RODAS</t>
  </si>
  <si>
    <t>FREDOM LUMINA</t>
  </si>
  <si>
    <t>100012601.2</t>
  </si>
  <si>
    <t>TOK LEVE</t>
  </si>
  <si>
    <t>100012605.1</t>
  </si>
  <si>
    <t>TERMOMETRO DIGITAL</t>
  </si>
  <si>
    <t>INFRAVERMELHO - MODELO: E127</t>
  </si>
  <si>
    <t>100012605.2</t>
  </si>
  <si>
    <t xml:space="preserve">TERMOMETRO DIGITAL                     </t>
  </si>
  <si>
    <t>100012606.1</t>
  </si>
  <si>
    <t>OXIMETRO DE PULSO DIGITAL PORTÁTIL DE DEDO</t>
  </si>
  <si>
    <t>Rossmax</t>
  </si>
  <si>
    <t>100012606.2</t>
  </si>
  <si>
    <t>AZUL (Básico)</t>
  </si>
  <si>
    <t>100012607.1</t>
  </si>
  <si>
    <t>MACA PARA EXAME CLINICO</t>
  </si>
  <si>
    <t>100012607.2</t>
  </si>
  <si>
    <t>COM BALCÃO</t>
  </si>
  <si>
    <t>100012614.1</t>
  </si>
  <si>
    <t>LEITOR DE CÓDIGO DE BARRA</t>
  </si>
  <si>
    <t>(HS 950)</t>
  </si>
  <si>
    <t>100012614.2</t>
  </si>
  <si>
    <t xml:space="preserve"> CIPHERLAB 1266</t>
  </si>
  <si>
    <t>100012641.1</t>
  </si>
  <si>
    <t xml:space="preserve">TELEVISOR </t>
  </si>
  <si>
    <t xml:space="preserve"> LED 32"</t>
  </si>
  <si>
    <t>100012641.2</t>
  </si>
  <si>
    <t>LED 42"</t>
  </si>
  <si>
    <t>100012641.3</t>
  </si>
  <si>
    <t>LED 43"</t>
  </si>
  <si>
    <t>100012641.4</t>
  </si>
  <si>
    <t>LED 55"</t>
  </si>
  <si>
    <t>100012641.5</t>
  </si>
  <si>
    <t>LED 58"</t>
  </si>
  <si>
    <t>100012641.6</t>
  </si>
  <si>
    <t>LED 60"</t>
  </si>
  <si>
    <t>100012664.1</t>
  </si>
  <si>
    <t>MICROCOMPUTADOR DESKTOP - R$ 4.813,00</t>
  </si>
  <si>
    <t>OPTIPLEX 7010 DESKTOP TIPO II</t>
  </si>
  <si>
    <t>100012664.10</t>
  </si>
  <si>
    <t>MICROCOMPUTADOR DESKTOP - R$ 1.300,00</t>
  </si>
  <si>
    <t>MEGAWARE UPD/LX CTIS</t>
  </si>
  <si>
    <t>100012664.11</t>
  </si>
  <si>
    <t>MICROCOMPUTADOR DESKTOP - R$ 2.500,00</t>
  </si>
  <si>
    <t>THERMALTAKE VERSA H22 PLUS (Cotar pelo IPCA)</t>
  </si>
  <si>
    <t>100012664.2</t>
  </si>
  <si>
    <t>MICROCOMPUTADOR DESKTOP - R$ 2.540,00</t>
  </si>
  <si>
    <t>OPTIPLEX 7020 (Cotar pelo IPCA)</t>
  </si>
  <si>
    <t>100012664.3</t>
  </si>
  <si>
    <t>MICROCOMPUTADOR DESKTOP - R$ 17,91</t>
  </si>
  <si>
    <t>OPTIPLEX 990 ULTRA USFF</t>
  </si>
  <si>
    <t>100012664.4</t>
  </si>
  <si>
    <t>MICROCOMPUTADOR DESKTOP - R$ 7.800,00</t>
  </si>
  <si>
    <t>OPTIPLEX 7070 TIPO II</t>
  </si>
  <si>
    <t>100012664.5</t>
  </si>
  <si>
    <t>MICROCOMPUTADOR DESKTOP - R$ 3.526,00</t>
  </si>
  <si>
    <t>THINKCENTRE M920S</t>
  </si>
  <si>
    <t>100012664.6</t>
  </si>
  <si>
    <t>MICROCOMPUTADOR DESKTOP - R$ 3.850,00</t>
  </si>
  <si>
    <t>OPTIPLEX 5050</t>
  </si>
  <si>
    <t>100012664.7</t>
  </si>
  <si>
    <t>MICROCOMPUTADOR DESKTOP - R$ 1.156,08</t>
  </si>
  <si>
    <t>TABO TS 2000</t>
  </si>
  <si>
    <t>100012664.8</t>
  </si>
  <si>
    <t>MICROCOMPUTADOR DESKTOP - R$ 5.900,00</t>
  </si>
  <si>
    <t>OPTIPLEX 9030 All-in-One</t>
  </si>
  <si>
    <t>100012664.9</t>
  </si>
  <si>
    <t>MICROCOMPUTADOR DESKTOP - R$ 1.500,00</t>
  </si>
  <si>
    <t>HP - COMPAQ DC 7900 (Cotar pelo IPCA)</t>
  </si>
  <si>
    <t>100012737.1</t>
  </si>
  <si>
    <t>TRIPE.</t>
  </si>
  <si>
    <t>MANFROTTO</t>
  </si>
  <si>
    <t>100012737.2</t>
  </si>
  <si>
    <t>DIGIPOD</t>
  </si>
  <si>
    <t>100012737.3</t>
  </si>
  <si>
    <t>PARA ESTUDIO</t>
  </si>
  <si>
    <t>100012747.1</t>
  </si>
  <si>
    <t>100012747.2</t>
  </si>
  <si>
    <t xml:space="preserve">BALANCA MECÂNICA, BASE: PLATAFORMA DE FERRO FUNDIDO, COM CAPACIDADE: 300KGX100G			
			</t>
  </si>
  <si>
    <t>100012778.1</t>
  </si>
  <si>
    <t xml:space="preserve"> KIT EXTENSOR HDMI -(MODELO NDS-652HD-RX)</t>
  </si>
  <si>
    <t>100012778.2</t>
  </si>
  <si>
    <t>KIT EXTENSOR HDMI -(NDS-SW1-RX)</t>
  </si>
  <si>
    <t>100012796.1</t>
  </si>
  <si>
    <t>FURADEIRA .</t>
  </si>
  <si>
    <t>HORIZONTAL</t>
  </si>
  <si>
    <t>100012796.2</t>
  </si>
  <si>
    <t>12v</t>
  </si>
  <si>
    <t>100012796.3</t>
  </si>
  <si>
    <t>BOSCH 3/8 450W</t>
  </si>
  <si>
    <t>100012796.4</t>
  </si>
  <si>
    <t xml:space="preserve">DE IPACTO </t>
  </si>
  <si>
    <t>100012796.5</t>
  </si>
  <si>
    <t>BOSCH 1218 SEO GSB16RE 2 VELOC. 22V</t>
  </si>
  <si>
    <t>100012798.1</t>
  </si>
  <si>
    <t>LIXADEIRA .</t>
  </si>
  <si>
    <t>PORTÁTIL</t>
  </si>
  <si>
    <t>100012798.2</t>
  </si>
  <si>
    <t>VERSÁTIL</t>
  </si>
  <si>
    <t>100012799.1</t>
  </si>
  <si>
    <t xml:space="preserve">PARAFUSADEIRA . </t>
  </si>
  <si>
    <t>MAKITA 12V</t>
  </si>
  <si>
    <t>100012799.2</t>
  </si>
  <si>
    <t xml:space="preserve">PARAFUSADEIRA .
</t>
  </si>
  <si>
    <t>DEWALT 20V</t>
  </si>
  <si>
    <t>100012799.3</t>
  </si>
  <si>
    <t>DEWALT DW268-B2</t>
  </si>
  <si>
    <t>100012824.1</t>
  </si>
  <si>
    <t>APARELHO DE AR CONDICIONADO</t>
  </si>
  <si>
    <t xml:space="preserve">PORTATIL </t>
  </si>
  <si>
    <t>100012824.2</t>
  </si>
  <si>
    <t xml:space="preserve">DE PAREDE </t>
  </si>
  <si>
    <t>100012861.1</t>
  </si>
  <si>
    <t>CAMERA DE SEGURANÇA</t>
  </si>
  <si>
    <t>TIPO 1</t>
  </si>
  <si>
    <t>100012861.2</t>
  </si>
  <si>
    <t>TIPO 2</t>
  </si>
  <si>
    <t>100012861.3</t>
  </si>
  <si>
    <t>TIPO 3</t>
  </si>
  <si>
    <t>100012861.4</t>
  </si>
  <si>
    <t>TIPO 4</t>
  </si>
  <si>
    <t>100012861.5</t>
  </si>
  <si>
    <t>TIPO 2 DOME</t>
  </si>
  <si>
    <t>100012861.6</t>
  </si>
  <si>
    <t xml:space="preserve">TIPO 5 - ANPR </t>
  </si>
  <si>
    <t>100012884.1</t>
  </si>
  <si>
    <t>POSTE DE ILUMINACAO PUBLICA</t>
  </si>
  <si>
    <t>100012884.2</t>
  </si>
  <si>
    <t>100012888.1</t>
  </si>
  <si>
    <t>ESMERILHADEIRA ANGULAR DE 7" 2.200W</t>
  </si>
  <si>
    <t>100012888.2</t>
  </si>
  <si>
    <t xml:space="preserve">ESMERILHADEIRA ANGULAR DE 7 2.200W                        </t>
  </si>
  <si>
    <t>100012904.1</t>
  </si>
  <si>
    <t>CHUVEIRO ELÉTRICO</t>
  </si>
  <si>
    <t>04 TEMPERATURAS</t>
  </si>
  <si>
    <t>100012904.2</t>
  </si>
  <si>
    <t xml:space="preserve"> CHUVEIRO ELÉTRICO (04 TEMPERATURAS)</t>
  </si>
  <si>
    <t>100012924.1</t>
  </si>
  <si>
    <t>MARMITEIRO ELETRICO PARA 100 MARMITAS</t>
  </si>
  <si>
    <t>100012924.2</t>
  </si>
  <si>
    <t xml:space="preserve"> MARMITEIRO ELETRICO PARA 100 MARMITAS</t>
  </si>
  <si>
    <t>100013063.1</t>
  </si>
  <si>
    <t>CAFETEIRA ELETRICA INDUSTRIAL</t>
  </si>
  <si>
    <t>CILINDRICA 04 LITROS</t>
  </si>
  <si>
    <t>100013063.2</t>
  </si>
  <si>
    <t>CONJUGADA 05 LITROS</t>
  </si>
  <si>
    <t>100013063.3</t>
  </si>
  <si>
    <t>40 LITROS</t>
  </si>
  <si>
    <t>100013081.1</t>
  </si>
  <si>
    <t xml:space="preserve">POLTRONA GIRATORIA                       
                        </t>
  </si>
  <si>
    <t>100013081.2</t>
  </si>
  <si>
    <t xml:space="preserve">DIRETOR EM COURO </t>
  </si>
  <si>
    <t>100013081.3</t>
  </si>
  <si>
    <t xml:space="preserve"> POLTRONA GIRATORIA</t>
  </si>
  <si>
    <t xml:space="preserve">ESPALDAR MÉDIO </t>
  </si>
  <si>
    <t>100013081.4</t>
  </si>
  <si>
    <t>AZUL</t>
  </si>
  <si>
    <t>100013081.5</t>
  </si>
  <si>
    <t xml:space="preserve">MARROM </t>
  </si>
  <si>
    <t>100013081.6</t>
  </si>
  <si>
    <t xml:space="preserve">2500, COURO </t>
  </si>
  <si>
    <t>100013082.1</t>
  </si>
  <si>
    <t>POLTRONA FIXA</t>
  </si>
  <si>
    <t>COR AZUL, EM TECIDO, ESPALDAR MEDIO</t>
  </si>
  <si>
    <t>100013082.2</t>
  </si>
  <si>
    <t>MODELO: BARCELONA</t>
  </si>
  <si>
    <t>100013082.3</t>
  </si>
  <si>
    <t>SOFÁ / POLTRONA</t>
  </si>
  <si>
    <t>100013082.4</t>
  </si>
  <si>
    <t>MODELO: BERGER</t>
  </si>
  <si>
    <t>100013082.5</t>
  </si>
  <si>
    <t>MODELO: KIKO SERGIO RODRIGUES</t>
  </si>
  <si>
    <t>100013086.1</t>
  </si>
  <si>
    <t>SOFÁ</t>
  </si>
  <si>
    <t>1 Acento</t>
  </si>
  <si>
    <t>100013086.2</t>
  </si>
  <si>
    <t>2 Acentos (TECIDO)</t>
  </si>
  <si>
    <t>100013086.3</t>
  </si>
  <si>
    <t xml:space="preserve">SOFÁ </t>
  </si>
  <si>
    <t>2 Lugares Courvin</t>
  </si>
  <si>
    <t>100013086.4</t>
  </si>
  <si>
    <t>3 Lugares Courvin</t>
  </si>
  <si>
    <t>100013095.1</t>
  </si>
  <si>
    <t>MESA PARA REUNIÃO</t>
  </si>
  <si>
    <t>100013095.2</t>
  </si>
  <si>
    <t xml:space="preserve">MESA PARA REUNIÃO </t>
  </si>
  <si>
    <t xml:space="preserve">74 X 120 </t>
  </si>
  <si>
    <t>100013096.1</t>
  </si>
  <si>
    <t xml:space="preserve">MESA PARA REFEITÓRIO/COPA </t>
  </si>
  <si>
    <t>100013096.2</t>
  </si>
  <si>
    <t xml:space="preserve">MESA PARA REFEITÓRIO/COPA                     </t>
  </si>
  <si>
    <t>100013110.1</t>
  </si>
  <si>
    <t xml:space="preserve">BANCO         </t>
  </si>
  <si>
    <t>com cabideiro</t>
  </si>
  <si>
    <t>100013110.2</t>
  </si>
  <si>
    <t>vestiário</t>
  </si>
  <si>
    <t>100013113.1</t>
  </si>
  <si>
    <t xml:space="preserve">ESTANTE EM METAL                         </t>
  </si>
  <si>
    <t>MEDIDA: 2,03 X 1,05 X 0,55 M</t>
  </si>
  <si>
    <t>100013113.2</t>
  </si>
  <si>
    <t>100013121.1</t>
  </si>
  <si>
    <t>MONITOR .</t>
  </si>
  <si>
    <t>DATAVIDEO</t>
  </si>
  <si>
    <t>100013121.2</t>
  </si>
  <si>
    <t>(R$ 1.225,00) 7 POLEGADAS</t>
  </si>
  <si>
    <t>100013121.3</t>
  </si>
  <si>
    <t>Bens adquiridos em: 09/06/2025, não sera necessário cotar</t>
  </si>
  <si>
    <t>SONY - PVM-A250</t>
  </si>
  <si>
    <t xml:space="preserve">PINCA HEMOSTATICA RETA KELLY 
</t>
  </si>
  <si>
    <t>PINCA MICRO DENTE DE RATO CURVA</t>
  </si>
  <si>
    <t>APARELHO GLICOSIMETRO</t>
  </si>
  <si>
    <t>GRAMPEADOR DE MESA SEMIINDUSTRIAL</t>
  </si>
  <si>
    <t>TESOURA KELLY CURVA 14CM</t>
  </si>
  <si>
    <t>QUADRO DE AVISO</t>
  </si>
  <si>
    <t>SANDUICHEIRA TIPO GRILL</t>
  </si>
  <si>
    <t>ESCADA DE ALUMÍNIO . 5 degraus</t>
  </si>
  <si>
    <t>CIPHERLAB 1266</t>
  </si>
  <si>
    <t>CHUVEIRO ELÉTRICO (04 TEMPERATURAS)</t>
  </si>
  <si>
    <t xml:space="preserve">IMOBILIZADOR DE CABEÇA IMPERMEÁVEL 
</t>
  </si>
  <si>
    <t>TUPIA DE LAMINACAO</t>
  </si>
  <si>
    <t>LIQUIDIFICADOR.</t>
  </si>
  <si>
    <t>ESTRADO .</t>
  </si>
  <si>
    <t>ESCADA DE ALUMÍNIO . 7 degraus</t>
  </si>
  <si>
    <t>ALICATE .</t>
  </si>
  <si>
    <t>BOLSA DE EMERGENCIA</t>
  </si>
  <si>
    <t>MALETA PARA TRANSPORTE DE EQUIPAMENTO DE AUDIO E VIDEO</t>
  </si>
  <si>
    <t>SIMILAR</t>
  </si>
  <si>
    <t>MESA PARA MAQUINA DE ESCREVER EM MADEIRA</t>
  </si>
  <si>
    <t xml:space="preserve">COLETE CERVICAL (TIPO KED) 
</t>
  </si>
  <si>
    <t>PINADOR PNEUMATICO 15-50MM 
18GA</t>
  </si>
  <si>
    <t xml:space="preserve">PAINEL FRONTAL DIVISORIA EM MDF
</t>
  </si>
  <si>
    <t>CARRINHO PARA TRANSPORTE DE MATERIAL</t>
  </si>
  <si>
    <t>PARA TRANSPORTE DE MATERIAIS</t>
  </si>
  <si>
    <t>WEB CAM</t>
  </si>
  <si>
    <t>DISTRIBUIDOR</t>
  </si>
  <si>
    <t>APARADOR DE GRAMA ELETRICO</t>
  </si>
  <si>
    <t>SUPORTE PARA HAMPER</t>
  </si>
  <si>
    <t>EM MADEIRA COR PRETA</t>
  </si>
  <si>
    <t>TESTADOR DE CABOS UTP-STP E COAXIL</t>
  </si>
  <si>
    <t>makita</t>
  </si>
  <si>
    <t>MARCA: BOSCH GwS 700</t>
  </si>
  <si>
    <t>PLASTIFICADORA .(01)</t>
  </si>
  <si>
    <t xml:space="preserve">PARAFUSADEIRA (TEKS) 
</t>
  </si>
  <si>
    <t xml:space="preserve"> PARAFUSADEIRA (TEKS)			
			</t>
  </si>
  <si>
    <t>BIBLIOTECA</t>
  </si>
  <si>
    <t xml:space="preserve">LIXEIRA CILINDRICA 
</t>
  </si>
  <si>
    <t>PARA TRANSPORTE DE FERRAMENTAS</t>
  </si>
  <si>
    <t>ARMARIO ALTO EM METAL</t>
  </si>
  <si>
    <t>02 PORTAS, TIPO 02</t>
  </si>
  <si>
    <t xml:space="preserve">ESMERILHADEIRA ANGULAR DE 4.1/2" 720W 
</t>
  </si>
  <si>
    <t>GAVETEIRO FIXO</t>
  </si>
  <si>
    <t>POLTRONA GIRATORIA</t>
  </si>
  <si>
    <t>POLTRONA TIPO MODULO EM TECIDO</t>
  </si>
  <si>
    <t>MESA PARA REFEITÓRIO/COPA</t>
  </si>
  <si>
    <t>MICROONDAS MONDIAL</t>
  </si>
  <si>
    <t xml:space="preserve">APARADOR DE CERCA VIVA .. 
</t>
  </si>
  <si>
    <t>SUPORTE .</t>
  </si>
  <si>
    <t>para projetor</t>
  </si>
  <si>
    <t>PLASTIFICADORA(NW)</t>
  </si>
  <si>
    <t>modelo similar</t>
  </si>
  <si>
    <t>MICROONDAS AGRATTO</t>
  </si>
  <si>
    <t>PAINEL LUMINOSO</t>
  </si>
  <si>
    <t>MICROONDAS ELETROLUX</t>
  </si>
  <si>
    <t>02 PORTAS, TIPO 03</t>
  </si>
  <si>
    <t>ARMARIO ALTO EM METAL - 02 PORTAS</t>
  </si>
  <si>
    <t>01 PORTA</t>
  </si>
  <si>
    <t>MICROONDAS PANASONIC</t>
  </si>
  <si>
    <t>ASPIRADOR DE PÓ</t>
  </si>
  <si>
    <t xml:space="preserve"> MOTO-SERRA PARA MADEIRA			
			</t>
  </si>
  <si>
    <t xml:space="preserve">MOTO-SERRA PARA MADEIRA 
</t>
  </si>
  <si>
    <t xml:space="preserve">CAIXA ACUSTICA 
</t>
  </si>
  <si>
    <t>ACOPLADA</t>
  </si>
  <si>
    <t>ESCANINHO EM MADEIRA</t>
  </si>
  <si>
    <t>CADEIRA UNIVERSITARIA</t>
  </si>
  <si>
    <t>50 L</t>
  </si>
  <si>
    <t>MICROONDAS BRASTEMP</t>
  </si>
  <si>
    <t>obs: 3° cotação feito com modelo similar com a marca consul</t>
  </si>
  <si>
    <t xml:space="preserve">ESTACAO DE TRABALHO 
</t>
  </si>
  <si>
    <t>MICROONDAS CONSUL</t>
  </si>
  <si>
    <t>100012893.1</t>
  </si>
  <si>
    <t>SERRA CIRCULAR DE 7.14</t>
  </si>
  <si>
    <t xml:space="preserve"> 5800RPM 1800W</t>
  </si>
  <si>
    <t>PORTA .</t>
  </si>
  <si>
    <t>100012893.2</t>
  </si>
  <si>
    <t>Está cotado com esse nome: MARTELETE COMBINADO SDS PLUS</t>
  </si>
  <si>
    <t>ESMERILHADEIRA DE SINTA COM COLETOR DE PÓ</t>
  </si>
  <si>
    <t>ESCADA EM FIBRA</t>
  </si>
  <si>
    <t>fibra de vidro</t>
  </si>
  <si>
    <t>2 PORTAS</t>
  </si>
  <si>
    <t>POLTRONA PARA CONJUNTO ESTOFADO EM COURO</t>
  </si>
  <si>
    <t>ARMARIO BAIXO EM MADEIRA</t>
  </si>
  <si>
    <t>REFLETOR TIPO MINI BRUT DE 04 LAMPADAS</t>
  </si>
  <si>
    <t>MICROFONE ¿</t>
  </si>
  <si>
    <t>04 LITROS</t>
  </si>
  <si>
    <t>2500, COURO</t>
  </si>
  <si>
    <t>ARMARIO BAIXO EM MADEIRA - 4 PORTAS</t>
  </si>
  <si>
    <t xml:space="preserve">BALCAO EM MADEIRA 
</t>
  </si>
  <si>
    <t>ARMARIO BAIXO EM MADEIRA - 2 PORTAS</t>
  </si>
  <si>
    <t>MINI TRILHO .</t>
  </si>
  <si>
    <t>TELA ELETRICA, DE PROJECAO RETRATIL</t>
  </si>
  <si>
    <t>COLETOR DE MESA - BIOMINI, SUPREMA. (COM INSTALAÇÃO)</t>
  </si>
  <si>
    <t>MOTOCOMPRESSOR - 1 ESTÁGIO - 2CV - 120 PSI - 24 L</t>
  </si>
  <si>
    <t>TABLET</t>
  </si>
  <si>
    <t>SAMSUNG</t>
  </si>
  <si>
    <t>KIT EXTENSOR HDMI -(MODELO NDS-652HD-RX)</t>
  </si>
  <si>
    <t>CARRINHO TIPO PALLET</t>
  </si>
  <si>
    <t>ESTANTE EM METAL</t>
  </si>
  <si>
    <t>FRIGOBAR</t>
  </si>
  <si>
    <t>TELEPROMPTER .</t>
  </si>
  <si>
    <t>CALCULADORA ELETRONICA</t>
  </si>
  <si>
    <t>TELEVISOR</t>
  </si>
  <si>
    <t>MAQUINA POLICORTE</t>
  </si>
  <si>
    <t>APARELHO DE SOM ¿</t>
  </si>
  <si>
    <t xml:space="preserve">MAQUINA DE SOLDA ELETRICA 
</t>
  </si>
  <si>
    <t xml:space="preserve">BALANCA MECÂNICA, BASE: PLATAFORMA DE FERRO FUNDIDO, COM CAPACIDADE: 300KGX100G 
</t>
  </si>
  <si>
    <t>GRAVADOR DIGITAL EM HDD</t>
  </si>
  <si>
    <t xml:space="preserve">POLTRONA PARA AUDITORIO 
</t>
  </si>
  <si>
    <t>300 KG</t>
  </si>
  <si>
    <t>PARAFUSADEIRA .</t>
  </si>
  <si>
    <t>MESA DE RETOQUE</t>
  </si>
  <si>
    <t>1 GAVETA</t>
  </si>
  <si>
    <t>4 PORTAS EXECUTIVO</t>
  </si>
  <si>
    <t>02 PORTAS, TIPO 01</t>
  </si>
  <si>
    <t xml:space="preserve">MACA 
</t>
  </si>
  <si>
    <t>BANCO</t>
  </si>
  <si>
    <t>PROTOCOLADORA DE DOCUMENTOS</t>
  </si>
  <si>
    <t>COLETOR BIOMETRICO, (COM INSTALAÇÃO)</t>
  </si>
  <si>
    <t>SCANNER ELETRÔNICO</t>
  </si>
  <si>
    <t xml:space="preserve">CORTADOR DE GRAMA A GASOLINA 
</t>
  </si>
  <si>
    <t xml:space="preserve">BOMBA DE DRENAGEM DE TETO TIPO SPLIT 
</t>
  </si>
  <si>
    <t>MICROFONE DE EXPANSÃO</t>
  </si>
  <si>
    <t>APARELHO TELEFONICO IP (INTERMEDIARIO)</t>
  </si>
  <si>
    <t>MARCA AVAYA, MODELO 9611G</t>
  </si>
  <si>
    <t>IMPRESSORA TÉRMICA</t>
  </si>
  <si>
    <t>REFRIGERADOR</t>
  </si>
  <si>
    <t xml:space="preserve">POLTRONA GIRATORIA 
</t>
  </si>
  <si>
    <t>DIRETOR EM COURO</t>
  </si>
  <si>
    <t>APPLE</t>
  </si>
  <si>
    <t>PORTA DE CORRER</t>
  </si>
  <si>
    <t>REFLETOR</t>
  </si>
  <si>
    <t>PROJETOR MULTIMIDIA II</t>
  </si>
  <si>
    <t>ENCERADEIRA INDUSTRIAL</t>
  </si>
  <si>
    <t>SOLUÇÃO INTEGRADO EM HOME THEATER</t>
  </si>
  <si>
    <t>CUBETA VERTICAL PARA REVELACAO DE CHAPAS</t>
  </si>
  <si>
    <t>FLASH PARA CAMERA FOTOGRAFICA</t>
  </si>
  <si>
    <t>FRAGMENTADORA PARA PAPEL (01)</t>
  </si>
  <si>
    <t xml:space="preserve">COMPRESSOR HELMETICO 
</t>
  </si>
  <si>
    <t>SOLUÇÃO CODEC DE
VIDEOCONFERÊNCIA</t>
  </si>
  <si>
    <t>PORTATIL</t>
  </si>
  <si>
    <t>FOGÃO.</t>
  </si>
  <si>
    <t>06 BOCAS INDUSTRIAL</t>
  </si>
  <si>
    <t>DE BANCADA MODELO SIMILAR</t>
  </si>
  <si>
    <t>SERVIDOR.</t>
  </si>
  <si>
    <t>MICROFONE DE LAPELA</t>
  </si>
  <si>
    <t>CONJUNTO PARA TELEPROMPTER</t>
  </si>
  <si>
    <t>MAQUINA DE ARQUEACAO PARA FITAS PLASTICAS</t>
  </si>
  <si>
    <t>PROJETOR MULTIMIDIA I</t>
  </si>
  <si>
    <t>CÂMERA DE VIDEOCONFERÊNCIA</t>
  </si>
  <si>
    <t>RACK/APARADOR EM MADEIRA</t>
  </si>
  <si>
    <t>FRAGMENTADORA PARA PAPEL (02)</t>
  </si>
  <si>
    <t>MESA DIGITALIZADORA - TAMANHO A3 PARA SCANNER</t>
  </si>
  <si>
    <t xml:space="preserve">CAMERA DE SEGURANÇA 
</t>
  </si>
  <si>
    <t>TIPO 5 ANPR</t>
  </si>
  <si>
    <t>30 KVA - (IPCA)</t>
  </si>
  <si>
    <t>APARELHO DE VIDEO BETACAM 02</t>
  </si>
  <si>
    <t>DIMMERBOX</t>
  </si>
  <si>
    <t>COMPRESSOR DE AR 20 PES 250L 76DB 5CV</t>
  </si>
  <si>
    <t>STEADYCAM .</t>
  </si>
  <si>
    <t>MATRIZ HDMI 4X4</t>
  </si>
  <si>
    <t>CAIXA ACUSTICA</t>
  </si>
  <si>
    <t>SERVIDOR DE REDE, MARCA IBM, MODELO 6C4, CÓDIGO DE IDENTIFICAÇÃO 7028-6C4</t>
  </si>
  <si>
    <t>PAR DE ANTENAS + CENTRAL ANTIFURTO</t>
  </si>
  <si>
    <t>TELA PARA PROJEÇÃO, ELÉTRICA</t>
  </si>
  <si>
    <t>CONTROLE REMOTO DE CÂMERA</t>
  </si>
  <si>
    <t>TUPIA DE MESA POT</t>
  </si>
  <si>
    <t>5CV</t>
  </si>
  <si>
    <t>CONSOLE DE GERENCIAMENTO</t>
  </si>
  <si>
    <t>DE PAREDE</t>
  </si>
  <si>
    <t>PLASTIFICADORA RICALL</t>
  </si>
  <si>
    <t>IMPRESSORA TIPO PLOTTER</t>
  </si>
  <si>
    <t>COMPUTADOR WORKSTATION</t>
  </si>
  <si>
    <t>PROCESSADOR .</t>
  </si>
  <si>
    <t>FURADEIRA DUPLA 2</t>
  </si>
  <si>
    <t>MESA DE COMANDO</t>
  </si>
  <si>
    <t>CARDIOVERSOR</t>
  </si>
  <si>
    <t>MISTURADOR DE VÍDEO</t>
  </si>
  <si>
    <t>FURADEIRA DUPLA</t>
  </si>
  <si>
    <t>TELA DIFUSORA PARA FOTOLITOGRAFIA</t>
  </si>
  <si>
    <t>GRAVADOR E REPRODUTOR .</t>
  </si>
  <si>
    <t>CAMERA PROFISSIONAL</t>
  </si>
  <si>
    <t>PENTA SCANNER</t>
  </si>
  <si>
    <t>SPRINTER 312D – 2001</t>
  </si>
  <si>
    <t>PERFURADOR DE EXPIRAIS</t>
  </si>
  <si>
    <t>MAQUINA PERFURADORA</t>
  </si>
  <si>
    <t>ESTACAO VISUALIZACAO DE PROVAS DE IMPRESSAO</t>
  </si>
  <si>
    <t>COTADO POR IPCA</t>
  </si>
  <si>
    <t>AVAYA SCOPIA PATHFINDER 10PTS SISTEMA PARA ACESSO SEGURO</t>
  </si>
  <si>
    <t>ELEVADOR HIDRAULICO .</t>
  </si>
  <si>
    <t>ARQUIVO DESLIZANTE 05</t>
  </si>
  <si>
    <t>ARQUIVO DESLIZANTE 02</t>
  </si>
  <si>
    <t>MAQUINA CHANCELADORA/ASSINADORA, DATADORA AUTOMATICA</t>
  </si>
  <si>
    <t>CRUZE SEDAN MIDNIGHT 1.4 – 2023</t>
  </si>
  <si>
    <t>SOLUÇÃO DE TELEFONIA (GATEWAY PARA LOCALIDADE REMOTA)</t>
  </si>
  <si>
    <t>APARELHO DE VIDEO BETACAM 01</t>
  </si>
  <si>
    <t>SOLUÇÃO DE TELEFONIA (GATEWAY)</t>
  </si>
  <si>
    <t>APARELHO DE VIDEO DVCAM</t>
  </si>
  <si>
    <t>ARQUIVO DESLIZANTE 06</t>
  </si>
  <si>
    <t>FURADEIRA DUPLA 3</t>
  </si>
  <si>
    <t>ARQUIVO DESLIZANTE 03</t>
  </si>
  <si>
    <t>ARQUIVO DESLIZANTE 04</t>
  </si>
  <si>
    <t>ARQUIVO DESLIZANTE 01</t>
  </si>
  <si>
    <t>100012415.2</t>
  </si>
  <si>
    <t>IMPRESSORA DO TIPO PLOTTER</t>
  </si>
  <si>
    <t>3 com 100s</t>
  </si>
  <si>
    <t>100012415.1</t>
  </si>
  <si>
    <t>HP DESIGNJET T2300</t>
  </si>
  <si>
    <t>100010413.4</t>
  </si>
  <si>
    <t xml:space="preserve">HP SCANJET 7400C C7716A </t>
  </si>
  <si>
    <t>FUJITSU S-510</t>
  </si>
  <si>
    <t>ES30 SHELF</t>
  </si>
  <si>
    <t>OPTIPLEX 7010 DESKTOP TIPO I e II</t>
  </si>
  <si>
    <t xml:space="preserve">OPTIPLEX 7020 </t>
  </si>
  <si>
    <t xml:space="preserve">THERMALTAKE VERSA H22 PLUS </t>
  </si>
  <si>
    <t xml:space="preserve">HP - COMPAQ DC 7900 </t>
  </si>
  <si>
    <t>100010395.8</t>
  </si>
  <si>
    <t>MICROCOMPUTADOR PORTATIL NOTEBOOK</t>
  </si>
  <si>
    <t>A1502</t>
  </si>
  <si>
    <t>UNIDADE APPLIANCE DE BACKUP</t>
  </si>
  <si>
    <t>DELL - DATA DOMAIN DD6800</t>
  </si>
  <si>
    <t>100012827.1</t>
  </si>
  <si>
    <t>100012827.2</t>
  </si>
  <si>
    <t>100012827.3</t>
  </si>
  <si>
    <t>100012827.4</t>
  </si>
  <si>
    <t>CISCO - DADOS PARA LONGA RETENÇÃO</t>
  </si>
  <si>
    <t>CISCO - DADOS PARA CURTA RETENÇÃO</t>
  </si>
  <si>
    <t>DELL - P570F</t>
  </si>
  <si>
    <t>100012801.1</t>
  </si>
  <si>
    <t xml:space="preserve">TABLET </t>
  </si>
  <si>
    <t xml:space="preserve">APPLE </t>
  </si>
  <si>
    <t>100012801.2</t>
  </si>
  <si>
    <t xml:space="preserve">SAMSUNG </t>
  </si>
  <si>
    <t xml:space="preserve"> MCU ELITE 6110 SISTEMA DE UNIDADES DE CONTROLE MULTIPONTO</t>
  </si>
  <si>
    <t>MODULO SWITCH</t>
  </si>
  <si>
    <t>CISCO LEAF NEXUS93180YC-EX</t>
  </si>
  <si>
    <t>100012515.1</t>
  </si>
  <si>
    <t>100012515.2</t>
  </si>
  <si>
    <t>CISCO SPINE NEXUS93180YC-EX</t>
  </si>
  <si>
    <t>SERVIDOR BLADE PARA CHASSI</t>
  </si>
  <si>
    <t>MÓDULO DE ESPANSÃO</t>
  </si>
  <si>
    <t>LEITORA DE CODIGO DE BARRA</t>
  </si>
  <si>
    <t>MÓDULO DE EXPANSÃO DO SUBSISTEMA DE ARMAZENAMENTO DE DADOS</t>
  </si>
  <si>
    <t>LEITOR DE DADOS MÓVEL</t>
  </si>
  <si>
    <t>SERVIDOR EM  LÂMINA</t>
  </si>
  <si>
    <t xml:space="preserve">MONITOR DE VIDEO .			</t>
  </si>
  <si>
    <t>PHILIPS 271P4QPJKEB</t>
  </si>
  <si>
    <t>100012465.12</t>
  </si>
  <si>
    <t>EQUIPAMENTO DA SOLUÇÃO PARA GERENCIAMENTO DE ACESSO PRIVILEGIADO</t>
  </si>
  <si>
    <t>SOLUÇÃO DE BACKUP ITEM 1.4</t>
  </si>
  <si>
    <t>CODEC AVAYA XT TERMINAIS DE COMUNICAÇÃO FULL HD</t>
  </si>
  <si>
    <t>CHASSI PARA SERVIDOR BLADES</t>
  </si>
  <si>
    <t>"SERVIDOR DE REDE, MARCA IBM,
MODELO 6C4, CÓDIGO DE
IDENTIFICAÇÃO 7028-6C4"</t>
  </si>
  <si>
    <t>UNIDADE DE ARMAZENAMENTO</t>
  </si>
  <si>
    <t>DAHUA NVR608</t>
  </si>
  <si>
    <t>100012867.1</t>
  </si>
  <si>
    <t>100012867.2</t>
  </si>
  <si>
    <t>EMC NX3240</t>
  </si>
  <si>
    <t xml:space="preserve"> </t>
  </si>
  <si>
    <t xml:space="preserve">APARELHO TELEFONICO IP (INTERMEDIARIO)	</t>
  </si>
  <si>
    <t>9620D</t>
  </si>
  <si>
    <t>100012598.2</t>
  </si>
  <si>
    <t xml:space="preserve">APARELHO TELEFONICO IP (INTERMEDIARIO) </t>
  </si>
  <si>
    <t>9611G</t>
  </si>
  <si>
    <t>100012598.1</t>
  </si>
  <si>
    <t>APARELHO TELEFONICO IP (AVANÇADO)</t>
  </si>
  <si>
    <t>9641G</t>
  </si>
  <si>
    <t>APARELHO TELEFONICO IP ( AVANÇADO)</t>
  </si>
  <si>
    <t>9640G</t>
  </si>
  <si>
    <t>100012519.1</t>
  </si>
  <si>
    <t>100012519.2</t>
  </si>
  <si>
    <t xml:space="preserve"> 2 GAVETAS DE (FILMES)</t>
  </si>
  <si>
    <t xml:space="preserve">MESA DE RETOQUE </t>
  </si>
  <si>
    <t xml:space="preserve"> MESA DE RETOQUE</t>
  </si>
  <si>
    <t xml:space="preserve">MR 80 </t>
  </si>
  <si>
    <t>100002319.3</t>
  </si>
  <si>
    <t>100002321 .1</t>
  </si>
  <si>
    <t>IPCA 500,00</t>
  </si>
  <si>
    <t>100002321.2</t>
  </si>
  <si>
    <t>IPCA 800,00</t>
  </si>
  <si>
    <t>100002323.1</t>
  </si>
  <si>
    <t>100002323.2</t>
  </si>
  <si>
    <t>100002323.3</t>
  </si>
  <si>
    <t>100002325.1</t>
  </si>
  <si>
    <t>100002325.2</t>
  </si>
  <si>
    <t>100002325.3</t>
  </si>
  <si>
    <t>100013122.1</t>
  </si>
  <si>
    <t>PERFURAMAX 50</t>
  </si>
  <si>
    <t>100013122.2</t>
  </si>
  <si>
    <t xml:space="preserve">MINIMAX </t>
  </si>
  <si>
    <t>MAQUINA GRAMPEADORA</t>
  </si>
  <si>
    <t>100013124.1</t>
  </si>
  <si>
    <t>100013124.2</t>
  </si>
  <si>
    <t>GUILHOTINA INDUSTRIAL PARA PAPEL</t>
  </si>
  <si>
    <t>GUARANY CN/V</t>
  </si>
  <si>
    <t xml:space="preserve">GUILHOTINA INDUSTRIAL PARA PAPEL </t>
  </si>
  <si>
    <t>IDEAL 4810-95</t>
  </si>
  <si>
    <t>POLAR MCHR N 78 PLUS - MO78-21</t>
  </si>
  <si>
    <t>MAQUINA COLADEIRA DE REVISTA E BROCHURA</t>
  </si>
  <si>
    <t>TREMAT PARA MAQUINA DOBRADEIRA</t>
  </si>
  <si>
    <t>MESA VIBRATORIA MOTORIZADA</t>
  </si>
  <si>
    <t>LAMINADORA</t>
  </si>
  <si>
    <t xml:space="preserve"> MAQUINA CAPEADEIRA E COLADEIRA DE CAPAS DE LIVROS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</si>
</sst>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.00_-;\-* #,##0.00_-;_-* \-??_-;_-@"/>
    <numFmt numFmtId="167" formatCode="&quot;R$&quot;\ #,##0.00"/>
  </numFmts>
  <fonts count="18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00"/>
      <name val="Calibri"/>
      <family val="2"/>
      <charset val="1"/>
    </font>
    <font>
      <sz val="11"/>
      <color theme="0"/>
      <name val="Calibri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Verdana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00FC28"/>
        <bgColor rgb="FF00FFFF"/>
      </patternFill>
    </fill>
    <fill>
      <patternFill patternType="solid">
        <fgColor theme="4"/>
        <bgColor rgb="FF808080"/>
      </patternFill>
    </fill>
    <fill>
      <patternFill patternType="solid">
        <fgColor theme="3" tint="0.59978026673177287"/>
        <bgColor rgb="FF9999FF"/>
      </patternFill>
    </fill>
    <fill>
      <patternFill patternType="solid">
        <fgColor theme="0"/>
        <bgColor rgb="FFFFFFC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>
      <alignment horizontal="left"/>
    </xf>
    <xf numFmtId="0" fontId="1" fillId="0" borderId="0"/>
    <xf numFmtId="0" fontId="2" fillId="0" borderId="0" applyBorder="0" applyProtection="0"/>
    <xf numFmtId="0" fontId="2" fillId="0" borderId="0" applyBorder="0" applyProtection="0">
      <alignment horizontal="left"/>
    </xf>
    <xf numFmtId="0" fontId="16" fillId="0" borderId="0" applyBorder="0" applyProtection="0"/>
  </cellStyleXfs>
  <cellXfs count="122">
    <xf numFmtId="0" fontId="0" fillId="0" borderId="0" xfId="0"/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5" fillId="3" borderId="1" xfId="1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6" fillId="4" borderId="1" xfId="1" applyFont="1" applyFill="1" applyBorder="1" applyAlignment="1" applyProtection="1">
      <alignment vertical="center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 applyProtection="1">
      <alignment horizontal="center"/>
      <protection hidden="1"/>
    </xf>
    <xf numFmtId="0" fontId="8" fillId="5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164" fontId="16" fillId="0" borderId="3" xfId="1" applyBorder="1" applyProtection="1">
      <protection locked="0"/>
    </xf>
    <xf numFmtId="0" fontId="0" fillId="0" borderId="1" xfId="0" applyBorder="1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164" fontId="16" fillId="0" borderId="3" xfId="1" applyBorder="1" applyProtection="1"/>
    <xf numFmtId="1" fontId="0" fillId="0" borderId="10" xfId="0" applyNumberFormat="1" applyBorder="1" applyAlignment="1" applyProtection="1">
      <alignment horizontal="center" vertical="center"/>
      <protection locked="0"/>
    </xf>
    <xf numFmtId="1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 applyProtection="1">
      <alignment horizontal="left" vertical="center"/>
      <protection locked="0"/>
    </xf>
    <xf numFmtId="1" fontId="0" fillId="0" borderId="11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16" fillId="0" borderId="6" xfId="1" applyBorder="1" applyProtection="1">
      <protection locked="0"/>
    </xf>
    <xf numFmtId="0" fontId="0" fillId="0" borderId="10" xfId="0" applyBorder="1" applyAlignment="1">
      <alignment horizontal="center" vertical="center" shrinkToFit="1"/>
    </xf>
    <xf numFmtId="4" fontId="0" fillId="0" borderId="3" xfId="0" applyNumberFormat="1" applyBorder="1"/>
    <xf numFmtId="0" fontId="0" fillId="0" borderId="10" xfId="0" applyBorder="1" applyAlignment="1">
      <alignment horizontal="center" vertical="center"/>
    </xf>
    <xf numFmtId="0" fontId="0" fillId="0" borderId="3" xfId="0" applyBorder="1"/>
    <xf numFmtId="1" fontId="12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4" fontId="16" fillId="0" borderId="0" xfId="1" applyBorder="1" applyProtection="1">
      <protection locked="0"/>
    </xf>
    <xf numFmtId="4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/>
    </xf>
    <xf numFmtId="1" fontId="0" fillId="0" borderId="10" xfId="0" applyNumberFormat="1" applyBorder="1" applyAlignment="1">
      <alignment horizontal="center" vertical="center" wrapText="1"/>
    </xf>
    <xf numFmtId="0" fontId="0" fillId="0" borderId="4" xfId="0" applyBorder="1" applyAlignment="1" applyProtection="1">
      <alignment horizontal="center" vertical="center"/>
      <protection locked="0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14" fillId="0" borderId="10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/>
    </xf>
    <xf numFmtId="4" fontId="15" fillId="0" borderId="3" xfId="0" applyNumberFormat="1" applyFont="1" applyBorder="1"/>
    <xf numFmtId="49" fontId="0" fillId="0" borderId="1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" fontId="0" fillId="0" borderId="9" xfId="0" applyNumberFormat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64" fontId="16" fillId="0" borderId="6" xfId="1" applyBorder="1" applyProtection="1"/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49" fontId="0" fillId="0" borderId="12" xfId="0" applyNumberFormat="1" applyBorder="1" applyAlignment="1">
      <alignment horizontal="center" vertical="center"/>
    </xf>
    <xf numFmtId="0" fontId="0" fillId="0" borderId="4" xfId="0" applyBorder="1"/>
    <xf numFmtId="4" fontId="0" fillId="0" borderId="6" xfId="0" applyNumberFormat="1" applyBorder="1"/>
    <xf numFmtId="1" fontId="12" fillId="0" borderId="12" xfId="0" applyNumberFormat="1" applyFont="1" applyBorder="1" applyAlignment="1">
      <alignment horizontal="center" vertical="center"/>
    </xf>
    <xf numFmtId="4" fontId="15" fillId="0" borderId="6" xfId="0" applyNumberFormat="1" applyFont="1" applyBorder="1"/>
    <xf numFmtId="0" fontId="0" fillId="0" borderId="10" xfId="0" applyBorder="1" applyAlignment="1" applyProtection="1">
      <alignment vertical="center"/>
      <protection locked="0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3" xfId="0" applyBorder="1" applyAlignment="1" applyProtection="1">
      <alignment horizontal="right" vertical="center"/>
      <protection locked="0"/>
    </xf>
    <xf numFmtId="164" fontId="16" fillId="0" borderId="1" xfId="1" applyBorder="1" applyProtection="1">
      <protection locked="0"/>
    </xf>
    <xf numFmtId="4" fontId="0" fillId="0" borderId="3" xfId="0" applyNumberFormat="1" applyBorder="1" applyAlignment="1" applyProtection="1">
      <alignment horizontal="right" vertical="center"/>
      <protection locked="0"/>
    </xf>
    <xf numFmtId="0" fontId="13" fillId="0" borderId="3" xfId="0" applyFont="1" applyBorder="1" applyAlignment="1" applyProtection="1">
      <alignment horizontal="left" vertical="center"/>
      <protection locked="0"/>
    </xf>
    <xf numFmtId="164" fontId="16" fillId="0" borderId="4" xfId="1" applyBorder="1" applyProtection="1">
      <protection locked="0"/>
    </xf>
    <xf numFmtId="0" fontId="0" fillId="0" borderId="4" xfId="0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shrinkToFit="1"/>
    </xf>
    <xf numFmtId="0" fontId="0" fillId="0" borderId="3" xfId="0" applyBorder="1" applyAlignment="1" applyProtection="1">
      <alignment horizontal="left" vertical="center" wrapText="1"/>
      <protection locked="0"/>
    </xf>
    <xf numFmtId="4" fontId="0" fillId="0" borderId="6" xfId="0" applyNumberFormat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0" fillId="0" borderId="4" xfId="0" applyBorder="1" applyAlignment="1" applyProtection="1">
      <alignment vertical="center"/>
      <protection locked="0"/>
    </xf>
    <xf numFmtId="0" fontId="0" fillId="0" borderId="0" xfId="0" applyBorder="1" applyAlignment="1">
      <alignment horizontal="left" vertical="center"/>
    </xf>
    <xf numFmtId="1" fontId="0" fillId="0" borderId="0" xfId="0" applyNumberFormat="1" applyBorder="1" applyAlignment="1">
      <alignment horizontal="center" vertical="center"/>
    </xf>
    <xf numFmtId="0" fontId="14" fillId="0" borderId="6" xfId="0" applyFont="1" applyBorder="1"/>
    <xf numFmtId="0" fontId="0" fillId="7" borderId="4" xfId="0" applyFill="1" applyBorder="1" applyAlignment="1" applyProtection="1">
      <alignment horizontal="center" vertical="center"/>
      <protection locked="0"/>
    </xf>
    <xf numFmtId="164" fontId="16" fillId="0" borderId="6" xfId="1" applyBorder="1" applyAlignment="1" applyProtection="1">
      <alignment horizontal="right" wrapText="1"/>
      <protection locked="0"/>
    </xf>
    <xf numFmtId="4" fontId="0" fillId="0" borderId="10" xfId="0" applyNumberFormat="1" applyBorder="1" applyAlignment="1">
      <alignment horizontal="center" vertical="center" shrinkToFit="1"/>
    </xf>
    <xf numFmtId="4" fontId="0" fillId="0" borderId="10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" fontId="0" fillId="0" borderId="4" xfId="0" applyNumberFormat="1" applyBorder="1"/>
    <xf numFmtId="167" fontId="0" fillId="0" borderId="4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left" vertical="center"/>
    </xf>
    <xf numFmtId="167" fontId="0" fillId="0" borderId="10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4" fontId="0" fillId="0" borderId="1" xfId="0" applyNumberFormat="1" applyBorder="1" applyAlignment="1" applyProtection="1">
      <alignment horizontal="right" vertical="center"/>
      <protection locked="0"/>
    </xf>
  </cellXfs>
  <cellStyles count="9">
    <cellStyle name="Campo da tabela dinâmica" xfId="2" xr:uid="{00000000-0005-0000-0000-000006000000}"/>
    <cellStyle name="Canto da tabela dinâmica" xfId="3" xr:uid="{00000000-0005-0000-0000-000007000000}"/>
    <cellStyle name="Categoria da tabela dinâmica" xfId="4" xr:uid="{00000000-0005-0000-0000-000008000000}"/>
    <cellStyle name="Normal" xfId="0" builtinId="0"/>
    <cellStyle name="Normal 2" xfId="5" xr:uid="{00000000-0005-0000-0000-000009000000}"/>
    <cellStyle name="Resultado da tabela dinâmica" xfId="6" xr:uid="{00000000-0005-0000-0000-00000A000000}"/>
    <cellStyle name="Título da tabela dinâmica" xfId="7" xr:uid="{00000000-0005-0000-0000-00000B000000}"/>
    <cellStyle name="Valor da tabela dinâmica" xfId="8" xr:uid="{00000000-0005-0000-0000-00000C000000}"/>
    <cellStyle name="Vírgul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C28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D571" totalsRowShown="0">
  <autoFilter ref="A1:D571" xr:uid="{00000000-0009-0000-0100-000001000000}"/>
  <sortState xmlns:xlrd2="http://schemas.microsoft.com/office/spreadsheetml/2017/richdata2" ref="A2:D571">
    <sortCondition ref="A1:A571"/>
  </sortState>
  <tableColumns count="4">
    <tableColumn id="1" xr3:uid="{00000000-0010-0000-0000-000001000000}" name="CÓDIGO"/>
    <tableColumn id="2" xr3:uid="{00000000-0010-0000-0000-000002000000}" name="MATERIAL"/>
    <tableColumn id="3" xr3:uid="{00000000-0010-0000-0000-000003000000}" name="CARACTERÍSTICAS"/>
    <tableColumn id="4" xr3:uid="{00000000-0010-0000-0000-000004000000}" name="VL_MERC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2" displayName="Tabela22" ref="A1:D1056" totalsRowShown="0">
  <autoFilter ref="A1:D1056" xr:uid="{00000000-0009-0000-0100-000002000000}"/>
  <tableColumns count="4">
    <tableColumn id="1" xr3:uid="{00000000-0010-0000-0100-000001000000}" name="CÓDIGO"/>
    <tableColumn id="2" xr3:uid="{00000000-0010-0000-0100-000002000000}" name="MATERIAL"/>
    <tableColumn id="3" xr3:uid="{00000000-0010-0000-0100-000003000000}" name="CARACTERÍSTICAS"/>
    <tableColumn id="4" xr3:uid="{00000000-0010-0000-0100-000004000000}" name="VL_MERC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zoomScale="115" zoomScaleNormal="115" workbookViewId="0">
      <selection activeCell="F4" sqref="F4"/>
    </sheetView>
  </sheetViews>
  <sheetFormatPr defaultColWidth="8.7109375" defaultRowHeight="15" customHeight="1" x14ac:dyDescent="0.25"/>
  <cols>
    <col min="1" max="6" width="12.7109375" customWidth="1"/>
    <col min="7" max="7" width="21" customWidth="1"/>
    <col min="8" max="8" width="25.28515625" customWidth="1"/>
    <col min="16378" max="16384" width="11.5703125" customWidth="1"/>
  </cols>
  <sheetData>
    <row r="1" spans="1:10" ht="19.5" customHeight="1" x14ac:dyDescent="0.25">
      <c r="A1" s="94" t="s">
        <v>0</v>
      </c>
      <c r="B1" s="94"/>
      <c r="C1" s="94"/>
      <c r="D1" s="94"/>
      <c r="E1" s="94"/>
      <c r="F1" s="94"/>
      <c r="G1" s="94"/>
      <c r="H1" s="94"/>
    </row>
    <row r="2" spans="1:10" ht="15.75" customHeight="1" x14ac:dyDescent="0.25">
      <c r="A2" s="95" t="s">
        <v>1</v>
      </c>
      <c r="B2" s="95"/>
      <c r="C2" s="95"/>
      <c r="D2" s="95"/>
      <c r="F2" s="96" t="s">
        <v>2</v>
      </c>
      <c r="G2" s="96"/>
      <c r="H2" s="5">
        <f>IFERROR(VLOOKUP(F4,BD,4,FALSE()),"")</f>
        <v>1231419.07</v>
      </c>
    </row>
    <row r="3" spans="1:10" x14ac:dyDescent="0.25">
      <c r="A3" s="97" t="s">
        <v>3</v>
      </c>
      <c r="B3" s="97"/>
      <c r="C3" s="97"/>
      <c r="D3" s="6" t="s">
        <v>4</v>
      </c>
      <c r="E3" s="7"/>
      <c r="F3" s="98" t="s">
        <v>5</v>
      </c>
      <c r="G3" s="98"/>
      <c r="H3" s="8">
        <f>SUM(H2*E11)</f>
        <v>430996.67450000002</v>
      </c>
    </row>
    <row r="4" spans="1:10" x14ac:dyDescent="0.25">
      <c r="A4" s="97" t="s">
        <v>6</v>
      </c>
      <c r="B4" s="97"/>
      <c r="C4" s="97"/>
      <c r="D4" s="9">
        <v>10</v>
      </c>
      <c r="E4" s="10"/>
      <c r="F4" s="11">
        <v>100012820</v>
      </c>
      <c r="G4" s="99" t="str">
        <f>IFERROR(VLOOKUP(F4,BD,2,FALSE()),"")</f>
        <v xml:space="preserve"> MAQUINA CAPEADEIRA E COLADEIRA DE CAPAS DE LIVROS</v>
      </c>
      <c r="H4" s="99"/>
      <c r="J4" s="12"/>
    </row>
    <row r="5" spans="1:10" x14ac:dyDescent="0.25">
      <c r="A5" s="100" t="s">
        <v>7</v>
      </c>
      <c r="B5" s="100"/>
      <c r="C5" s="100"/>
      <c r="D5" s="6">
        <v>4</v>
      </c>
      <c r="E5" s="7"/>
      <c r="F5" s="99">
        <f>IFERROR(VLOOKUP(F4,BD,3,FALSE()),"")</f>
        <v>0</v>
      </c>
      <c r="G5" s="99"/>
      <c r="H5" s="99"/>
    </row>
    <row r="6" spans="1:10" x14ac:dyDescent="0.25">
      <c r="A6" s="13"/>
      <c r="E6" s="7"/>
      <c r="F6" s="7"/>
      <c r="G6" s="7"/>
    </row>
    <row r="7" spans="1:10" ht="15" customHeight="1" x14ac:dyDescent="0.25">
      <c r="A7" s="95" t="s">
        <v>8</v>
      </c>
      <c r="B7" s="95"/>
      <c r="C7" s="95"/>
      <c r="D7" s="95"/>
      <c r="E7" s="95"/>
      <c r="F7" s="95"/>
      <c r="G7" s="101" t="s">
        <v>9</v>
      </c>
      <c r="H7" s="101"/>
    </row>
    <row r="8" spans="1:10" x14ac:dyDescent="0.25">
      <c r="A8" s="2"/>
      <c r="B8" s="3" t="s">
        <v>10</v>
      </c>
      <c r="C8" s="2"/>
      <c r="D8" s="3" t="s">
        <v>11</v>
      </c>
      <c r="E8" s="2"/>
      <c r="F8" s="3" t="s">
        <v>12</v>
      </c>
      <c r="G8" s="101"/>
      <c r="H8" s="101"/>
    </row>
    <row r="9" spans="1:10" x14ac:dyDescent="0.25">
      <c r="A9" s="14">
        <v>4</v>
      </c>
      <c r="B9" s="3">
        <f>IFERROR(VLOOKUP(D3,Fisico,2,FALSE()),"")</f>
        <v>8</v>
      </c>
      <c r="C9" s="2">
        <v>6</v>
      </c>
      <c r="D9" s="3">
        <f>IFERROR(VLOOKUP(D4,Parametros!PU,2,FALSE()),"")</f>
        <v>1</v>
      </c>
      <c r="E9" s="2">
        <v>3</v>
      </c>
      <c r="F9" s="3">
        <f>IFERROR(VLOOKUP(D5,Parametros!VUF,2,FALSE()),"")</f>
        <v>1</v>
      </c>
      <c r="G9" s="101"/>
      <c r="H9" s="101"/>
    </row>
    <row r="10" spans="1:10" x14ac:dyDescent="0.25">
      <c r="A10" s="99">
        <f>IFERROR((A9*B9),"")</f>
        <v>32</v>
      </c>
      <c r="B10" s="99"/>
      <c r="C10" s="99">
        <f>IFERROR((C9*D9),"")</f>
        <v>6</v>
      </c>
      <c r="D10" s="99"/>
      <c r="E10" s="99">
        <f>IFERROR((E9*F9),"")</f>
        <v>3</v>
      </c>
      <c r="F10" s="99"/>
      <c r="G10" s="101"/>
      <c r="H10" s="101"/>
    </row>
    <row r="11" spans="1:10" x14ac:dyDescent="0.25">
      <c r="A11" s="102" t="s">
        <v>13</v>
      </c>
      <c r="B11" s="102"/>
      <c r="C11" s="102"/>
      <c r="D11" s="15">
        <f>SUM(A10+C10-E10)%</f>
        <v>0.35</v>
      </c>
      <c r="E11" s="16">
        <f>SUM(A10+C10-E10)/100</f>
        <v>0.35</v>
      </c>
      <c r="F11" s="17"/>
      <c r="G11" s="7"/>
    </row>
    <row r="12" spans="1:10" ht="9.75" customHeight="1" x14ac:dyDescent="0.25">
      <c r="A12" s="7"/>
      <c r="B12" s="7"/>
      <c r="C12" s="7"/>
      <c r="D12" s="7"/>
      <c r="E12" s="7"/>
      <c r="F12" s="7"/>
      <c r="G12" s="7"/>
    </row>
    <row r="13" spans="1:10" x14ac:dyDescent="0.25">
      <c r="A13" s="94" t="s">
        <v>14</v>
      </c>
      <c r="B13" s="94"/>
      <c r="C13" s="94"/>
      <c r="D13" s="94"/>
      <c r="E13" s="94"/>
      <c r="F13" s="94"/>
    </row>
    <row r="14" spans="1:10" x14ac:dyDescent="0.25">
      <c r="A14" s="103" t="s">
        <v>15</v>
      </c>
      <c r="B14" s="103"/>
      <c r="C14" s="103" t="s">
        <v>16</v>
      </c>
      <c r="D14" s="103"/>
      <c r="E14" s="103" t="s">
        <v>17</v>
      </c>
      <c r="F14" s="103"/>
      <c r="G14" s="7"/>
    </row>
    <row r="15" spans="1:10" x14ac:dyDescent="0.25">
      <c r="A15" s="4" t="s">
        <v>18</v>
      </c>
      <c r="B15" s="4" t="s">
        <v>19</v>
      </c>
      <c r="C15" s="4" t="s">
        <v>18</v>
      </c>
      <c r="D15" s="4" t="s">
        <v>19</v>
      </c>
      <c r="E15" s="4" t="s">
        <v>18</v>
      </c>
      <c r="F15" s="4" t="s">
        <v>19</v>
      </c>
      <c r="G15" s="7"/>
    </row>
    <row r="16" spans="1:10" x14ac:dyDescent="0.25">
      <c r="A16" s="4" t="s">
        <v>20</v>
      </c>
      <c r="B16" s="4">
        <v>8</v>
      </c>
      <c r="C16" s="4" t="s">
        <v>21</v>
      </c>
      <c r="D16" s="4">
        <v>1</v>
      </c>
      <c r="E16" s="4" t="s">
        <v>22</v>
      </c>
      <c r="F16" s="4">
        <v>1</v>
      </c>
      <c r="G16" s="7"/>
    </row>
    <row r="17" spans="1:7" x14ac:dyDescent="0.25">
      <c r="A17" s="4" t="s">
        <v>23</v>
      </c>
      <c r="B17" s="4">
        <v>5</v>
      </c>
      <c r="C17" s="4" t="s">
        <v>24</v>
      </c>
      <c r="D17" s="4">
        <v>2</v>
      </c>
      <c r="E17" s="4"/>
      <c r="F17" s="4"/>
      <c r="G17" s="7"/>
    </row>
    <row r="18" spans="1:7" x14ac:dyDescent="0.25">
      <c r="A18" s="4" t="s">
        <v>25</v>
      </c>
      <c r="B18" s="4">
        <v>2</v>
      </c>
      <c r="C18" s="4" t="s">
        <v>26</v>
      </c>
      <c r="D18" s="4">
        <v>3</v>
      </c>
      <c r="E18" s="4"/>
      <c r="F18" s="4"/>
      <c r="G18" s="7"/>
    </row>
    <row r="19" spans="1:7" x14ac:dyDescent="0.25">
      <c r="A19" s="4"/>
      <c r="B19" s="4"/>
      <c r="C19" s="4" t="s">
        <v>27</v>
      </c>
      <c r="D19" s="4">
        <v>4</v>
      </c>
      <c r="E19" s="4"/>
      <c r="F19" s="4"/>
      <c r="G19" s="7"/>
    </row>
    <row r="20" spans="1:7" x14ac:dyDescent="0.25">
      <c r="A20" s="4"/>
      <c r="B20" s="4"/>
      <c r="C20" s="4" t="s">
        <v>28</v>
      </c>
      <c r="D20" s="4">
        <v>5</v>
      </c>
      <c r="E20" s="4"/>
      <c r="F20" s="4"/>
      <c r="G20" s="7"/>
    </row>
    <row r="21" spans="1:7" x14ac:dyDescent="0.25">
      <c r="A21" s="4"/>
      <c r="B21" s="4"/>
      <c r="C21" s="4" t="s">
        <v>29</v>
      </c>
      <c r="D21" s="4">
        <v>6</v>
      </c>
      <c r="E21" s="4"/>
      <c r="F21" s="4"/>
      <c r="G21" s="7"/>
    </row>
    <row r="22" spans="1:7" x14ac:dyDescent="0.25">
      <c r="A22" s="4"/>
      <c r="B22" s="4"/>
      <c r="C22" s="4" t="s">
        <v>22</v>
      </c>
      <c r="D22" s="4">
        <v>7</v>
      </c>
      <c r="E22" s="4"/>
      <c r="F22" s="4"/>
      <c r="G22" s="7"/>
    </row>
    <row r="23" spans="1:7" x14ac:dyDescent="0.25">
      <c r="A23" s="3"/>
      <c r="B23" s="3"/>
      <c r="C23" s="4" t="s">
        <v>30</v>
      </c>
      <c r="D23" s="4">
        <v>8</v>
      </c>
      <c r="E23" s="4"/>
      <c r="F23" s="4"/>
      <c r="G23" s="7"/>
    </row>
    <row r="24" spans="1:7" x14ac:dyDescent="0.25">
      <c r="A24" s="3"/>
      <c r="B24" s="3"/>
      <c r="C24" s="4" t="s">
        <v>31</v>
      </c>
      <c r="D24" s="4">
        <v>9</v>
      </c>
      <c r="E24" s="4"/>
      <c r="F24" s="4"/>
      <c r="G24" s="7"/>
    </row>
    <row r="25" spans="1:7" x14ac:dyDescent="0.25">
      <c r="A25" s="3"/>
      <c r="B25" s="3"/>
      <c r="C25" s="4" t="s">
        <v>32</v>
      </c>
      <c r="D25" s="4">
        <v>10</v>
      </c>
      <c r="E25" s="4"/>
      <c r="F25" s="4"/>
      <c r="G25" s="7"/>
    </row>
  </sheetData>
  <mergeCells count="19">
    <mergeCell ref="A11:C11"/>
    <mergeCell ref="A13:F13"/>
    <mergeCell ref="A14:B14"/>
    <mergeCell ref="C14:D14"/>
    <mergeCell ref="E14:F14"/>
    <mergeCell ref="A4:C4"/>
    <mergeCell ref="G4:H4"/>
    <mergeCell ref="A5:C5"/>
    <mergeCell ref="F5:H5"/>
    <mergeCell ref="A7:F7"/>
    <mergeCell ref="G7:H10"/>
    <mergeCell ref="A10:B10"/>
    <mergeCell ref="C10:D10"/>
    <mergeCell ref="E10:F10"/>
    <mergeCell ref="A1:H1"/>
    <mergeCell ref="A2:D2"/>
    <mergeCell ref="F2:G2"/>
    <mergeCell ref="A3:C3"/>
    <mergeCell ref="F3:G3"/>
  </mergeCells>
  <dataValidations count="1">
    <dataValidation type="list" operator="equal" allowBlank="1" showErrorMessage="1" sqref="F4" xr:uid="{00000000-0002-0000-0000-000000000000}">
      <formula1>cotacao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scale="118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Parametros!$A$2:$A$4</xm:f>
          </x14:formula1>
          <x14:formula2>
            <xm:f>0</xm:f>
          </x14:formula2>
          <xm:sqref>D3</xm:sqref>
        </x14:dataValidation>
        <x14:dataValidation type="list" allowBlank="1" showInputMessage="1" showErrorMessage="1" xr:uid="{00000000-0002-0000-0000-000002000000}">
          <x14:formula1>
            <xm:f>Parametros!$A$7:$A$16</xm:f>
          </x14:formula1>
          <x14:formula2>
            <xm:f>0</xm:f>
          </x14:formula2>
          <xm:sqref>D4</xm:sqref>
        </x14:dataValidation>
        <x14:dataValidation type="list" allowBlank="1" showInputMessage="1" showErrorMessage="1" xr:uid="{00000000-0002-0000-0000-000003000000}">
          <x14:formula1>
            <xm:f>Parametros!$A$20</xm:f>
          </x14:formula1>
          <x14:formula2>
            <xm:f>0</xm:f>
          </x14:formula2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>
      <selection activeCell="H24" sqref="H24"/>
    </sheetView>
  </sheetViews>
  <sheetFormatPr defaultColWidth="8.7109375" defaultRowHeight="15" customHeight="1" x14ac:dyDescent="0.25"/>
  <cols>
    <col min="1" max="1" width="14.140625" customWidth="1"/>
  </cols>
  <sheetData>
    <row r="1" spans="1:3" x14ac:dyDescent="0.25">
      <c r="A1" s="18" t="s">
        <v>33</v>
      </c>
      <c r="B1" s="1" t="s">
        <v>34</v>
      </c>
      <c r="C1" s="104" t="s">
        <v>10</v>
      </c>
    </row>
    <row r="2" spans="1:3" x14ac:dyDescent="0.25">
      <c r="A2" s="19" t="s">
        <v>4</v>
      </c>
      <c r="B2" s="19">
        <v>8</v>
      </c>
      <c r="C2" s="104"/>
    </row>
    <row r="3" spans="1:3" x14ac:dyDescent="0.25">
      <c r="A3" s="19" t="s">
        <v>35</v>
      </c>
      <c r="B3" s="19">
        <v>5</v>
      </c>
      <c r="C3" s="104"/>
    </row>
    <row r="4" spans="1:3" x14ac:dyDescent="0.25">
      <c r="A4" s="19" t="s">
        <v>36</v>
      </c>
      <c r="B4" s="19">
        <v>2</v>
      </c>
      <c r="C4" s="104"/>
    </row>
    <row r="5" spans="1:3" ht="6" customHeight="1" x14ac:dyDescent="0.25"/>
    <row r="6" spans="1:3" x14ac:dyDescent="0.25">
      <c r="A6" s="1" t="s">
        <v>37</v>
      </c>
      <c r="B6" s="1" t="s">
        <v>34</v>
      </c>
      <c r="C6" s="105" t="s">
        <v>11</v>
      </c>
    </row>
    <row r="7" spans="1:3" x14ac:dyDescent="0.25">
      <c r="A7" s="20">
        <v>1</v>
      </c>
      <c r="B7" s="19">
        <v>10</v>
      </c>
      <c r="C7" s="105"/>
    </row>
    <row r="8" spans="1:3" x14ac:dyDescent="0.25">
      <c r="A8" s="20">
        <v>2</v>
      </c>
      <c r="B8" s="19">
        <v>9</v>
      </c>
      <c r="C8" s="105"/>
    </row>
    <row r="9" spans="1:3" x14ac:dyDescent="0.25">
      <c r="A9" s="20">
        <v>3</v>
      </c>
      <c r="B9" s="19">
        <v>8</v>
      </c>
      <c r="C9" s="105"/>
    </row>
    <row r="10" spans="1:3" x14ac:dyDescent="0.25">
      <c r="A10" s="19">
        <v>4</v>
      </c>
      <c r="B10" s="19">
        <v>7</v>
      </c>
      <c r="C10" s="105"/>
    </row>
    <row r="11" spans="1:3" x14ac:dyDescent="0.25">
      <c r="A11" s="19">
        <v>5</v>
      </c>
      <c r="B11" s="19">
        <v>6</v>
      </c>
      <c r="C11" s="105"/>
    </row>
    <row r="12" spans="1:3" x14ac:dyDescent="0.25">
      <c r="A12" s="19">
        <v>6</v>
      </c>
      <c r="B12" s="19">
        <v>5</v>
      </c>
      <c r="C12" s="105"/>
    </row>
    <row r="13" spans="1:3" x14ac:dyDescent="0.25">
      <c r="A13" s="19">
        <v>7</v>
      </c>
      <c r="B13" s="19">
        <v>4</v>
      </c>
      <c r="C13" s="105"/>
    </row>
    <row r="14" spans="1:3" x14ac:dyDescent="0.25">
      <c r="A14" s="19">
        <v>8</v>
      </c>
      <c r="B14" s="19">
        <v>3</v>
      </c>
      <c r="C14" s="105"/>
    </row>
    <row r="15" spans="1:3" x14ac:dyDescent="0.25">
      <c r="A15" s="19">
        <v>9</v>
      </c>
      <c r="B15" s="19">
        <v>2</v>
      </c>
      <c r="C15" s="105"/>
    </row>
    <row r="16" spans="1:3" x14ac:dyDescent="0.25">
      <c r="A16" s="19">
        <v>10</v>
      </c>
      <c r="B16" s="19">
        <v>1</v>
      </c>
      <c r="C16" s="105"/>
    </row>
    <row r="17" spans="1:3" x14ac:dyDescent="0.25">
      <c r="A17" s="21"/>
      <c r="B17" s="21"/>
      <c r="C17" s="22"/>
    </row>
    <row r="18" spans="1:3" ht="6" customHeight="1" x14ac:dyDescent="0.25"/>
    <row r="19" spans="1:3" ht="15" customHeight="1" x14ac:dyDescent="0.25">
      <c r="A19" s="1" t="s">
        <v>37</v>
      </c>
      <c r="B19" s="1" t="s">
        <v>34</v>
      </c>
      <c r="C19" s="106" t="s">
        <v>12</v>
      </c>
    </row>
    <row r="20" spans="1:3" x14ac:dyDescent="0.25">
      <c r="A20" s="19">
        <v>4</v>
      </c>
      <c r="B20" s="19">
        <v>1</v>
      </c>
      <c r="C20" s="106"/>
    </row>
  </sheetData>
  <mergeCells count="3">
    <mergeCell ref="C1:C4"/>
    <mergeCell ref="C6:C16"/>
    <mergeCell ref="C19:C2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2.7109375" style="21" customWidth="1"/>
    <col min="2" max="2" width="52.7109375" style="21" customWidth="1"/>
    <col min="3" max="3" width="11.7109375" style="21" customWidth="1"/>
    <col min="4" max="4" width="13.7109375" style="21" customWidth="1"/>
    <col min="5" max="6" width="12.7109375" customWidth="1"/>
  </cols>
  <sheetData>
    <row r="1" spans="1:4" x14ac:dyDescent="0.25">
      <c r="A1" s="23" t="s">
        <v>38</v>
      </c>
      <c r="B1" s="23" t="s">
        <v>39</v>
      </c>
      <c r="C1" s="23" t="s">
        <v>40</v>
      </c>
      <c r="D1" s="23" t="s">
        <v>41</v>
      </c>
    </row>
    <row r="2" spans="1:4" x14ac:dyDescent="0.25">
      <c r="A2" s="24">
        <v>123110101</v>
      </c>
      <c r="B2" s="25" t="s">
        <v>42</v>
      </c>
      <c r="C2" s="24">
        <v>240</v>
      </c>
      <c r="D2" s="24">
        <v>20</v>
      </c>
    </row>
    <row r="3" spans="1:4" x14ac:dyDescent="0.25">
      <c r="A3" s="24">
        <v>123110102</v>
      </c>
      <c r="B3" s="25" t="s">
        <v>43</v>
      </c>
      <c r="C3" s="24">
        <v>120</v>
      </c>
      <c r="D3" s="24">
        <v>10</v>
      </c>
    </row>
    <row r="4" spans="1:4" x14ac:dyDescent="0.25">
      <c r="A4" s="24">
        <v>123110103</v>
      </c>
      <c r="B4" s="25" t="s">
        <v>44</v>
      </c>
      <c r="C4" s="24">
        <v>120</v>
      </c>
      <c r="D4" s="24">
        <v>10</v>
      </c>
    </row>
    <row r="5" spans="1:4" x14ac:dyDescent="0.25">
      <c r="A5" s="24">
        <v>123110104</v>
      </c>
      <c r="B5" s="25" t="s">
        <v>45</v>
      </c>
      <c r="C5" s="24">
        <v>120</v>
      </c>
      <c r="D5" s="24">
        <v>20</v>
      </c>
    </row>
    <row r="6" spans="1:4" x14ac:dyDescent="0.25">
      <c r="A6" s="24">
        <v>123110106</v>
      </c>
      <c r="B6" s="25" t="s">
        <v>46</v>
      </c>
      <c r="C6" s="24">
        <v>120</v>
      </c>
      <c r="D6" s="24">
        <v>10</v>
      </c>
    </row>
    <row r="7" spans="1:4" x14ac:dyDescent="0.25">
      <c r="A7" s="24">
        <v>123110108</v>
      </c>
      <c r="B7" s="25" t="s">
        <v>47</v>
      </c>
      <c r="C7" s="24">
        <v>120</v>
      </c>
      <c r="D7" s="24">
        <v>10</v>
      </c>
    </row>
    <row r="8" spans="1:4" x14ac:dyDescent="0.25">
      <c r="A8" s="24">
        <v>123110110</v>
      </c>
      <c r="B8" s="25" t="s">
        <v>48</v>
      </c>
      <c r="C8" s="24">
        <v>240</v>
      </c>
      <c r="D8" s="24">
        <v>15</v>
      </c>
    </row>
    <row r="9" spans="1:4" x14ac:dyDescent="0.25">
      <c r="A9" s="24">
        <v>123110112</v>
      </c>
      <c r="B9" s="25" t="s">
        <v>49</v>
      </c>
      <c r="C9" s="24">
        <v>120</v>
      </c>
      <c r="D9" s="24">
        <v>0</v>
      </c>
    </row>
    <row r="10" spans="1:4" x14ac:dyDescent="0.25">
      <c r="A10" s="24">
        <v>123110113</v>
      </c>
      <c r="B10" s="25" t="s">
        <v>50</v>
      </c>
      <c r="C10" s="24">
        <v>120</v>
      </c>
      <c r="D10" s="24">
        <v>10</v>
      </c>
    </row>
    <row r="11" spans="1:4" x14ac:dyDescent="0.25">
      <c r="A11" s="24">
        <v>123110114</v>
      </c>
      <c r="B11" s="25" t="s">
        <v>51</v>
      </c>
      <c r="C11" s="24">
        <v>120</v>
      </c>
      <c r="D11" s="24">
        <v>10</v>
      </c>
    </row>
    <row r="12" spans="1:4" x14ac:dyDescent="0.25">
      <c r="A12" s="24">
        <v>123110115</v>
      </c>
      <c r="B12" s="25" t="s">
        <v>52</v>
      </c>
      <c r="C12" s="24">
        <v>120</v>
      </c>
      <c r="D12" s="24">
        <v>10</v>
      </c>
    </row>
    <row r="13" spans="1:4" x14ac:dyDescent="0.25">
      <c r="A13" s="24">
        <v>123110116</v>
      </c>
      <c r="B13" s="25" t="s">
        <v>53</v>
      </c>
      <c r="C13" s="24">
        <v>120</v>
      </c>
      <c r="D13" s="24">
        <v>10</v>
      </c>
    </row>
    <row r="14" spans="1:4" x14ac:dyDescent="0.25">
      <c r="A14" s="24">
        <v>123110118</v>
      </c>
      <c r="B14" s="25" t="s">
        <v>54</v>
      </c>
      <c r="C14" s="24">
        <v>240</v>
      </c>
      <c r="D14" s="24">
        <v>10</v>
      </c>
    </row>
    <row r="15" spans="1:4" x14ac:dyDescent="0.25">
      <c r="A15" s="24">
        <v>123110120</v>
      </c>
      <c r="B15" s="25" t="s">
        <v>55</v>
      </c>
      <c r="C15" s="24">
        <v>120</v>
      </c>
      <c r="D15" s="24">
        <v>10</v>
      </c>
    </row>
    <row r="16" spans="1:4" x14ac:dyDescent="0.25">
      <c r="A16" s="24">
        <v>123110121</v>
      </c>
      <c r="B16" s="25" t="s">
        <v>56</v>
      </c>
      <c r="C16" s="24">
        <v>120</v>
      </c>
      <c r="D16" s="24">
        <v>10</v>
      </c>
    </row>
    <row r="17" spans="1:4" x14ac:dyDescent="0.25">
      <c r="A17" s="24">
        <v>123110123</v>
      </c>
      <c r="B17" s="25" t="s">
        <v>57</v>
      </c>
      <c r="C17" s="24">
        <v>120</v>
      </c>
      <c r="D17" s="24">
        <v>10</v>
      </c>
    </row>
    <row r="18" spans="1:4" x14ac:dyDescent="0.25">
      <c r="A18" s="24">
        <v>123110124</v>
      </c>
      <c r="B18" s="25" t="s">
        <v>58</v>
      </c>
      <c r="C18" s="24">
        <v>120</v>
      </c>
      <c r="D18" s="24">
        <v>10</v>
      </c>
    </row>
    <row r="19" spans="1:4" x14ac:dyDescent="0.25">
      <c r="A19" s="24">
        <v>123110125</v>
      </c>
      <c r="B19" s="25" t="s">
        <v>59</v>
      </c>
      <c r="C19" s="24">
        <v>120</v>
      </c>
      <c r="D19" s="24">
        <v>10</v>
      </c>
    </row>
    <row r="20" spans="1:4" x14ac:dyDescent="0.25">
      <c r="A20" s="24">
        <v>123110127</v>
      </c>
      <c r="B20" s="25" t="s">
        <v>60</v>
      </c>
      <c r="C20" s="24">
        <v>120</v>
      </c>
      <c r="D20" s="24">
        <v>10</v>
      </c>
    </row>
    <row r="21" spans="1:4" x14ac:dyDescent="0.25">
      <c r="A21" s="24">
        <v>123110130</v>
      </c>
      <c r="B21" s="25" t="s">
        <v>61</v>
      </c>
      <c r="C21" s="24">
        <v>120</v>
      </c>
      <c r="D21" s="24">
        <v>10</v>
      </c>
    </row>
    <row r="22" spans="1:4" x14ac:dyDescent="0.25">
      <c r="A22" s="24">
        <v>123110131</v>
      </c>
      <c r="B22" s="25" t="s">
        <v>62</v>
      </c>
      <c r="C22" s="24">
        <v>120</v>
      </c>
      <c r="D22" s="24">
        <v>10</v>
      </c>
    </row>
    <row r="23" spans="1:4" x14ac:dyDescent="0.25">
      <c r="A23" s="24">
        <v>123110133</v>
      </c>
      <c r="B23" s="25" t="s">
        <v>63</v>
      </c>
      <c r="C23" s="24">
        <v>60</v>
      </c>
      <c r="D23" s="24">
        <v>10</v>
      </c>
    </row>
    <row r="24" spans="1:4" x14ac:dyDescent="0.25">
      <c r="A24" s="24">
        <v>123110136</v>
      </c>
      <c r="B24" s="26" t="s">
        <v>64</v>
      </c>
      <c r="C24" s="24">
        <v>300</v>
      </c>
      <c r="D24" s="24">
        <v>10</v>
      </c>
    </row>
    <row r="25" spans="1:4" x14ac:dyDescent="0.25">
      <c r="A25" s="24">
        <v>123110137</v>
      </c>
      <c r="B25" s="25" t="s">
        <v>65</v>
      </c>
      <c r="C25" s="24">
        <v>60</v>
      </c>
      <c r="D25" s="24">
        <v>10</v>
      </c>
    </row>
    <row r="26" spans="1:4" x14ac:dyDescent="0.25">
      <c r="A26" s="24">
        <v>123110138</v>
      </c>
      <c r="B26" s="25" t="s">
        <v>66</v>
      </c>
      <c r="C26" s="24">
        <v>60</v>
      </c>
      <c r="D26" s="24">
        <v>10</v>
      </c>
    </row>
    <row r="27" spans="1:4" x14ac:dyDescent="0.25">
      <c r="A27" s="24">
        <v>123110139</v>
      </c>
      <c r="B27" s="25" t="s">
        <v>67</v>
      </c>
      <c r="C27" s="24">
        <v>120</v>
      </c>
      <c r="D27" s="24">
        <v>10</v>
      </c>
    </row>
    <row r="28" spans="1:4" x14ac:dyDescent="0.25">
      <c r="A28" s="24">
        <v>123110140</v>
      </c>
      <c r="B28" s="25" t="s">
        <v>68</v>
      </c>
      <c r="C28" s="24">
        <v>120</v>
      </c>
      <c r="D28" s="24">
        <v>10</v>
      </c>
    </row>
    <row r="29" spans="1:4" x14ac:dyDescent="0.25">
      <c r="A29" s="24">
        <v>123110141</v>
      </c>
      <c r="B29" s="25" t="s">
        <v>69</v>
      </c>
      <c r="C29" s="24">
        <v>120</v>
      </c>
      <c r="D29" s="24">
        <v>10</v>
      </c>
    </row>
    <row r="30" spans="1:4" x14ac:dyDescent="0.25">
      <c r="A30" s="24">
        <v>123110145</v>
      </c>
      <c r="B30" s="25" t="s">
        <v>70</v>
      </c>
      <c r="C30" s="24">
        <v>240</v>
      </c>
      <c r="D30" s="24">
        <v>20</v>
      </c>
    </row>
    <row r="31" spans="1:4" x14ac:dyDescent="0.25">
      <c r="A31" s="24">
        <v>123110148</v>
      </c>
      <c r="B31" s="25" t="s">
        <v>71</v>
      </c>
      <c r="C31" s="24">
        <v>120</v>
      </c>
      <c r="D31" s="24">
        <v>10</v>
      </c>
    </row>
    <row r="32" spans="1:4" x14ac:dyDescent="0.25">
      <c r="A32" s="24">
        <v>123110152</v>
      </c>
      <c r="B32" s="25" t="s">
        <v>72</v>
      </c>
      <c r="C32" s="24">
        <v>60</v>
      </c>
      <c r="D32" s="24">
        <v>10</v>
      </c>
    </row>
    <row r="33" spans="1:4" x14ac:dyDescent="0.25">
      <c r="A33" s="24">
        <v>123110153</v>
      </c>
      <c r="B33" s="25" t="s">
        <v>73</v>
      </c>
      <c r="C33" s="24">
        <v>240</v>
      </c>
      <c r="D33" s="24">
        <v>10</v>
      </c>
    </row>
    <row r="34" spans="1:4" x14ac:dyDescent="0.25">
      <c r="A34" s="24">
        <v>123110158</v>
      </c>
      <c r="B34" s="25" t="s">
        <v>74</v>
      </c>
      <c r="C34" s="24">
        <v>120</v>
      </c>
      <c r="D34" s="24">
        <v>10</v>
      </c>
    </row>
    <row r="35" spans="1:4" x14ac:dyDescent="0.25">
      <c r="A35" s="24">
        <v>123110160</v>
      </c>
      <c r="B35" s="25" t="s">
        <v>75</v>
      </c>
      <c r="C35" s="24">
        <v>120</v>
      </c>
      <c r="D35" s="24">
        <v>10</v>
      </c>
    </row>
    <row r="36" spans="1:4" x14ac:dyDescent="0.25">
      <c r="A36" s="24">
        <v>123110183</v>
      </c>
      <c r="B36" s="25" t="s">
        <v>76</v>
      </c>
      <c r="C36" s="24">
        <v>120</v>
      </c>
      <c r="D36" s="24">
        <v>10</v>
      </c>
    </row>
    <row r="37" spans="1:4" x14ac:dyDescent="0.25">
      <c r="B37" s="27"/>
    </row>
    <row r="38" spans="1:4" x14ac:dyDescent="0.25">
      <c r="B38" s="27"/>
    </row>
  </sheetData>
  <printOptions horizontalCentered="1"/>
  <pageMargins left="0.23611111111111099" right="0.23611111111111099" top="0.35416666666666702" bottom="0.35416666666666702" header="0.511811023622047" footer="0.511811023622047"/>
  <pageSetup paperSize="9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48568"/>
  <sheetViews>
    <sheetView zoomScale="85" zoomScaleNormal="85" workbookViewId="0">
      <selection activeCell="A551" sqref="A1:A1048576"/>
    </sheetView>
  </sheetViews>
  <sheetFormatPr defaultColWidth="11.5703125" defaultRowHeight="15" customHeight="1" x14ac:dyDescent="0.25"/>
  <cols>
    <col min="1" max="1" width="17.5703125" style="28" customWidth="1"/>
    <col min="2" max="2" width="66.28515625" style="29" customWidth="1"/>
    <col min="3" max="3" width="53.7109375" style="28" customWidth="1"/>
    <col min="4" max="4" width="18.85546875" style="30" customWidth="1"/>
  </cols>
  <sheetData>
    <row r="1" spans="1:4" x14ac:dyDescent="0.25">
      <c r="A1" s="31" t="s">
        <v>77</v>
      </c>
      <c r="B1" s="32" t="s">
        <v>78</v>
      </c>
      <c r="C1" s="33" t="s">
        <v>79</v>
      </c>
      <c r="D1" s="34" t="s">
        <v>80</v>
      </c>
    </row>
    <row r="2" spans="1:4" x14ac:dyDescent="0.25">
      <c r="A2" s="35">
        <v>100002252</v>
      </c>
      <c r="B2" s="29" t="s">
        <v>81</v>
      </c>
      <c r="C2" s="36"/>
      <c r="D2" s="37">
        <v>107.09</v>
      </c>
    </row>
    <row r="3" spans="1:4" x14ac:dyDescent="0.25">
      <c r="A3" s="19">
        <v>100002253</v>
      </c>
      <c r="B3" s="38" t="s">
        <v>82</v>
      </c>
      <c r="C3" s="39"/>
      <c r="D3" s="40">
        <v>176.566666666667</v>
      </c>
    </row>
    <row r="4" spans="1:4" x14ac:dyDescent="0.25">
      <c r="A4" s="35">
        <v>100002265</v>
      </c>
      <c r="B4" s="29" t="s">
        <v>83</v>
      </c>
      <c r="C4" s="41"/>
      <c r="D4" s="37">
        <v>316.32</v>
      </c>
    </row>
    <row r="5" spans="1:4" x14ac:dyDescent="0.25">
      <c r="A5" s="19">
        <v>100002270</v>
      </c>
      <c r="B5" s="38" t="s">
        <v>84</v>
      </c>
      <c r="C5" s="39"/>
      <c r="D5" s="40">
        <v>265.113333333333</v>
      </c>
    </row>
    <row r="6" spans="1:4" x14ac:dyDescent="0.25">
      <c r="A6" s="19">
        <v>100002272</v>
      </c>
      <c r="B6" s="38" t="s">
        <v>85</v>
      </c>
      <c r="C6" s="39"/>
      <c r="D6" s="40">
        <v>798</v>
      </c>
    </row>
    <row r="7" spans="1:4" x14ac:dyDescent="0.25">
      <c r="A7" s="19">
        <v>100002279</v>
      </c>
      <c r="B7" s="38" t="s">
        <v>86</v>
      </c>
      <c r="C7" s="39" t="s">
        <v>87</v>
      </c>
      <c r="D7" s="40">
        <v>1677.1966666666699</v>
      </c>
    </row>
    <row r="8" spans="1:4" x14ac:dyDescent="0.25">
      <c r="A8" s="19">
        <v>100002284</v>
      </c>
      <c r="B8" s="38" t="s">
        <v>88</v>
      </c>
      <c r="C8" s="42"/>
      <c r="D8" s="40">
        <v>3105.19333333333</v>
      </c>
    </row>
    <row r="9" spans="1:4" x14ac:dyDescent="0.25">
      <c r="A9" s="19">
        <v>100002286</v>
      </c>
      <c r="B9" s="38" t="s">
        <v>89</v>
      </c>
      <c r="C9" s="42"/>
      <c r="D9" s="40">
        <v>1496.8233333333301</v>
      </c>
    </row>
    <row r="10" spans="1:4" x14ac:dyDescent="0.25">
      <c r="A10" s="19">
        <v>100002303</v>
      </c>
      <c r="B10" s="38" t="s">
        <v>90</v>
      </c>
      <c r="C10" s="42"/>
      <c r="D10" s="40">
        <v>49.9</v>
      </c>
    </row>
    <row r="11" spans="1:4" x14ac:dyDescent="0.25">
      <c r="A11" s="19">
        <v>100002305</v>
      </c>
      <c r="B11" s="38" t="s">
        <v>91</v>
      </c>
      <c r="C11" s="42"/>
      <c r="D11" s="40">
        <v>4770.8233333333301</v>
      </c>
    </row>
    <row r="12" spans="1:4" x14ac:dyDescent="0.25">
      <c r="A12" s="19">
        <v>100002315</v>
      </c>
      <c r="B12" s="38" t="s">
        <v>92</v>
      </c>
      <c r="C12" s="42"/>
      <c r="D12" s="40">
        <v>1066.9000000000001</v>
      </c>
    </row>
    <row r="13" spans="1:4" x14ac:dyDescent="0.25">
      <c r="A13" s="19">
        <v>100002317</v>
      </c>
      <c r="B13" s="38" t="s">
        <v>93</v>
      </c>
      <c r="C13" s="39"/>
      <c r="D13" s="37">
        <v>31277.03</v>
      </c>
    </row>
    <row r="14" spans="1:4" x14ac:dyDescent="0.25">
      <c r="A14" s="19">
        <v>100002326</v>
      </c>
      <c r="B14" s="38" t="s">
        <v>1194</v>
      </c>
      <c r="C14" s="39"/>
      <c r="D14" s="37">
        <v>34508.46</v>
      </c>
    </row>
    <row r="15" spans="1:4" x14ac:dyDescent="0.25">
      <c r="A15" s="19">
        <v>100002328</v>
      </c>
      <c r="B15" s="38" t="s">
        <v>1155</v>
      </c>
      <c r="C15" s="39"/>
      <c r="D15" s="37">
        <v>3461.33</v>
      </c>
    </row>
    <row r="16" spans="1:4" x14ac:dyDescent="0.25">
      <c r="A16" s="19">
        <v>100002329</v>
      </c>
      <c r="B16" s="38" t="s">
        <v>95</v>
      </c>
      <c r="C16" s="39"/>
      <c r="D16" s="37">
        <v>3989.42</v>
      </c>
    </row>
    <row r="17" spans="1:4" x14ac:dyDescent="0.25">
      <c r="A17" s="19">
        <v>100002330</v>
      </c>
      <c r="B17" s="38" t="s">
        <v>97</v>
      </c>
      <c r="C17" s="39"/>
      <c r="D17" s="37">
        <v>12367.19</v>
      </c>
    </row>
    <row r="18" spans="1:4" x14ac:dyDescent="0.25">
      <c r="A18" s="19">
        <v>100002331</v>
      </c>
      <c r="B18" s="38" t="s">
        <v>1306</v>
      </c>
      <c r="C18" s="119"/>
      <c r="D18" s="37">
        <v>589581.93000000005</v>
      </c>
    </row>
    <row r="19" spans="1:4" x14ac:dyDescent="0.25">
      <c r="A19" s="19">
        <v>100002332</v>
      </c>
      <c r="B19" s="38" t="s">
        <v>98</v>
      </c>
      <c r="C19" s="39"/>
      <c r="D19" s="37">
        <v>1487.23</v>
      </c>
    </row>
    <row r="20" spans="1:4" x14ac:dyDescent="0.25">
      <c r="A20" s="19">
        <v>100002335</v>
      </c>
      <c r="B20" s="38" t="s">
        <v>99</v>
      </c>
      <c r="C20" s="39" t="s">
        <v>100</v>
      </c>
      <c r="D20" s="37">
        <v>10755.0233333333</v>
      </c>
    </row>
    <row r="21" spans="1:4" x14ac:dyDescent="0.25">
      <c r="A21" s="19">
        <v>100002337</v>
      </c>
      <c r="B21" s="38" t="s">
        <v>101</v>
      </c>
      <c r="C21" s="39"/>
      <c r="D21" s="37">
        <v>5303.36</v>
      </c>
    </row>
    <row r="22" spans="1:4" x14ac:dyDescent="0.25">
      <c r="A22" s="19">
        <v>100002341</v>
      </c>
      <c r="B22" s="38" t="s">
        <v>102</v>
      </c>
      <c r="C22" s="39"/>
      <c r="D22" s="37">
        <v>1824.49</v>
      </c>
    </row>
    <row r="23" spans="1:4" x14ac:dyDescent="0.25">
      <c r="A23" s="19">
        <v>100002343</v>
      </c>
      <c r="B23" s="38" t="s">
        <v>103</v>
      </c>
      <c r="C23" s="39"/>
      <c r="D23" s="37">
        <v>4790.0233333333299</v>
      </c>
    </row>
    <row r="24" spans="1:4" x14ac:dyDescent="0.25">
      <c r="A24" s="19">
        <v>100002345</v>
      </c>
      <c r="B24" s="43" t="s">
        <v>104</v>
      </c>
      <c r="C24" s="42"/>
      <c r="D24" s="37">
        <v>742.113333333333</v>
      </c>
    </row>
    <row r="25" spans="1:4" x14ac:dyDescent="0.25">
      <c r="A25" s="19">
        <v>100002346</v>
      </c>
      <c r="B25" s="43" t="s">
        <v>105</v>
      </c>
      <c r="C25" s="39"/>
      <c r="D25" s="37">
        <v>289.74</v>
      </c>
    </row>
    <row r="26" spans="1:4" x14ac:dyDescent="0.25">
      <c r="A26" s="19">
        <v>100002353</v>
      </c>
      <c r="B26" s="43" t="s">
        <v>1187</v>
      </c>
      <c r="C26" s="120"/>
      <c r="D26" s="37">
        <v>13903.12</v>
      </c>
    </row>
    <row r="27" spans="1:4" x14ac:dyDescent="0.25">
      <c r="A27" s="19">
        <v>100002354</v>
      </c>
      <c r="B27" s="43" t="s">
        <v>106</v>
      </c>
      <c r="C27" s="39"/>
      <c r="D27" s="37">
        <v>7248.1333333333296</v>
      </c>
    </row>
    <row r="28" spans="1:4" x14ac:dyDescent="0.25">
      <c r="A28" s="19">
        <v>100002355</v>
      </c>
      <c r="B28" s="43" t="s">
        <v>1307</v>
      </c>
      <c r="C28" s="119"/>
      <c r="D28" s="37">
        <v>29920.63</v>
      </c>
    </row>
    <row r="29" spans="1:4" x14ac:dyDescent="0.25">
      <c r="A29" s="19">
        <v>100002356</v>
      </c>
      <c r="B29" s="43" t="s">
        <v>107</v>
      </c>
      <c r="C29" s="39"/>
      <c r="D29" s="37">
        <v>4103.6833333333298</v>
      </c>
    </row>
    <row r="30" spans="1:4" x14ac:dyDescent="0.25">
      <c r="A30" s="19">
        <v>100002357</v>
      </c>
      <c r="B30" s="43" t="s">
        <v>108</v>
      </c>
      <c r="C30" s="39"/>
      <c r="D30" s="37">
        <v>245.01</v>
      </c>
    </row>
    <row r="31" spans="1:4" x14ac:dyDescent="0.25">
      <c r="A31" s="19">
        <v>100002379</v>
      </c>
      <c r="B31" s="43" t="s">
        <v>1308</v>
      </c>
      <c r="C31" s="119"/>
      <c r="D31" s="37">
        <v>1835.14</v>
      </c>
    </row>
    <row r="32" spans="1:4" x14ac:dyDescent="0.25">
      <c r="A32" s="35">
        <v>100002381</v>
      </c>
      <c r="B32" s="44" t="s">
        <v>109</v>
      </c>
      <c r="C32" s="41"/>
      <c r="D32" s="37">
        <v>113.63</v>
      </c>
    </row>
    <row r="33" spans="1:4" x14ac:dyDescent="0.25">
      <c r="A33" s="19">
        <v>100010011</v>
      </c>
      <c r="B33" s="43" t="s">
        <v>110</v>
      </c>
      <c r="C33" s="39"/>
      <c r="D33" s="37">
        <v>2972.54</v>
      </c>
    </row>
    <row r="34" spans="1:4" x14ac:dyDescent="0.25">
      <c r="A34" s="19">
        <v>100010013</v>
      </c>
      <c r="B34" s="43" t="s">
        <v>111</v>
      </c>
      <c r="C34" s="39"/>
      <c r="D34" s="37">
        <v>249.9</v>
      </c>
    </row>
    <row r="35" spans="1:4" x14ac:dyDescent="0.25">
      <c r="A35" s="46">
        <v>100010036</v>
      </c>
      <c r="B35" s="47" t="s">
        <v>112</v>
      </c>
      <c r="C35" s="83"/>
      <c r="D35" s="48">
        <v>67.713333333333296</v>
      </c>
    </row>
    <row r="36" spans="1:4" x14ac:dyDescent="0.25">
      <c r="A36" s="19">
        <v>100010037</v>
      </c>
      <c r="B36" s="43" t="s">
        <v>113</v>
      </c>
      <c r="C36" s="39"/>
      <c r="D36" s="37">
        <v>321.41666666666703</v>
      </c>
    </row>
    <row r="37" spans="1:4" x14ac:dyDescent="0.25">
      <c r="A37" s="19">
        <v>100010059</v>
      </c>
      <c r="B37" s="43" t="s">
        <v>114</v>
      </c>
      <c r="C37" s="39"/>
      <c r="D37" s="37">
        <v>379.9</v>
      </c>
    </row>
    <row r="38" spans="1:4" x14ac:dyDescent="0.25">
      <c r="A38" s="19">
        <v>100010060</v>
      </c>
      <c r="B38" s="43" t="s">
        <v>115</v>
      </c>
      <c r="C38" s="39" t="s">
        <v>116</v>
      </c>
      <c r="D38" s="37">
        <v>959.14333333333298</v>
      </c>
    </row>
    <row r="39" spans="1:4" x14ac:dyDescent="0.25">
      <c r="A39" s="19">
        <v>100010070</v>
      </c>
      <c r="B39" s="43" t="s">
        <v>117</v>
      </c>
      <c r="C39" s="39" t="s">
        <v>118</v>
      </c>
      <c r="D39" s="37">
        <v>783.41</v>
      </c>
    </row>
    <row r="40" spans="1:4" x14ac:dyDescent="0.25">
      <c r="A40" s="35">
        <v>100010083</v>
      </c>
      <c r="B40" s="44" t="s">
        <v>119</v>
      </c>
      <c r="C40" s="41"/>
      <c r="D40" s="37">
        <v>1466.55</v>
      </c>
    </row>
    <row r="41" spans="1:4" x14ac:dyDescent="0.25">
      <c r="A41" s="19">
        <v>100010088</v>
      </c>
      <c r="B41" s="43" t="s">
        <v>120</v>
      </c>
      <c r="C41" s="82"/>
      <c r="D41" s="37">
        <v>230.22</v>
      </c>
    </row>
    <row r="42" spans="1:4" x14ac:dyDescent="0.25">
      <c r="A42" s="19">
        <v>100010105</v>
      </c>
      <c r="B42" s="43" t="s">
        <v>121</v>
      </c>
      <c r="C42" s="39"/>
      <c r="D42" s="37">
        <v>559.66666666666697</v>
      </c>
    </row>
    <row r="43" spans="1:4" x14ac:dyDescent="0.25">
      <c r="A43" s="19">
        <v>100010112</v>
      </c>
      <c r="B43" s="43" t="s">
        <v>122</v>
      </c>
      <c r="C43" s="39"/>
      <c r="D43" s="37">
        <v>141.13999999999999</v>
      </c>
    </row>
    <row r="44" spans="1:4" x14ac:dyDescent="0.25">
      <c r="A44" s="35">
        <v>100010124</v>
      </c>
      <c r="B44" s="44" t="s">
        <v>123</v>
      </c>
      <c r="C44" s="41" t="s">
        <v>124</v>
      </c>
      <c r="D44" s="37">
        <v>913.95</v>
      </c>
    </row>
    <row r="45" spans="1:4" x14ac:dyDescent="0.25">
      <c r="A45" s="19">
        <v>100010135</v>
      </c>
      <c r="B45" s="43" t="s">
        <v>125</v>
      </c>
      <c r="C45" s="49"/>
      <c r="D45" s="37">
        <v>217.23333333333301</v>
      </c>
    </row>
    <row r="46" spans="1:4" x14ac:dyDescent="0.25">
      <c r="A46" s="19">
        <v>100010149</v>
      </c>
      <c r="B46" s="43" t="s">
        <v>126</v>
      </c>
      <c r="C46" s="39"/>
      <c r="D46" s="37">
        <v>1097.04666666667</v>
      </c>
    </row>
    <row r="47" spans="1:4" x14ac:dyDescent="0.25">
      <c r="A47" s="19">
        <v>100010193</v>
      </c>
      <c r="B47" s="43" t="s">
        <v>127</v>
      </c>
      <c r="C47" s="39"/>
      <c r="D47" s="37">
        <v>92.493333333333297</v>
      </c>
    </row>
    <row r="48" spans="1:4" x14ac:dyDescent="0.25">
      <c r="A48" s="19">
        <v>100010197</v>
      </c>
      <c r="B48" s="43" t="s">
        <v>128</v>
      </c>
      <c r="C48" s="39" t="s">
        <v>129</v>
      </c>
      <c r="D48" s="37">
        <v>682.33333333333303</v>
      </c>
    </row>
    <row r="49" spans="1:4" x14ac:dyDescent="0.25">
      <c r="A49" s="19">
        <v>100010206</v>
      </c>
      <c r="B49" s="43" t="s">
        <v>130</v>
      </c>
      <c r="C49" s="39"/>
      <c r="D49" s="37">
        <v>1591.83666666667</v>
      </c>
    </row>
    <row r="50" spans="1:4" x14ac:dyDescent="0.25">
      <c r="A50" s="19">
        <v>100010398</v>
      </c>
      <c r="B50" s="43" t="s">
        <v>131</v>
      </c>
      <c r="C50" s="39"/>
      <c r="D50" s="37">
        <v>2499.66</v>
      </c>
    </row>
    <row r="51" spans="1:4" x14ac:dyDescent="0.25">
      <c r="A51" s="19">
        <v>100010436</v>
      </c>
      <c r="B51" s="43" t="s">
        <v>132</v>
      </c>
      <c r="C51" s="39" t="s">
        <v>133</v>
      </c>
      <c r="D51" s="37">
        <v>1723.4066666666699</v>
      </c>
    </row>
    <row r="52" spans="1:4" x14ac:dyDescent="0.25">
      <c r="A52" s="19">
        <v>100010439</v>
      </c>
      <c r="B52" s="43" t="s">
        <v>134</v>
      </c>
      <c r="C52" s="39" t="s">
        <v>135</v>
      </c>
      <c r="D52" s="37">
        <v>1476.3</v>
      </c>
    </row>
    <row r="53" spans="1:4" x14ac:dyDescent="0.25">
      <c r="A53" s="19">
        <v>100010448</v>
      </c>
      <c r="B53" s="43" t="s">
        <v>136</v>
      </c>
      <c r="C53" s="39" t="s">
        <v>137</v>
      </c>
      <c r="D53" s="37">
        <v>2543.63333333333</v>
      </c>
    </row>
    <row r="54" spans="1:4" x14ac:dyDescent="0.25">
      <c r="A54" s="19">
        <v>100010455</v>
      </c>
      <c r="B54" s="43" t="s">
        <v>138</v>
      </c>
      <c r="C54" s="39"/>
      <c r="D54" s="37"/>
    </row>
    <row r="55" spans="1:4" x14ac:dyDescent="0.25">
      <c r="A55" s="19">
        <v>100010473</v>
      </c>
      <c r="B55" s="43" t="s">
        <v>139</v>
      </c>
      <c r="C55" s="39"/>
      <c r="D55" s="37">
        <v>334.66666666666703</v>
      </c>
    </row>
    <row r="56" spans="1:4" x14ac:dyDescent="0.25">
      <c r="A56" s="19">
        <v>100010474</v>
      </c>
      <c r="B56" s="43" t="s">
        <v>140</v>
      </c>
      <c r="C56" s="39"/>
      <c r="D56" s="37">
        <v>1960.68</v>
      </c>
    </row>
    <row r="57" spans="1:4" x14ac:dyDescent="0.25">
      <c r="A57" s="19">
        <v>100010483</v>
      </c>
      <c r="B57" s="43" t="s">
        <v>141</v>
      </c>
      <c r="C57" s="39" t="s">
        <v>142</v>
      </c>
      <c r="D57" s="37">
        <v>375.11</v>
      </c>
    </row>
    <row r="58" spans="1:4" x14ac:dyDescent="0.25">
      <c r="A58" s="19">
        <v>100010485</v>
      </c>
      <c r="B58" s="43" t="s">
        <v>143</v>
      </c>
      <c r="C58" s="39" t="s">
        <v>144</v>
      </c>
      <c r="D58" s="37">
        <v>1779.6566666666699</v>
      </c>
    </row>
    <row r="59" spans="1:4" x14ac:dyDescent="0.25">
      <c r="A59" s="19">
        <v>100010489</v>
      </c>
      <c r="B59" s="43" t="s">
        <v>145</v>
      </c>
      <c r="C59" s="39" t="s">
        <v>146</v>
      </c>
      <c r="D59" s="37">
        <v>175.256666666667</v>
      </c>
    </row>
    <row r="60" spans="1:4" x14ac:dyDescent="0.25">
      <c r="A60" s="19">
        <v>100010525</v>
      </c>
      <c r="B60" s="43" t="s">
        <v>147</v>
      </c>
      <c r="C60" s="39"/>
      <c r="D60" s="37">
        <v>414.75</v>
      </c>
    </row>
    <row r="61" spans="1:4" x14ac:dyDescent="0.25">
      <c r="A61" s="19">
        <v>100010571</v>
      </c>
      <c r="B61" s="43" t="s">
        <v>148</v>
      </c>
      <c r="C61" s="42"/>
      <c r="D61" s="37">
        <v>41.8</v>
      </c>
    </row>
    <row r="62" spans="1:4" x14ac:dyDescent="0.25">
      <c r="A62" s="19">
        <v>100010572</v>
      </c>
      <c r="B62" s="43" t="s">
        <v>149</v>
      </c>
      <c r="C62" s="39"/>
      <c r="D62" s="37">
        <v>47.133333333333297</v>
      </c>
    </row>
    <row r="63" spans="1:4" x14ac:dyDescent="0.25">
      <c r="A63" s="19">
        <v>100010579</v>
      </c>
      <c r="B63" s="43" t="s">
        <v>150</v>
      </c>
      <c r="C63" s="39"/>
      <c r="D63" s="37">
        <v>51.743333333333297</v>
      </c>
    </row>
    <row r="64" spans="1:4" x14ac:dyDescent="0.25">
      <c r="A64" s="19">
        <v>100010595</v>
      </c>
      <c r="B64" s="43" t="s">
        <v>151</v>
      </c>
      <c r="C64" s="39"/>
      <c r="D64" s="37">
        <v>5052.5666666666702</v>
      </c>
    </row>
    <row r="65" spans="1:4" x14ac:dyDescent="0.25">
      <c r="A65" s="19">
        <v>100010626</v>
      </c>
      <c r="B65" s="43" t="s">
        <v>152</v>
      </c>
      <c r="C65" s="39"/>
      <c r="D65" s="37">
        <v>64.183333333333294</v>
      </c>
    </row>
    <row r="66" spans="1:4" x14ac:dyDescent="0.25">
      <c r="A66" s="19">
        <v>100010628</v>
      </c>
      <c r="B66" s="43" t="s">
        <v>153</v>
      </c>
      <c r="C66" s="39"/>
      <c r="D66" s="37">
        <v>1007.2</v>
      </c>
    </row>
    <row r="67" spans="1:4" x14ac:dyDescent="0.25">
      <c r="A67" s="19">
        <v>100010680</v>
      </c>
      <c r="B67" s="43" t="s">
        <v>154</v>
      </c>
      <c r="C67" s="39" t="s">
        <v>155</v>
      </c>
      <c r="D67" s="50">
        <v>10184.120000000001</v>
      </c>
    </row>
    <row r="68" spans="1:4" x14ac:dyDescent="0.25">
      <c r="A68" s="19">
        <v>100010684</v>
      </c>
      <c r="B68" s="43" t="s">
        <v>156</v>
      </c>
      <c r="C68" s="39"/>
      <c r="D68" s="37">
        <v>87.81</v>
      </c>
    </row>
    <row r="69" spans="1:4" x14ac:dyDescent="0.25">
      <c r="A69" s="19">
        <v>100010686</v>
      </c>
      <c r="B69" s="43" t="s">
        <v>157</v>
      </c>
      <c r="C69" s="39" t="s">
        <v>158</v>
      </c>
      <c r="D69" s="37">
        <v>3540.40333333333</v>
      </c>
    </row>
    <row r="70" spans="1:4" x14ac:dyDescent="0.25">
      <c r="A70" s="19">
        <v>100010721</v>
      </c>
      <c r="B70" s="43" t="s">
        <v>159</v>
      </c>
      <c r="C70" s="39" t="s">
        <v>160</v>
      </c>
      <c r="D70" s="37">
        <v>1248.2333333333299</v>
      </c>
    </row>
    <row r="71" spans="1:4" x14ac:dyDescent="0.25">
      <c r="A71" s="19">
        <v>100010734</v>
      </c>
      <c r="B71" s="43" t="s">
        <v>161</v>
      </c>
      <c r="C71" s="39"/>
      <c r="D71" s="37">
        <v>765.19</v>
      </c>
    </row>
    <row r="72" spans="1:4" x14ac:dyDescent="0.25">
      <c r="A72" s="19">
        <v>100010771</v>
      </c>
      <c r="B72" s="43" t="s">
        <v>162</v>
      </c>
      <c r="C72" s="39"/>
      <c r="D72" s="37">
        <v>558.66999999999996</v>
      </c>
    </row>
    <row r="73" spans="1:4" x14ac:dyDescent="0.25">
      <c r="A73" s="19">
        <v>100010780</v>
      </c>
      <c r="B73" s="43" t="s">
        <v>163</v>
      </c>
      <c r="C73" s="39" t="s">
        <v>164</v>
      </c>
      <c r="D73" s="37">
        <v>1199.6300000000001</v>
      </c>
    </row>
    <row r="74" spans="1:4" x14ac:dyDescent="0.25">
      <c r="A74" s="19">
        <v>100010788</v>
      </c>
      <c r="B74" s="43" t="s">
        <v>165</v>
      </c>
      <c r="C74" s="51"/>
      <c r="D74" s="37">
        <v>13266.63</v>
      </c>
    </row>
    <row r="75" spans="1:4" x14ac:dyDescent="0.25">
      <c r="A75" s="19">
        <v>100010805</v>
      </c>
      <c r="B75" s="43" t="s">
        <v>166</v>
      </c>
      <c r="C75" s="39"/>
      <c r="D75" s="37">
        <v>273.85333333333301</v>
      </c>
    </row>
    <row r="76" spans="1:4" x14ac:dyDescent="0.25">
      <c r="A76" s="19">
        <v>100010808</v>
      </c>
      <c r="B76" s="43" t="s">
        <v>167</v>
      </c>
      <c r="C76" s="39"/>
      <c r="D76" s="37">
        <v>674.636666666667</v>
      </c>
    </row>
    <row r="77" spans="1:4" x14ac:dyDescent="0.25">
      <c r="A77" s="19">
        <v>100010811</v>
      </c>
      <c r="B77" s="43" t="s">
        <v>168</v>
      </c>
      <c r="C77" s="39"/>
      <c r="D77" s="37">
        <v>211.61666666666699</v>
      </c>
    </row>
    <row r="78" spans="1:4" x14ac:dyDescent="0.25">
      <c r="A78" s="19">
        <v>100010828</v>
      </c>
      <c r="B78" s="43" t="s">
        <v>169</v>
      </c>
      <c r="C78" s="39"/>
      <c r="D78" s="37">
        <v>1092.99</v>
      </c>
    </row>
    <row r="79" spans="1:4" x14ac:dyDescent="0.25">
      <c r="A79" s="19">
        <v>100010829</v>
      </c>
      <c r="B79" s="43" t="s">
        <v>170</v>
      </c>
      <c r="C79" s="39"/>
      <c r="D79" s="37">
        <v>10323.790000000001</v>
      </c>
    </row>
    <row r="80" spans="1:4" x14ac:dyDescent="0.25">
      <c r="A80" s="19">
        <v>100010837</v>
      </c>
      <c r="B80" s="43" t="s">
        <v>171</v>
      </c>
      <c r="C80" s="39"/>
      <c r="D80" s="37">
        <v>306.70333333333298</v>
      </c>
    </row>
    <row r="81" spans="1:4" x14ac:dyDescent="0.25">
      <c r="A81" s="19">
        <v>100010841</v>
      </c>
      <c r="B81" s="43" t="s">
        <v>172</v>
      </c>
      <c r="C81" s="39"/>
      <c r="D81" s="37">
        <v>1300.8033333333301</v>
      </c>
    </row>
    <row r="82" spans="1:4" x14ac:dyDescent="0.25">
      <c r="A82" s="19">
        <v>100010846</v>
      </c>
      <c r="B82" s="43" t="s">
        <v>173</v>
      </c>
      <c r="C82" s="39" t="s">
        <v>174</v>
      </c>
      <c r="D82" s="37">
        <v>1136.93333333333</v>
      </c>
    </row>
    <row r="83" spans="1:4" x14ac:dyDescent="0.25">
      <c r="A83" s="19">
        <v>100010851</v>
      </c>
      <c r="B83" s="43" t="s">
        <v>175</v>
      </c>
      <c r="C83" s="39"/>
      <c r="D83" s="37">
        <v>885.32666666666705</v>
      </c>
    </row>
    <row r="84" spans="1:4" x14ac:dyDescent="0.25">
      <c r="A84" s="19">
        <v>100010864</v>
      </c>
      <c r="B84" s="43" t="s">
        <v>176</v>
      </c>
      <c r="C84" s="39"/>
      <c r="D84" s="37">
        <v>3323.2676666666698</v>
      </c>
    </row>
    <row r="85" spans="1:4" x14ac:dyDescent="0.25">
      <c r="A85" s="19">
        <v>100010865</v>
      </c>
      <c r="B85" s="43" t="s">
        <v>177</v>
      </c>
      <c r="C85" s="39" t="s">
        <v>178</v>
      </c>
      <c r="D85" s="37">
        <v>474.3</v>
      </c>
    </row>
    <row r="86" spans="1:4" x14ac:dyDescent="0.25">
      <c r="A86" s="19">
        <v>100010940</v>
      </c>
      <c r="B86" s="43" t="s">
        <v>179</v>
      </c>
      <c r="C86" s="39"/>
      <c r="D86" s="37">
        <v>152.893333333333</v>
      </c>
    </row>
    <row r="87" spans="1:4" x14ac:dyDescent="0.25">
      <c r="A87" s="19">
        <v>100011313</v>
      </c>
      <c r="B87" s="43" t="s">
        <v>180</v>
      </c>
      <c r="C87" s="39"/>
      <c r="D87" s="37">
        <v>721.76666666666699</v>
      </c>
    </row>
    <row r="88" spans="1:4" x14ac:dyDescent="0.25">
      <c r="A88" s="19">
        <v>100011316</v>
      </c>
      <c r="B88" s="43" t="s">
        <v>181</v>
      </c>
      <c r="C88" s="39"/>
      <c r="D88" s="37">
        <v>1317.63333333333</v>
      </c>
    </row>
    <row r="89" spans="1:4" x14ac:dyDescent="0.25">
      <c r="A89" s="19">
        <v>100011317</v>
      </c>
      <c r="B89" s="43" t="s">
        <v>1303</v>
      </c>
      <c r="C89" s="39" t="s">
        <v>1305</v>
      </c>
      <c r="D89" s="37">
        <v>261306.81</v>
      </c>
    </row>
    <row r="90" spans="1:4" x14ac:dyDescent="0.25">
      <c r="A90" s="19">
        <v>100011324</v>
      </c>
      <c r="B90" s="43" t="s">
        <v>182</v>
      </c>
      <c r="C90" s="39"/>
      <c r="D90" s="37">
        <v>366.613333333333</v>
      </c>
    </row>
    <row r="91" spans="1:4" x14ac:dyDescent="0.25">
      <c r="A91" s="19">
        <v>100011373</v>
      </c>
      <c r="B91" s="43" t="s">
        <v>183</v>
      </c>
      <c r="C91" s="39"/>
      <c r="D91" s="37">
        <v>1451.8333333333301</v>
      </c>
    </row>
    <row r="92" spans="1:4" x14ac:dyDescent="0.25">
      <c r="A92" s="19">
        <v>100011723</v>
      </c>
      <c r="B92" s="43" t="s">
        <v>184</v>
      </c>
      <c r="C92" s="39"/>
      <c r="D92" s="37">
        <v>1862.62666666667</v>
      </c>
    </row>
    <row r="93" spans="1:4" x14ac:dyDescent="0.25">
      <c r="A93" s="19">
        <v>100011724</v>
      </c>
      <c r="B93" s="52" t="s">
        <v>185</v>
      </c>
      <c r="C93" s="39"/>
      <c r="D93" s="37">
        <v>562.77</v>
      </c>
    </row>
    <row r="94" spans="1:4" x14ac:dyDescent="0.25">
      <c r="A94" s="19">
        <v>100011731</v>
      </c>
      <c r="B94" s="43" t="s">
        <v>186</v>
      </c>
      <c r="C94" s="39"/>
      <c r="D94" s="37">
        <v>3682.3333333333298</v>
      </c>
    </row>
    <row r="95" spans="1:4" x14ac:dyDescent="0.25">
      <c r="A95" s="19">
        <v>100011972</v>
      </c>
      <c r="B95" s="43" t="s">
        <v>187</v>
      </c>
      <c r="C95" s="53" t="s">
        <v>188</v>
      </c>
      <c r="D95" s="55">
        <v>39182.666666666701</v>
      </c>
    </row>
    <row r="96" spans="1:4" x14ac:dyDescent="0.25">
      <c r="A96" s="19">
        <v>100011973</v>
      </c>
      <c r="B96" s="43" t="s">
        <v>189</v>
      </c>
      <c r="C96" s="53" t="s">
        <v>190</v>
      </c>
      <c r="D96" s="37">
        <v>44651</v>
      </c>
    </row>
    <row r="97" spans="1:4" ht="30" x14ac:dyDescent="0.25">
      <c r="A97" s="19">
        <v>100011987</v>
      </c>
      <c r="B97" s="54" t="s">
        <v>191</v>
      </c>
      <c r="C97" s="39"/>
      <c r="D97" s="37">
        <v>700.78666666666697</v>
      </c>
    </row>
    <row r="98" spans="1:4" x14ac:dyDescent="0.25">
      <c r="A98" s="19">
        <v>100011993</v>
      </c>
      <c r="B98" s="43" t="s">
        <v>192</v>
      </c>
      <c r="C98" s="39"/>
      <c r="D98" s="37">
        <v>12882.266666666699</v>
      </c>
    </row>
    <row r="99" spans="1:4" x14ac:dyDescent="0.25">
      <c r="A99" s="19">
        <v>100011994</v>
      </c>
      <c r="B99" s="43" t="s">
        <v>193</v>
      </c>
      <c r="C99" s="49"/>
      <c r="D99" s="37">
        <v>248.56</v>
      </c>
    </row>
    <row r="100" spans="1:4" x14ac:dyDescent="0.25">
      <c r="A100" s="19">
        <v>100012003</v>
      </c>
      <c r="B100" s="43" t="s">
        <v>194</v>
      </c>
      <c r="C100" s="39"/>
      <c r="D100" s="37">
        <v>413.613333333333</v>
      </c>
    </row>
    <row r="101" spans="1:4" x14ac:dyDescent="0.25">
      <c r="A101" s="19">
        <v>100012005</v>
      </c>
      <c r="B101" s="43" t="s">
        <v>195</v>
      </c>
      <c r="C101" s="39"/>
      <c r="D101" s="37">
        <v>521.26666666666699</v>
      </c>
    </row>
    <row r="102" spans="1:4" x14ac:dyDescent="0.25">
      <c r="A102" s="19">
        <v>100012049</v>
      </c>
      <c r="B102" s="43" t="s">
        <v>196</v>
      </c>
      <c r="C102" s="39" t="s">
        <v>197</v>
      </c>
      <c r="D102" s="37">
        <v>1343</v>
      </c>
    </row>
    <row r="103" spans="1:4" x14ac:dyDescent="0.25">
      <c r="A103" s="19">
        <v>100012058</v>
      </c>
      <c r="B103" s="43" t="s">
        <v>198</v>
      </c>
      <c r="C103" s="39"/>
      <c r="D103" s="37">
        <v>236.24</v>
      </c>
    </row>
    <row r="104" spans="1:4" x14ac:dyDescent="0.25">
      <c r="A104" s="19">
        <v>100012059</v>
      </c>
      <c r="B104" s="43" t="s">
        <v>199</v>
      </c>
      <c r="C104" s="39" t="s">
        <v>200</v>
      </c>
      <c r="D104" s="37">
        <v>1571.4833333333299</v>
      </c>
    </row>
    <row r="105" spans="1:4" x14ac:dyDescent="0.25">
      <c r="A105" s="19">
        <v>100012065</v>
      </c>
      <c r="B105" s="44" t="s">
        <v>1249</v>
      </c>
      <c r="C105" s="82"/>
      <c r="D105" s="37">
        <v>117.63</v>
      </c>
    </row>
    <row r="106" spans="1:4" x14ac:dyDescent="0.25">
      <c r="A106" s="19">
        <v>100012245</v>
      </c>
      <c r="B106" s="43" t="s">
        <v>201</v>
      </c>
      <c r="C106" s="39"/>
      <c r="D106" s="37">
        <v>244.43</v>
      </c>
    </row>
    <row r="107" spans="1:4" x14ac:dyDescent="0.25">
      <c r="A107" s="19">
        <v>100012246</v>
      </c>
      <c r="B107" s="43" t="s">
        <v>202</v>
      </c>
      <c r="C107" s="39" t="s">
        <v>203</v>
      </c>
      <c r="D107" s="37">
        <v>428.066666666667</v>
      </c>
    </row>
    <row r="108" spans="1:4" x14ac:dyDescent="0.25">
      <c r="A108" s="19">
        <v>100012250</v>
      </c>
      <c r="B108" s="43" t="s">
        <v>204</v>
      </c>
      <c r="C108" s="49"/>
      <c r="D108" s="37">
        <v>71.006666666666703</v>
      </c>
    </row>
    <row r="109" spans="1:4" x14ac:dyDescent="0.25">
      <c r="A109" s="19">
        <v>100012258</v>
      </c>
      <c r="B109" s="43" t="s">
        <v>205</v>
      </c>
      <c r="C109" s="39"/>
      <c r="D109" s="37">
        <v>3788.5233333333299</v>
      </c>
    </row>
    <row r="110" spans="1:4" x14ac:dyDescent="0.25">
      <c r="A110" s="19">
        <v>100012262</v>
      </c>
      <c r="B110" s="43" t="s">
        <v>206</v>
      </c>
      <c r="C110" s="39"/>
      <c r="D110" s="37">
        <v>1132.93333333333</v>
      </c>
    </row>
    <row r="111" spans="1:4" x14ac:dyDescent="0.25">
      <c r="A111" s="19">
        <v>100012271</v>
      </c>
      <c r="B111" s="43" t="s">
        <v>207</v>
      </c>
      <c r="C111" s="39" t="s">
        <v>208</v>
      </c>
      <c r="D111" s="37">
        <v>854.46666666666704</v>
      </c>
    </row>
    <row r="112" spans="1:4" ht="30" x14ac:dyDescent="0.25">
      <c r="A112" s="19">
        <v>100012272</v>
      </c>
      <c r="B112" s="54" t="s">
        <v>209</v>
      </c>
      <c r="C112" s="39"/>
      <c r="D112" s="37">
        <v>409.67333333333301</v>
      </c>
    </row>
    <row r="113" spans="1:4" x14ac:dyDescent="0.25">
      <c r="A113" s="19">
        <v>100012287</v>
      </c>
      <c r="B113" s="43" t="s">
        <v>210</v>
      </c>
      <c r="C113" s="39"/>
      <c r="D113" s="37">
        <v>350.32666666666699</v>
      </c>
    </row>
    <row r="114" spans="1:4" x14ac:dyDescent="0.25">
      <c r="A114" s="19">
        <v>100012289</v>
      </c>
      <c r="B114" s="43" t="s">
        <v>211</v>
      </c>
      <c r="C114" s="39"/>
      <c r="D114" s="37">
        <v>35530.386666666702</v>
      </c>
    </row>
    <row r="115" spans="1:4" x14ac:dyDescent="0.25">
      <c r="A115" s="46">
        <v>100012292</v>
      </c>
      <c r="B115" s="47" t="s">
        <v>212</v>
      </c>
      <c r="C115" s="83"/>
      <c r="D115" s="48">
        <v>10222.573333333299</v>
      </c>
    </row>
    <row r="116" spans="1:4" x14ac:dyDescent="0.25">
      <c r="A116" s="19">
        <v>100012320</v>
      </c>
      <c r="B116" s="43" t="s">
        <v>213</v>
      </c>
      <c r="C116" s="39" t="s">
        <v>214</v>
      </c>
      <c r="D116" s="37">
        <v>3632.6666666666702</v>
      </c>
    </row>
    <row r="117" spans="1:4" x14ac:dyDescent="0.25">
      <c r="A117" s="19">
        <v>100012324</v>
      </c>
      <c r="B117" s="43" t="s">
        <v>215</v>
      </c>
      <c r="C117" s="39"/>
      <c r="D117" s="37">
        <v>331.066666666667</v>
      </c>
    </row>
    <row r="118" spans="1:4" x14ac:dyDescent="0.25">
      <c r="A118" s="19">
        <v>100012332</v>
      </c>
      <c r="B118" s="43" t="s">
        <v>216</v>
      </c>
      <c r="C118" s="39"/>
      <c r="D118" s="37">
        <v>13269.82</v>
      </c>
    </row>
    <row r="119" spans="1:4" x14ac:dyDescent="0.25">
      <c r="A119" s="19">
        <v>100012342</v>
      </c>
      <c r="B119" s="43" t="s">
        <v>217</v>
      </c>
      <c r="C119" s="39"/>
      <c r="D119" s="37">
        <v>2411.8133333333299</v>
      </c>
    </row>
    <row r="120" spans="1:4" x14ac:dyDescent="0.25">
      <c r="A120" s="19">
        <v>100012354</v>
      </c>
      <c r="B120" s="43" t="s">
        <v>218</v>
      </c>
      <c r="C120" s="39"/>
      <c r="D120" s="37">
        <v>954.29666666666697</v>
      </c>
    </row>
    <row r="121" spans="1:4" x14ac:dyDescent="0.25">
      <c r="A121" s="19">
        <v>100012356</v>
      </c>
      <c r="B121" s="43" t="s">
        <v>219</v>
      </c>
      <c r="C121" s="39"/>
      <c r="D121" s="37">
        <v>887.00333333333299</v>
      </c>
    </row>
    <row r="122" spans="1:4" x14ac:dyDescent="0.25">
      <c r="A122" s="19">
        <v>100012371</v>
      </c>
      <c r="B122" s="43" t="s">
        <v>220</v>
      </c>
      <c r="C122" s="39"/>
      <c r="D122" s="37">
        <v>9361.8666666666704</v>
      </c>
    </row>
    <row r="123" spans="1:4" x14ac:dyDescent="0.25">
      <c r="A123" s="19">
        <v>100012410</v>
      </c>
      <c r="B123" s="43" t="s">
        <v>221</v>
      </c>
      <c r="C123" s="82"/>
      <c r="D123" s="37">
        <v>1395.04</v>
      </c>
    </row>
    <row r="124" spans="1:4" x14ac:dyDescent="0.25">
      <c r="A124" s="19">
        <v>100012417</v>
      </c>
      <c r="B124" s="43" t="s">
        <v>223</v>
      </c>
      <c r="C124" s="39"/>
      <c r="D124" s="37">
        <v>12788.4233333333</v>
      </c>
    </row>
    <row r="125" spans="1:4" x14ac:dyDescent="0.25">
      <c r="A125" s="35">
        <v>100012460</v>
      </c>
      <c r="B125" s="44" t="s">
        <v>224</v>
      </c>
      <c r="C125" s="41"/>
      <c r="D125" s="37">
        <v>72.959999999999994</v>
      </c>
    </row>
    <row r="126" spans="1:4" x14ac:dyDescent="0.25">
      <c r="A126" s="19">
        <v>100012461</v>
      </c>
      <c r="B126" s="43" t="s">
        <v>225</v>
      </c>
      <c r="C126" s="39"/>
      <c r="D126" s="37">
        <v>279.27999999999997</v>
      </c>
    </row>
    <row r="127" spans="1:4" x14ac:dyDescent="0.25">
      <c r="A127" s="19">
        <v>100012464</v>
      </c>
      <c r="B127" s="43" t="s">
        <v>226</v>
      </c>
      <c r="C127" s="39"/>
      <c r="D127" s="37">
        <v>10417.52</v>
      </c>
    </row>
    <row r="128" spans="1:4" x14ac:dyDescent="0.25">
      <c r="A128" s="19">
        <v>100012474</v>
      </c>
      <c r="B128" s="52" t="s">
        <v>227</v>
      </c>
      <c r="C128" s="39"/>
      <c r="D128" s="37">
        <v>4767.93</v>
      </c>
    </row>
    <row r="129" spans="1:4" x14ac:dyDescent="0.25">
      <c r="A129" s="19">
        <v>100012484</v>
      </c>
      <c r="B129" s="44" t="s">
        <v>1252</v>
      </c>
      <c r="C129" s="82"/>
      <c r="D129" s="37">
        <v>163115.29999999999</v>
      </c>
    </row>
    <row r="130" spans="1:4" x14ac:dyDescent="0.25">
      <c r="A130" s="19">
        <v>100012487</v>
      </c>
      <c r="B130" s="43" t="s">
        <v>228</v>
      </c>
      <c r="C130" s="51"/>
      <c r="D130" s="37">
        <v>856.63</v>
      </c>
    </row>
    <row r="131" spans="1:4" x14ac:dyDescent="0.25">
      <c r="A131" s="19">
        <v>100012489</v>
      </c>
      <c r="B131" s="43" t="s">
        <v>229</v>
      </c>
      <c r="C131" s="39" t="s">
        <v>230</v>
      </c>
      <c r="D131" s="37">
        <v>446.51</v>
      </c>
    </row>
    <row r="132" spans="1:4" x14ac:dyDescent="0.25">
      <c r="A132" s="19">
        <v>100012490</v>
      </c>
      <c r="B132" s="43" t="s">
        <v>231</v>
      </c>
      <c r="C132" s="39"/>
      <c r="D132" s="37">
        <v>964.41333333333296</v>
      </c>
    </row>
    <row r="133" spans="1:4" x14ac:dyDescent="0.25">
      <c r="A133" s="19">
        <v>100012492</v>
      </c>
      <c r="B133" s="43" t="s">
        <v>1127</v>
      </c>
      <c r="C133" s="39" t="s">
        <v>1218</v>
      </c>
      <c r="D133" s="37">
        <v>2075.1999999999998</v>
      </c>
    </row>
    <row r="134" spans="1:4" x14ac:dyDescent="0.25">
      <c r="A134" s="19">
        <v>100012499</v>
      </c>
      <c r="B134" s="44" t="s">
        <v>1248</v>
      </c>
      <c r="C134" s="39" t="s">
        <v>916</v>
      </c>
      <c r="D134" s="87">
        <v>165245.89000000001</v>
      </c>
    </row>
    <row r="135" spans="1:4" x14ac:dyDescent="0.25">
      <c r="A135" s="19">
        <v>100012511</v>
      </c>
      <c r="B135" s="43" t="s">
        <v>232</v>
      </c>
      <c r="C135" s="39" t="s">
        <v>233</v>
      </c>
      <c r="D135" s="37">
        <v>46961.21</v>
      </c>
    </row>
    <row r="136" spans="1:4" x14ac:dyDescent="0.25">
      <c r="A136" s="35">
        <v>100012520</v>
      </c>
      <c r="B136" s="44" t="s">
        <v>234</v>
      </c>
      <c r="C136" s="41"/>
      <c r="D136" s="37">
        <v>261.23</v>
      </c>
    </row>
    <row r="137" spans="1:4" x14ac:dyDescent="0.25">
      <c r="A137" s="19">
        <v>100012523</v>
      </c>
      <c r="B137" s="43" t="s">
        <v>235</v>
      </c>
      <c r="C137" s="39"/>
      <c r="D137" s="55">
        <v>230.47</v>
      </c>
    </row>
    <row r="138" spans="1:4" x14ac:dyDescent="0.25">
      <c r="A138" s="19">
        <v>100012525</v>
      </c>
      <c r="B138" s="43" t="s">
        <v>236</v>
      </c>
      <c r="C138" s="39"/>
      <c r="D138" s="37">
        <v>2545.9666666666699</v>
      </c>
    </row>
    <row r="139" spans="1:4" x14ac:dyDescent="0.25">
      <c r="A139" s="19">
        <v>100012528</v>
      </c>
      <c r="B139" s="44" t="s">
        <v>1250</v>
      </c>
      <c r="C139" s="82"/>
      <c r="D139" s="87">
        <v>323136.25</v>
      </c>
    </row>
    <row r="140" spans="1:4" x14ac:dyDescent="0.25">
      <c r="A140" s="19">
        <v>100012533</v>
      </c>
      <c r="B140" s="43" t="s">
        <v>237</v>
      </c>
      <c r="C140" s="39" t="s">
        <v>238</v>
      </c>
      <c r="D140" s="55">
        <v>1629.03666666667</v>
      </c>
    </row>
    <row r="141" spans="1:4" x14ac:dyDescent="0.25">
      <c r="A141" s="19">
        <v>100012534</v>
      </c>
      <c r="B141" s="43" t="s">
        <v>239</v>
      </c>
      <c r="C141" s="39" t="s">
        <v>240</v>
      </c>
      <c r="D141" s="37">
        <v>886.83333333333303</v>
      </c>
    </row>
    <row r="142" spans="1:4" x14ac:dyDescent="0.25">
      <c r="A142" s="19">
        <v>100012539</v>
      </c>
      <c r="B142" s="43" t="s">
        <v>241</v>
      </c>
      <c r="C142" s="39"/>
      <c r="D142" s="37">
        <v>1470.9366666666699</v>
      </c>
    </row>
    <row r="143" spans="1:4" x14ac:dyDescent="0.25">
      <c r="A143" s="19">
        <v>100012540</v>
      </c>
      <c r="B143" s="43" t="s">
        <v>242</v>
      </c>
      <c r="C143" s="39"/>
      <c r="D143" s="37">
        <v>922.756666666667</v>
      </c>
    </row>
    <row r="144" spans="1:4" x14ac:dyDescent="0.25">
      <c r="A144" s="19">
        <v>100012544</v>
      </c>
      <c r="B144" s="43" t="s">
        <v>243</v>
      </c>
      <c r="C144" s="49"/>
      <c r="D144" s="37">
        <v>16990.490000000002</v>
      </c>
    </row>
    <row r="145" spans="1:4" x14ac:dyDescent="0.25">
      <c r="A145" s="19">
        <v>100012548</v>
      </c>
      <c r="B145" s="43" t="s">
        <v>244</v>
      </c>
      <c r="C145" s="39"/>
      <c r="D145" s="37">
        <v>14395.93</v>
      </c>
    </row>
    <row r="146" spans="1:4" x14ac:dyDescent="0.25">
      <c r="A146" s="19">
        <v>100012553</v>
      </c>
      <c r="B146" s="43" t="s">
        <v>245</v>
      </c>
      <c r="C146" s="39"/>
      <c r="D146" s="37">
        <v>885.32666666666705</v>
      </c>
    </row>
    <row r="147" spans="1:4" x14ac:dyDescent="0.25">
      <c r="A147" s="19">
        <v>100012555</v>
      </c>
      <c r="B147" s="43" t="s">
        <v>246</v>
      </c>
      <c r="C147" s="39" t="s">
        <v>247</v>
      </c>
      <c r="D147" s="37">
        <v>2800.7166666666699</v>
      </c>
    </row>
    <row r="148" spans="1:4" x14ac:dyDescent="0.25">
      <c r="A148" s="19">
        <v>100012582</v>
      </c>
      <c r="B148" s="43" t="s">
        <v>248</v>
      </c>
      <c r="C148" s="39"/>
      <c r="D148" s="37">
        <v>7206.56</v>
      </c>
    </row>
    <row r="149" spans="1:4" x14ac:dyDescent="0.25">
      <c r="A149" s="19">
        <v>100012583</v>
      </c>
      <c r="B149" s="43" t="s">
        <v>249</v>
      </c>
      <c r="C149" s="39"/>
      <c r="D149" s="37">
        <v>165.023333333333</v>
      </c>
    </row>
    <row r="150" spans="1:4" x14ac:dyDescent="0.25">
      <c r="A150" s="19">
        <v>100012592</v>
      </c>
      <c r="B150" s="43" t="s">
        <v>250</v>
      </c>
      <c r="C150" s="39"/>
      <c r="D150" s="37">
        <v>7814.02</v>
      </c>
    </row>
    <row r="151" spans="1:4" x14ac:dyDescent="0.25">
      <c r="A151" s="19">
        <v>100012596</v>
      </c>
      <c r="B151" s="43" t="s">
        <v>1197</v>
      </c>
      <c r="C151" s="39"/>
      <c r="D151" s="37">
        <v>76573.09</v>
      </c>
    </row>
    <row r="152" spans="1:4" x14ac:dyDescent="0.25">
      <c r="A152" s="19">
        <v>100012599</v>
      </c>
      <c r="B152" s="43" t="s">
        <v>1266</v>
      </c>
      <c r="C152" s="39"/>
      <c r="D152" s="37">
        <v>1101</v>
      </c>
    </row>
    <row r="153" spans="1:4" x14ac:dyDescent="0.25">
      <c r="A153" s="19">
        <v>100012600</v>
      </c>
      <c r="B153" s="43" t="s">
        <v>253</v>
      </c>
      <c r="C153" s="39"/>
      <c r="D153" s="37">
        <v>2400.4066666666699</v>
      </c>
    </row>
    <row r="154" spans="1:4" x14ac:dyDescent="0.25">
      <c r="A154" s="19">
        <v>100012602</v>
      </c>
      <c r="B154" s="43" t="s">
        <v>254</v>
      </c>
      <c r="C154" s="39"/>
      <c r="D154" s="37">
        <v>141.61000000000001</v>
      </c>
    </row>
    <row r="155" spans="1:4" x14ac:dyDescent="0.25">
      <c r="A155" s="19">
        <v>100012603</v>
      </c>
      <c r="B155" s="43" t="s">
        <v>255</v>
      </c>
      <c r="C155" s="39"/>
      <c r="D155" s="37">
        <v>2131.5300000000002</v>
      </c>
    </row>
    <row r="156" spans="1:4" x14ac:dyDescent="0.25">
      <c r="A156" s="19">
        <v>100012610</v>
      </c>
      <c r="B156" s="43" t="s">
        <v>256</v>
      </c>
      <c r="C156" s="39"/>
      <c r="D156" s="37">
        <v>953.32666666666705</v>
      </c>
    </row>
    <row r="157" spans="1:4" x14ac:dyDescent="0.25">
      <c r="A157" s="19">
        <v>100012612</v>
      </c>
      <c r="B157" s="43" t="s">
        <v>257</v>
      </c>
      <c r="C157" s="39"/>
      <c r="D157" s="37">
        <v>598.20333333333303</v>
      </c>
    </row>
    <row r="158" spans="1:4" x14ac:dyDescent="0.25">
      <c r="A158" s="19">
        <v>100012613</v>
      </c>
      <c r="B158" s="43" t="s">
        <v>258</v>
      </c>
      <c r="C158" s="39"/>
      <c r="D158" s="37">
        <v>704.51666666666699</v>
      </c>
    </row>
    <row r="159" spans="1:4" x14ac:dyDescent="0.25">
      <c r="A159" s="19">
        <v>100012616</v>
      </c>
      <c r="B159" s="43" t="s">
        <v>259</v>
      </c>
      <c r="C159" s="39"/>
      <c r="D159" s="37">
        <v>7115.86</v>
      </c>
    </row>
    <row r="160" spans="1:4" x14ac:dyDescent="0.25">
      <c r="A160" s="19">
        <v>100012618</v>
      </c>
      <c r="B160" s="43" t="s">
        <v>260</v>
      </c>
      <c r="C160" s="39"/>
      <c r="D160" s="37">
        <v>18260.066666666698</v>
      </c>
    </row>
    <row r="161" spans="1:4" x14ac:dyDescent="0.25">
      <c r="A161" s="19">
        <v>100012635</v>
      </c>
      <c r="B161" s="56" t="s">
        <v>261</v>
      </c>
      <c r="C161" s="39"/>
      <c r="D161" s="37">
        <v>881.51666666666699</v>
      </c>
    </row>
    <row r="162" spans="1:4" x14ac:dyDescent="0.25">
      <c r="A162" s="19">
        <v>100012637</v>
      </c>
      <c r="B162" s="43" t="s">
        <v>262</v>
      </c>
      <c r="C162" s="39"/>
      <c r="D162" s="37">
        <v>325.02666666666698</v>
      </c>
    </row>
    <row r="163" spans="1:4" x14ac:dyDescent="0.25">
      <c r="A163" s="19">
        <v>100012638</v>
      </c>
      <c r="B163" s="43" t="s">
        <v>263</v>
      </c>
      <c r="C163" s="39"/>
      <c r="D163" s="37">
        <v>1689.9</v>
      </c>
    </row>
    <row r="164" spans="1:4" x14ac:dyDescent="0.25">
      <c r="A164" s="19">
        <v>100012639</v>
      </c>
      <c r="B164" s="43" t="s">
        <v>264</v>
      </c>
      <c r="C164" s="49"/>
      <c r="D164" s="37">
        <v>2588.3000000000002</v>
      </c>
    </row>
    <row r="165" spans="1:4" x14ac:dyDescent="0.25">
      <c r="A165" s="19">
        <v>100012640</v>
      </c>
      <c r="B165" s="43" t="s">
        <v>265</v>
      </c>
      <c r="C165" s="49"/>
      <c r="D165" s="37">
        <v>1476.9933333333299</v>
      </c>
    </row>
    <row r="166" spans="1:4" x14ac:dyDescent="0.25">
      <c r="A166" s="19">
        <v>100012646</v>
      </c>
      <c r="B166" s="43" t="s">
        <v>266</v>
      </c>
      <c r="C166" s="39"/>
      <c r="D166" s="37">
        <v>2448.3333333333298</v>
      </c>
    </row>
    <row r="167" spans="1:4" x14ac:dyDescent="0.25">
      <c r="A167" s="19">
        <v>100012654</v>
      </c>
      <c r="B167" s="43" t="s">
        <v>136</v>
      </c>
      <c r="C167" s="39" t="s">
        <v>267</v>
      </c>
      <c r="D167" s="37">
        <v>4125.0166666666701</v>
      </c>
    </row>
    <row r="168" spans="1:4" x14ac:dyDescent="0.25">
      <c r="A168" s="19">
        <v>100012655</v>
      </c>
      <c r="B168" s="43" t="s">
        <v>268</v>
      </c>
      <c r="C168" s="39"/>
      <c r="D168" s="37">
        <v>536.98666666666702</v>
      </c>
    </row>
    <row r="169" spans="1:4" x14ac:dyDescent="0.25">
      <c r="A169" s="19">
        <v>100012656</v>
      </c>
      <c r="B169" s="43" t="s">
        <v>269</v>
      </c>
      <c r="C169" s="39"/>
      <c r="D169" s="37">
        <v>26.3333333333333</v>
      </c>
    </row>
    <row r="170" spans="1:4" x14ac:dyDescent="0.25">
      <c r="A170" s="19">
        <v>100012657</v>
      </c>
      <c r="B170" s="57" t="s">
        <v>270</v>
      </c>
      <c r="C170" s="39"/>
      <c r="D170" s="37">
        <v>153.113333333333</v>
      </c>
    </row>
    <row r="171" spans="1:4" x14ac:dyDescent="0.25">
      <c r="A171" s="19">
        <v>100012658</v>
      </c>
      <c r="B171" s="43" t="s">
        <v>271</v>
      </c>
      <c r="C171" s="39"/>
      <c r="D171" s="37">
        <v>253.07</v>
      </c>
    </row>
    <row r="172" spans="1:4" x14ac:dyDescent="0.25">
      <c r="A172" s="19">
        <v>100012659</v>
      </c>
      <c r="B172" s="43" t="s">
        <v>272</v>
      </c>
      <c r="C172" s="39"/>
      <c r="D172" s="37">
        <v>242.98333333333301</v>
      </c>
    </row>
    <row r="173" spans="1:4" x14ac:dyDescent="0.25">
      <c r="A173" s="19">
        <v>100012661</v>
      </c>
      <c r="B173" s="43" t="s">
        <v>273</v>
      </c>
      <c r="C173" s="39"/>
      <c r="D173" s="37">
        <v>9253.01</v>
      </c>
    </row>
    <row r="174" spans="1:4" x14ac:dyDescent="0.25">
      <c r="A174" s="19">
        <v>100012696</v>
      </c>
      <c r="B174" s="44" t="s">
        <v>1176</v>
      </c>
      <c r="C174" s="82"/>
      <c r="D174" s="37">
        <v>11252.53</v>
      </c>
    </row>
    <row r="175" spans="1:4" x14ac:dyDescent="0.25">
      <c r="A175" s="19">
        <v>100012741</v>
      </c>
      <c r="B175" s="43" t="s">
        <v>274</v>
      </c>
      <c r="C175" s="39"/>
      <c r="D175" s="37">
        <v>421.55666666666701</v>
      </c>
    </row>
    <row r="176" spans="1:4" x14ac:dyDescent="0.25">
      <c r="A176" s="19">
        <v>100012742</v>
      </c>
      <c r="B176" s="43" t="s">
        <v>275</v>
      </c>
      <c r="C176" s="39"/>
      <c r="D176" s="37">
        <v>2843.15</v>
      </c>
    </row>
    <row r="177" spans="1:4" x14ac:dyDescent="0.25">
      <c r="A177" s="19">
        <v>100012746</v>
      </c>
      <c r="B177" s="43" t="s">
        <v>276</v>
      </c>
      <c r="C177" s="58" t="s">
        <v>277</v>
      </c>
      <c r="D177" s="37">
        <v>318.33333333333297</v>
      </c>
    </row>
    <row r="178" spans="1:4" x14ac:dyDescent="0.25">
      <c r="A178" s="19">
        <v>100012748</v>
      </c>
      <c r="B178" s="43" t="s">
        <v>278</v>
      </c>
      <c r="C178" s="39"/>
      <c r="D178" s="37">
        <v>801.26666666666699</v>
      </c>
    </row>
    <row r="179" spans="1:4" x14ac:dyDescent="0.25">
      <c r="A179" s="19">
        <v>100012751</v>
      </c>
      <c r="B179" s="43" t="s">
        <v>279</v>
      </c>
      <c r="C179" s="39"/>
      <c r="D179" s="37">
        <v>1123.63666666667</v>
      </c>
    </row>
    <row r="180" spans="1:4" x14ac:dyDescent="0.25">
      <c r="A180" s="19">
        <v>100012762</v>
      </c>
      <c r="B180" s="43" t="s">
        <v>280</v>
      </c>
      <c r="C180" s="39"/>
      <c r="D180" s="37">
        <v>0</v>
      </c>
    </row>
    <row r="181" spans="1:4" x14ac:dyDescent="0.25">
      <c r="A181" s="19">
        <v>100012763</v>
      </c>
      <c r="B181" s="43" t="s">
        <v>1259</v>
      </c>
      <c r="C181" s="82"/>
      <c r="D181" s="37">
        <v>610724.97</v>
      </c>
    </row>
    <row r="182" spans="1:4" x14ac:dyDescent="0.25">
      <c r="A182" s="19">
        <v>100012764</v>
      </c>
      <c r="B182" s="44" t="s">
        <v>1247</v>
      </c>
      <c r="C182" s="82"/>
      <c r="D182" s="37">
        <v>72126.38</v>
      </c>
    </row>
    <row r="183" spans="1:4" x14ac:dyDescent="0.25">
      <c r="A183" s="19">
        <v>100012767</v>
      </c>
      <c r="B183" s="43" t="s">
        <v>281</v>
      </c>
      <c r="C183" s="39"/>
      <c r="D183" s="37">
        <v>5695.9833333333299</v>
      </c>
    </row>
    <row r="184" spans="1:4" x14ac:dyDescent="0.25">
      <c r="A184" s="19">
        <v>100012770</v>
      </c>
      <c r="B184" s="43" t="s">
        <v>282</v>
      </c>
      <c r="C184" s="39" t="s">
        <v>283</v>
      </c>
      <c r="D184" s="37">
        <v>991.80333333333294</v>
      </c>
    </row>
    <row r="185" spans="1:4" x14ac:dyDescent="0.25">
      <c r="A185" s="19">
        <v>100012771</v>
      </c>
      <c r="B185" s="43" t="s">
        <v>284</v>
      </c>
      <c r="C185" s="39"/>
      <c r="D185" s="37">
        <v>2989.36333333333</v>
      </c>
    </row>
    <row r="186" spans="1:4" x14ac:dyDescent="0.25">
      <c r="A186" s="19">
        <v>100012775</v>
      </c>
      <c r="B186" s="43" t="s">
        <v>285</v>
      </c>
      <c r="C186" s="39"/>
      <c r="D186" s="37">
        <v>1561.38</v>
      </c>
    </row>
    <row r="187" spans="1:4" x14ac:dyDescent="0.25">
      <c r="A187" s="19">
        <v>100012776</v>
      </c>
      <c r="B187" s="43" t="s">
        <v>286</v>
      </c>
      <c r="C187" s="39"/>
      <c r="D187" s="37">
        <v>6950.2733333333299</v>
      </c>
    </row>
    <row r="188" spans="1:4" x14ac:dyDescent="0.25">
      <c r="A188" s="19">
        <v>100012783</v>
      </c>
      <c r="B188" s="43" t="s">
        <v>287</v>
      </c>
      <c r="C188" s="39"/>
      <c r="D188" s="37">
        <v>83.516666666666694</v>
      </c>
    </row>
    <row r="189" spans="1:4" x14ac:dyDescent="0.25">
      <c r="A189" s="19">
        <v>100012784</v>
      </c>
      <c r="B189" s="43" t="s">
        <v>288</v>
      </c>
      <c r="C189" s="39"/>
      <c r="D189" s="37">
        <v>66985.033333333296</v>
      </c>
    </row>
    <row r="190" spans="1:4" x14ac:dyDescent="0.25">
      <c r="A190" s="19">
        <v>100012786</v>
      </c>
      <c r="B190" s="43" t="s">
        <v>289</v>
      </c>
      <c r="C190" s="39"/>
      <c r="D190" s="37">
        <v>4182.3333333333303</v>
      </c>
    </row>
    <row r="191" spans="1:4" x14ac:dyDescent="0.25">
      <c r="A191" s="19">
        <v>100012788</v>
      </c>
      <c r="B191" s="43" t="s">
        <v>290</v>
      </c>
      <c r="C191" s="39"/>
      <c r="D191" s="37">
        <v>10587.02</v>
      </c>
    </row>
    <row r="192" spans="1:4" x14ac:dyDescent="0.25">
      <c r="A192" s="19">
        <v>100012790</v>
      </c>
      <c r="B192" s="43" t="s">
        <v>291</v>
      </c>
      <c r="C192" s="39"/>
      <c r="D192" s="37">
        <v>1877.6666666666699</v>
      </c>
    </row>
    <row r="193" spans="1:4" x14ac:dyDescent="0.25">
      <c r="A193" s="19">
        <v>100012793</v>
      </c>
      <c r="B193" s="43" t="s">
        <v>1309</v>
      </c>
      <c r="C193" s="119"/>
      <c r="D193" s="37">
        <v>642517.07999999996</v>
      </c>
    </row>
    <row r="194" spans="1:4" x14ac:dyDescent="0.25">
      <c r="A194" s="19">
        <v>100012795</v>
      </c>
      <c r="B194" s="43" t="s">
        <v>292</v>
      </c>
      <c r="C194" s="39"/>
      <c r="D194" s="37">
        <v>3484.0233333333299</v>
      </c>
    </row>
    <row r="195" spans="1:4" x14ac:dyDescent="0.25">
      <c r="A195" s="19">
        <v>100012802</v>
      </c>
      <c r="B195" s="43" t="s">
        <v>293</v>
      </c>
      <c r="C195" s="39" t="s">
        <v>294</v>
      </c>
      <c r="D195" s="37">
        <v>915.71666666666704</v>
      </c>
    </row>
    <row r="196" spans="1:4" x14ac:dyDescent="0.25">
      <c r="A196" s="19">
        <v>100012804</v>
      </c>
      <c r="B196" s="43" t="s">
        <v>295</v>
      </c>
      <c r="C196" s="39" t="s">
        <v>296</v>
      </c>
      <c r="D196" s="37">
        <v>884.04</v>
      </c>
    </row>
    <row r="197" spans="1:4" x14ac:dyDescent="0.25">
      <c r="A197" s="19">
        <v>100012806</v>
      </c>
      <c r="B197" s="43" t="s">
        <v>297</v>
      </c>
      <c r="C197" s="39"/>
      <c r="D197" s="37">
        <v>143.79</v>
      </c>
    </row>
    <row r="198" spans="1:4" x14ac:dyDescent="0.25">
      <c r="A198" s="19">
        <v>100012811</v>
      </c>
      <c r="B198" s="43" t="s">
        <v>298</v>
      </c>
      <c r="C198" s="39"/>
      <c r="D198" s="37">
        <v>897.19333333333304</v>
      </c>
    </row>
    <row r="199" spans="1:4" x14ac:dyDescent="0.25">
      <c r="A199" s="19">
        <v>100012813</v>
      </c>
      <c r="B199" s="43" t="s">
        <v>299</v>
      </c>
      <c r="C199" s="39"/>
      <c r="D199" s="37">
        <v>804.71666666666704</v>
      </c>
    </row>
    <row r="200" spans="1:4" x14ac:dyDescent="0.25">
      <c r="A200" s="35">
        <v>100012817</v>
      </c>
      <c r="B200" s="44" t="s">
        <v>300</v>
      </c>
      <c r="C200" s="41"/>
      <c r="D200" s="37">
        <v>219.92</v>
      </c>
    </row>
    <row r="201" spans="1:4" x14ac:dyDescent="0.25">
      <c r="A201" s="19">
        <v>100012819</v>
      </c>
      <c r="B201" s="43" t="s">
        <v>301</v>
      </c>
      <c r="C201" s="39"/>
      <c r="D201" s="37">
        <v>6255.1233333333303</v>
      </c>
    </row>
    <row r="202" spans="1:4" x14ac:dyDescent="0.25">
      <c r="A202" s="19">
        <v>100012820</v>
      </c>
      <c r="B202" s="43" t="s">
        <v>1310</v>
      </c>
      <c r="C202" s="119"/>
      <c r="D202" s="37">
        <v>1231419.07</v>
      </c>
    </row>
    <row r="203" spans="1:4" x14ac:dyDescent="0.25">
      <c r="A203" s="19">
        <v>100012821</v>
      </c>
      <c r="B203" s="44" t="s">
        <v>1241</v>
      </c>
      <c r="C203" s="82"/>
      <c r="D203" s="87">
        <v>564509.79</v>
      </c>
    </row>
    <row r="204" spans="1:4" x14ac:dyDescent="0.25">
      <c r="A204" s="19">
        <v>100012822</v>
      </c>
      <c r="B204" s="43" t="s">
        <v>1258</v>
      </c>
      <c r="C204" s="82"/>
      <c r="D204" s="37">
        <v>41340.25</v>
      </c>
    </row>
    <row r="205" spans="1:4" x14ac:dyDescent="0.25">
      <c r="A205" s="19">
        <v>100012825</v>
      </c>
      <c r="B205" s="43" t="s">
        <v>1260</v>
      </c>
      <c r="C205" s="82"/>
      <c r="D205" s="37">
        <v>9246.83</v>
      </c>
    </row>
    <row r="206" spans="1:4" x14ac:dyDescent="0.25">
      <c r="A206" s="19">
        <v>100012828</v>
      </c>
      <c r="B206" s="43" t="s">
        <v>1219</v>
      </c>
      <c r="C206" s="82"/>
      <c r="D206" s="37">
        <v>121632.01</v>
      </c>
    </row>
    <row r="207" spans="1:4" x14ac:dyDescent="0.25">
      <c r="A207" s="19">
        <v>100012829</v>
      </c>
      <c r="B207" s="43" t="s">
        <v>302</v>
      </c>
      <c r="C207" s="39"/>
      <c r="D207" s="37">
        <v>1139.3233333333301</v>
      </c>
    </row>
    <row r="208" spans="1:4" x14ac:dyDescent="0.25">
      <c r="A208" s="19">
        <v>100012830</v>
      </c>
      <c r="B208" s="43" t="s">
        <v>303</v>
      </c>
      <c r="C208" s="39"/>
      <c r="D208" s="37">
        <v>2024.5066666666701</v>
      </c>
    </row>
    <row r="209" spans="1:4" x14ac:dyDescent="0.25">
      <c r="A209" s="19">
        <v>100012832</v>
      </c>
      <c r="B209" s="43" t="s">
        <v>304</v>
      </c>
      <c r="C209" s="39"/>
      <c r="D209" s="37">
        <v>1822.9866666666701</v>
      </c>
    </row>
    <row r="210" spans="1:4" x14ac:dyDescent="0.25">
      <c r="A210" s="19">
        <v>100012833</v>
      </c>
      <c r="B210" s="43" t="s">
        <v>305</v>
      </c>
      <c r="C210" s="39"/>
      <c r="D210" s="37">
        <v>2125.38333333333</v>
      </c>
    </row>
    <row r="211" spans="1:4" x14ac:dyDescent="0.25">
      <c r="A211" s="19">
        <v>100012838</v>
      </c>
      <c r="B211" s="43" t="s">
        <v>306</v>
      </c>
      <c r="C211" s="39"/>
      <c r="D211" s="37">
        <v>238.62</v>
      </c>
    </row>
    <row r="212" spans="1:4" x14ac:dyDescent="0.25">
      <c r="A212" s="19">
        <v>100012841</v>
      </c>
      <c r="B212" s="43" t="s">
        <v>307</v>
      </c>
      <c r="C212" s="39"/>
      <c r="D212" s="37">
        <v>9843.6333333333296</v>
      </c>
    </row>
    <row r="213" spans="1:4" x14ac:dyDescent="0.25">
      <c r="A213" s="46">
        <v>100012843</v>
      </c>
      <c r="B213" s="47" t="s">
        <v>308</v>
      </c>
      <c r="C213" s="83"/>
      <c r="D213" s="48">
        <v>300.933333333333</v>
      </c>
    </row>
    <row r="214" spans="1:4" x14ac:dyDescent="0.25">
      <c r="A214" s="19">
        <v>100012844</v>
      </c>
      <c r="B214" s="43" t="s">
        <v>309</v>
      </c>
      <c r="C214" s="39"/>
      <c r="D214" s="37">
        <v>7436.3966666666702</v>
      </c>
    </row>
    <row r="215" spans="1:4" x14ac:dyDescent="0.25">
      <c r="A215" s="19">
        <v>100012845</v>
      </c>
      <c r="B215" s="43" t="s">
        <v>310</v>
      </c>
      <c r="C215" s="39" t="s">
        <v>311</v>
      </c>
      <c r="D215" s="37">
        <v>33331.449999999997</v>
      </c>
    </row>
    <row r="216" spans="1:4" x14ac:dyDescent="0.25">
      <c r="A216" s="19">
        <v>100012846</v>
      </c>
      <c r="B216" s="43" t="s">
        <v>312</v>
      </c>
      <c r="C216" s="39"/>
      <c r="D216" s="37">
        <v>20277.9666666667</v>
      </c>
    </row>
    <row r="217" spans="1:4" x14ac:dyDescent="0.25">
      <c r="A217" s="19">
        <v>100012849</v>
      </c>
      <c r="B217" s="43" t="s">
        <v>313</v>
      </c>
      <c r="C217" s="39"/>
      <c r="D217" s="37">
        <v>15791.67</v>
      </c>
    </row>
    <row r="218" spans="1:4" x14ac:dyDescent="0.25">
      <c r="A218" s="19">
        <v>100012850</v>
      </c>
      <c r="B218" s="43" t="s">
        <v>314</v>
      </c>
      <c r="C218" s="39" t="s">
        <v>315</v>
      </c>
      <c r="D218" s="37">
        <v>135692.04</v>
      </c>
    </row>
    <row r="219" spans="1:4" x14ac:dyDescent="0.25">
      <c r="A219" s="19">
        <v>100012851</v>
      </c>
      <c r="B219" s="43" t="s">
        <v>316</v>
      </c>
      <c r="C219" s="39"/>
      <c r="D219" s="37">
        <v>308</v>
      </c>
    </row>
    <row r="220" spans="1:4" x14ac:dyDescent="0.25">
      <c r="A220" s="19">
        <v>100012856</v>
      </c>
      <c r="B220" s="43" t="s">
        <v>317</v>
      </c>
      <c r="C220" s="39"/>
      <c r="D220" s="37">
        <v>23.7633333333333</v>
      </c>
    </row>
    <row r="221" spans="1:4" x14ac:dyDescent="0.25">
      <c r="A221" s="46">
        <v>100012857</v>
      </c>
      <c r="B221" s="47" t="s">
        <v>318</v>
      </c>
      <c r="C221" s="83"/>
      <c r="D221" s="86">
        <v>75.156666666666695</v>
      </c>
    </row>
    <row r="222" spans="1:4" x14ac:dyDescent="0.25">
      <c r="A222" s="19">
        <v>100012860</v>
      </c>
      <c r="B222" s="43" t="s">
        <v>319</v>
      </c>
      <c r="C222" s="39"/>
      <c r="D222" s="37">
        <v>8645</v>
      </c>
    </row>
    <row r="223" spans="1:4" x14ac:dyDescent="0.25">
      <c r="A223" s="19">
        <v>100012872</v>
      </c>
      <c r="B223" s="43" t="s">
        <v>1257</v>
      </c>
      <c r="C223" s="82"/>
      <c r="D223" s="37">
        <v>83546.210000000006</v>
      </c>
    </row>
    <row r="224" spans="1:4" x14ac:dyDescent="0.25">
      <c r="A224" s="19">
        <v>100012873</v>
      </c>
      <c r="B224" s="43" t="s">
        <v>320</v>
      </c>
      <c r="C224" s="39"/>
      <c r="D224" s="37">
        <v>73227.163333333301</v>
      </c>
    </row>
    <row r="225" spans="1:4" x14ac:dyDescent="0.25">
      <c r="A225" s="19">
        <v>100012877</v>
      </c>
      <c r="B225" s="43" t="s">
        <v>321</v>
      </c>
      <c r="C225" s="39"/>
      <c r="D225" s="37">
        <v>570.92999999999995</v>
      </c>
    </row>
    <row r="226" spans="1:4" x14ac:dyDescent="0.25">
      <c r="A226" s="35">
        <v>100012880</v>
      </c>
      <c r="B226" s="44" t="s">
        <v>322</v>
      </c>
      <c r="C226" s="41" t="s">
        <v>323</v>
      </c>
      <c r="D226" s="37">
        <v>7674.62</v>
      </c>
    </row>
    <row r="227" spans="1:4" x14ac:dyDescent="0.25">
      <c r="A227" s="19">
        <v>100012881</v>
      </c>
      <c r="B227" s="43" t="s">
        <v>324</v>
      </c>
      <c r="C227" s="39"/>
      <c r="D227" s="37">
        <v>4365.94333333333</v>
      </c>
    </row>
    <row r="228" spans="1:4" x14ac:dyDescent="0.25">
      <c r="A228" s="19">
        <v>100012882</v>
      </c>
      <c r="B228" s="43" t="s">
        <v>325</v>
      </c>
      <c r="C228" s="39"/>
      <c r="D228" s="37">
        <v>8285.1666666666697</v>
      </c>
    </row>
    <row r="229" spans="1:4" x14ac:dyDescent="0.25">
      <c r="A229" s="19">
        <v>100012883</v>
      </c>
      <c r="B229" s="43" t="s">
        <v>326</v>
      </c>
      <c r="C229" s="39"/>
      <c r="D229" s="37">
        <v>309.33333333333297</v>
      </c>
    </row>
    <row r="230" spans="1:4" x14ac:dyDescent="0.25">
      <c r="A230" s="19">
        <v>100012885</v>
      </c>
      <c r="B230" s="43" t="s">
        <v>327</v>
      </c>
      <c r="C230" s="39"/>
      <c r="D230" s="37">
        <v>195.333333333333</v>
      </c>
    </row>
    <row r="231" spans="1:4" x14ac:dyDescent="0.25">
      <c r="A231" s="19">
        <v>100012886</v>
      </c>
      <c r="B231" s="43" t="s">
        <v>328</v>
      </c>
      <c r="C231" s="39"/>
      <c r="D231" s="37">
        <v>454.42666666666702</v>
      </c>
    </row>
    <row r="232" spans="1:4" x14ac:dyDescent="0.25">
      <c r="A232" s="19">
        <v>100012887</v>
      </c>
      <c r="B232" s="43" t="s">
        <v>329</v>
      </c>
      <c r="C232" s="39"/>
      <c r="D232" s="37">
        <v>474.37666666666701</v>
      </c>
    </row>
    <row r="233" spans="1:4" x14ac:dyDescent="0.25">
      <c r="A233" s="19">
        <v>100012891</v>
      </c>
      <c r="B233" s="43" t="s">
        <v>330</v>
      </c>
      <c r="C233" s="39"/>
      <c r="D233" s="37">
        <v>277.63</v>
      </c>
    </row>
    <row r="234" spans="1:4" x14ac:dyDescent="0.25">
      <c r="A234" s="19">
        <v>100012892</v>
      </c>
      <c r="B234" s="43" t="s">
        <v>331</v>
      </c>
      <c r="C234" s="82"/>
      <c r="D234" s="37">
        <v>983.51</v>
      </c>
    </row>
    <row r="235" spans="1:4" x14ac:dyDescent="0.25">
      <c r="A235" s="19">
        <v>100012893</v>
      </c>
      <c r="B235" s="43" t="s">
        <v>332</v>
      </c>
      <c r="C235" s="39"/>
      <c r="D235" s="37">
        <v>955.33</v>
      </c>
    </row>
    <row r="236" spans="1:4" x14ac:dyDescent="0.25">
      <c r="A236" s="19">
        <v>100012895</v>
      </c>
      <c r="B236" s="43" t="s">
        <v>333</v>
      </c>
      <c r="C236" s="39"/>
      <c r="D236" s="37">
        <v>274.35666666666702</v>
      </c>
    </row>
    <row r="237" spans="1:4" x14ac:dyDescent="0.25">
      <c r="A237" s="19">
        <v>100012896</v>
      </c>
      <c r="B237" s="43" t="s">
        <v>334</v>
      </c>
      <c r="C237" s="39"/>
      <c r="D237" s="37">
        <v>171.92666666666699</v>
      </c>
    </row>
    <row r="238" spans="1:4" x14ac:dyDescent="0.25">
      <c r="A238" s="19">
        <v>100012897</v>
      </c>
      <c r="B238" s="43" t="s">
        <v>335</v>
      </c>
      <c r="C238" s="39" t="s">
        <v>336</v>
      </c>
      <c r="D238" s="37">
        <v>166.606666666667</v>
      </c>
    </row>
    <row r="239" spans="1:4" x14ac:dyDescent="0.25">
      <c r="A239" s="19">
        <v>100012898</v>
      </c>
      <c r="B239" s="43" t="s">
        <v>337</v>
      </c>
      <c r="C239" s="39" t="s">
        <v>338</v>
      </c>
      <c r="D239" s="37">
        <v>2007.3333333333301</v>
      </c>
    </row>
    <row r="240" spans="1:4" x14ac:dyDescent="0.25">
      <c r="A240" s="19">
        <v>100012899</v>
      </c>
      <c r="B240" s="43" t="s">
        <v>339</v>
      </c>
      <c r="C240" s="39" t="s">
        <v>340</v>
      </c>
      <c r="D240" s="37">
        <v>10218.9</v>
      </c>
    </row>
    <row r="241" spans="1:4" x14ac:dyDescent="0.25">
      <c r="A241" s="19">
        <v>100012900</v>
      </c>
      <c r="B241" s="43" t="s">
        <v>193</v>
      </c>
      <c r="C241" s="39" t="s">
        <v>341</v>
      </c>
      <c r="D241" s="37">
        <v>5717.61</v>
      </c>
    </row>
    <row r="242" spans="1:4" x14ac:dyDescent="0.25">
      <c r="A242" s="19">
        <v>100012901</v>
      </c>
      <c r="B242" s="43" t="s">
        <v>342</v>
      </c>
      <c r="C242" s="82"/>
      <c r="D242" s="85">
        <v>7253.26</v>
      </c>
    </row>
    <row r="243" spans="1:4" x14ac:dyDescent="0.25">
      <c r="A243" s="19">
        <v>100012902</v>
      </c>
      <c r="B243" s="43" t="s">
        <v>343</v>
      </c>
      <c r="C243" s="39"/>
      <c r="D243" s="37">
        <v>4836.2700000000004</v>
      </c>
    </row>
    <row r="244" spans="1:4" x14ac:dyDescent="0.25">
      <c r="A244" s="19">
        <v>100012903</v>
      </c>
      <c r="B244" s="43" t="s">
        <v>344</v>
      </c>
      <c r="C244" s="51"/>
      <c r="D244" s="37">
        <v>489.19</v>
      </c>
    </row>
    <row r="245" spans="1:4" x14ac:dyDescent="0.25">
      <c r="A245" s="19">
        <v>100012906</v>
      </c>
      <c r="B245" s="43" t="s">
        <v>345</v>
      </c>
      <c r="C245" s="39"/>
      <c r="D245" s="37">
        <v>23685.5566666667</v>
      </c>
    </row>
    <row r="246" spans="1:4" x14ac:dyDescent="0.25">
      <c r="A246" s="19">
        <v>100012907</v>
      </c>
      <c r="B246" s="43" t="s">
        <v>346</v>
      </c>
      <c r="C246" s="39"/>
      <c r="D246" s="37">
        <v>634.22666666666703</v>
      </c>
    </row>
    <row r="247" spans="1:4" x14ac:dyDescent="0.25">
      <c r="A247" s="19">
        <v>100012911</v>
      </c>
      <c r="B247" s="43" t="s">
        <v>347</v>
      </c>
      <c r="C247" s="39"/>
      <c r="D247" s="37">
        <v>547.96666666666704</v>
      </c>
    </row>
    <row r="248" spans="1:4" x14ac:dyDescent="0.25">
      <c r="A248" s="19">
        <v>100012915</v>
      </c>
      <c r="B248" s="43" t="s">
        <v>348</v>
      </c>
      <c r="C248" s="39"/>
      <c r="D248" s="37">
        <v>1386.9566666666699</v>
      </c>
    </row>
    <row r="249" spans="1:4" x14ac:dyDescent="0.25">
      <c r="A249" s="19">
        <v>100012916</v>
      </c>
      <c r="B249" s="43" t="s">
        <v>349</v>
      </c>
      <c r="C249" s="39" t="s">
        <v>350</v>
      </c>
      <c r="D249" s="37">
        <v>293.40666666666698</v>
      </c>
    </row>
    <row r="250" spans="1:4" x14ac:dyDescent="0.25">
      <c r="A250" s="19">
        <v>100012917</v>
      </c>
      <c r="B250" s="43" t="s">
        <v>351</v>
      </c>
      <c r="C250" s="39"/>
      <c r="D250" s="37">
        <v>19715.503333333301</v>
      </c>
    </row>
    <row r="251" spans="1:4" x14ac:dyDescent="0.25">
      <c r="A251" s="19">
        <v>100012918</v>
      </c>
      <c r="B251" s="43" t="s">
        <v>352</v>
      </c>
      <c r="C251" s="49"/>
      <c r="D251" s="37">
        <v>146.82333333333301</v>
      </c>
    </row>
    <row r="252" spans="1:4" x14ac:dyDescent="0.25">
      <c r="A252" s="19">
        <v>100012920</v>
      </c>
      <c r="B252" s="43" t="s">
        <v>1256</v>
      </c>
      <c r="C252" s="82"/>
      <c r="D252" s="37">
        <v>101524.91</v>
      </c>
    </row>
    <row r="253" spans="1:4" x14ac:dyDescent="0.25">
      <c r="A253" s="19">
        <v>100012923</v>
      </c>
      <c r="B253" s="43" t="s">
        <v>353</v>
      </c>
      <c r="C253" s="49"/>
      <c r="D253" s="37">
        <v>3677.9533333333302</v>
      </c>
    </row>
    <row r="254" spans="1:4" x14ac:dyDescent="0.25">
      <c r="A254" s="19">
        <v>100013052</v>
      </c>
      <c r="B254" s="43" t="s">
        <v>354</v>
      </c>
      <c r="C254" s="39"/>
      <c r="D254" s="37">
        <v>5584.7033333333302</v>
      </c>
    </row>
    <row r="255" spans="1:4" x14ac:dyDescent="0.25">
      <c r="A255" s="19">
        <v>100013053</v>
      </c>
      <c r="B255" s="43" t="s">
        <v>355</v>
      </c>
      <c r="C255" s="39"/>
      <c r="D255" s="37">
        <v>2304.9666666666699</v>
      </c>
    </row>
    <row r="256" spans="1:4" x14ac:dyDescent="0.25">
      <c r="A256" s="19">
        <v>100013058</v>
      </c>
      <c r="B256" s="43" t="s">
        <v>356</v>
      </c>
      <c r="C256" s="39"/>
      <c r="D256" s="37">
        <v>1690.32</v>
      </c>
    </row>
    <row r="257" spans="1:4" x14ac:dyDescent="0.25">
      <c r="A257" s="19">
        <v>100013062</v>
      </c>
      <c r="B257" s="43" t="s">
        <v>357</v>
      </c>
      <c r="C257" s="39"/>
      <c r="D257" s="37">
        <v>278.30666666666701</v>
      </c>
    </row>
    <row r="258" spans="1:4" x14ac:dyDescent="0.25">
      <c r="A258" s="19">
        <v>100013064</v>
      </c>
      <c r="B258" s="44" t="s">
        <v>1251</v>
      </c>
      <c r="C258" s="82"/>
      <c r="D258" s="37">
        <v>7138</v>
      </c>
    </row>
    <row r="259" spans="1:4" x14ac:dyDescent="0.25">
      <c r="A259" s="46">
        <v>100013066</v>
      </c>
      <c r="B259" s="38" t="s">
        <v>358</v>
      </c>
      <c r="C259" s="66"/>
      <c r="D259" s="48">
        <v>186.48333333333301</v>
      </c>
    </row>
    <row r="260" spans="1:4" x14ac:dyDescent="0.25">
      <c r="A260" s="46">
        <v>100013070</v>
      </c>
      <c r="B260" s="47" t="s">
        <v>359</v>
      </c>
      <c r="C260" s="66" t="s">
        <v>360</v>
      </c>
      <c r="D260" s="48">
        <v>16485.39</v>
      </c>
    </row>
    <row r="261" spans="1:4" x14ac:dyDescent="0.25">
      <c r="A261" s="46">
        <v>100013093</v>
      </c>
      <c r="B261" s="47" t="s">
        <v>361</v>
      </c>
      <c r="C261" s="66"/>
      <c r="D261" s="48">
        <v>32369.903333333299</v>
      </c>
    </row>
    <row r="262" spans="1:4" x14ac:dyDescent="0.25">
      <c r="A262" s="19">
        <v>100013107</v>
      </c>
      <c r="B262" s="43" t="s">
        <v>362</v>
      </c>
      <c r="C262" s="39"/>
      <c r="D262" s="37">
        <v>3790.5</v>
      </c>
    </row>
    <row r="263" spans="1:4" x14ac:dyDescent="0.25">
      <c r="A263" s="19">
        <v>100013111</v>
      </c>
      <c r="B263" s="43" t="s">
        <v>363</v>
      </c>
      <c r="C263" s="39"/>
      <c r="D263" s="37">
        <v>316.77333333333303</v>
      </c>
    </row>
    <row r="264" spans="1:4" x14ac:dyDescent="0.25">
      <c r="A264" s="19">
        <v>100013114</v>
      </c>
      <c r="B264" s="43" t="s">
        <v>364</v>
      </c>
      <c r="C264" s="39"/>
      <c r="D264" s="37">
        <v>1021.6466666666699</v>
      </c>
    </row>
    <row r="265" spans="1:4" x14ac:dyDescent="0.25">
      <c r="A265" s="35">
        <v>100013118</v>
      </c>
      <c r="B265" s="43" t="s">
        <v>365</v>
      </c>
      <c r="C265" s="41"/>
      <c r="D265" s="37">
        <v>1033.1300000000001</v>
      </c>
    </row>
    <row r="266" spans="1:4" x14ac:dyDescent="0.25">
      <c r="A266" s="19">
        <v>100013119</v>
      </c>
      <c r="B266" s="43" t="s">
        <v>366</v>
      </c>
      <c r="C266" s="39"/>
      <c r="D266" s="37">
        <v>1278.80666666667</v>
      </c>
    </row>
    <row r="267" spans="1:4" x14ac:dyDescent="0.25">
      <c r="A267" s="19">
        <v>100013122</v>
      </c>
      <c r="B267" s="43" t="s">
        <v>367</v>
      </c>
      <c r="C267" s="39"/>
      <c r="D267" s="37">
        <v>16352.27</v>
      </c>
    </row>
    <row r="268" spans="1:4" x14ac:dyDescent="0.25">
      <c r="A268" s="19">
        <v>100013123</v>
      </c>
      <c r="B268" s="43" t="s">
        <v>368</v>
      </c>
      <c r="C268" s="39"/>
      <c r="D268" s="37">
        <v>9597.7066666666706</v>
      </c>
    </row>
    <row r="269" spans="1:4" x14ac:dyDescent="0.25">
      <c r="A269" s="19" t="s">
        <v>369</v>
      </c>
      <c r="B269" s="43" t="s">
        <v>370</v>
      </c>
      <c r="C269" s="39"/>
      <c r="D269" s="40">
        <v>21837.4633333333</v>
      </c>
    </row>
    <row r="270" spans="1:4" x14ac:dyDescent="0.25">
      <c r="A270" s="19" t="s">
        <v>371</v>
      </c>
      <c r="B270" s="43" t="s">
        <v>372</v>
      </c>
      <c r="C270" s="49" t="s">
        <v>373</v>
      </c>
      <c r="D270" s="40">
        <v>22127.836666666699</v>
      </c>
    </row>
    <row r="271" spans="1:4" ht="30" x14ac:dyDescent="0.25">
      <c r="A271" s="19" t="s">
        <v>374</v>
      </c>
      <c r="B271" s="54" t="s">
        <v>375</v>
      </c>
      <c r="C271" s="39" t="s">
        <v>376</v>
      </c>
      <c r="D271" s="40">
        <v>45092.946666666699</v>
      </c>
    </row>
    <row r="272" spans="1:4" x14ac:dyDescent="0.25">
      <c r="A272" s="19" t="s">
        <v>377</v>
      </c>
      <c r="B272" s="108" t="s">
        <v>378</v>
      </c>
      <c r="C272" s="39" t="s">
        <v>379</v>
      </c>
      <c r="D272" s="40">
        <v>5500.3333333333303</v>
      </c>
    </row>
    <row r="273" spans="1:4" x14ac:dyDescent="0.25">
      <c r="A273" s="19" t="s">
        <v>380</v>
      </c>
      <c r="B273" s="43" t="s">
        <v>381</v>
      </c>
      <c r="C273" s="39"/>
      <c r="D273" s="40">
        <v>1439.6666666666699</v>
      </c>
    </row>
    <row r="274" spans="1:4" x14ac:dyDescent="0.25">
      <c r="A274" s="19" t="s">
        <v>382</v>
      </c>
      <c r="B274" s="43" t="s">
        <v>383</v>
      </c>
      <c r="C274" s="39"/>
      <c r="D274" s="40">
        <v>1353.59</v>
      </c>
    </row>
    <row r="275" spans="1:4" x14ac:dyDescent="0.25">
      <c r="A275" s="19" t="s">
        <v>384</v>
      </c>
      <c r="B275" s="43" t="s">
        <v>1280</v>
      </c>
      <c r="C275" s="39" t="s">
        <v>1279</v>
      </c>
      <c r="D275" s="37">
        <v>2209.9699999999998</v>
      </c>
    </row>
    <row r="276" spans="1:4" x14ac:dyDescent="0.25">
      <c r="A276" s="19" t="s">
        <v>386</v>
      </c>
      <c r="B276" s="43" t="s">
        <v>1281</v>
      </c>
      <c r="C276" s="39" t="s">
        <v>1120</v>
      </c>
      <c r="D276" s="37">
        <v>1780</v>
      </c>
    </row>
    <row r="277" spans="1:4" x14ac:dyDescent="0.25">
      <c r="A277" s="19" t="s">
        <v>1283</v>
      </c>
      <c r="B277" s="43" t="s">
        <v>1119</v>
      </c>
      <c r="C277" s="39" t="s">
        <v>1282</v>
      </c>
      <c r="D277" s="37">
        <v>199.47</v>
      </c>
    </row>
    <row r="278" spans="1:4" x14ac:dyDescent="0.25">
      <c r="A278" s="19" t="s">
        <v>1284</v>
      </c>
      <c r="B278" s="43" t="s">
        <v>1143</v>
      </c>
      <c r="C278" s="39" t="s">
        <v>1285</v>
      </c>
      <c r="D278" s="37">
        <v>997.35</v>
      </c>
    </row>
    <row r="279" spans="1:4" x14ac:dyDescent="0.25">
      <c r="A279" s="19" t="s">
        <v>1286</v>
      </c>
      <c r="B279" s="43" t="s">
        <v>1143</v>
      </c>
      <c r="C279" s="39" t="s">
        <v>1287</v>
      </c>
      <c r="D279" s="37">
        <v>1595.77</v>
      </c>
    </row>
    <row r="280" spans="1:4" x14ac:dyDescent="0.25">
      <c r="A280" s="19" t="s">
        <v>1288</v>
      </c>
      <c r="B280" s="43" t="s">
        <v>1186</v>
      </c>
      <c r="C280" s="113">
        <v>4100</v>
      </c>
      <c r="D280" s="37">
        <v>8178.3</v>
      </c>
    </row>
    <row r="281" spans="1:4" x14ac:dyDescent="0.25">
      <c r="A281" s="19" t="s">
        <v>1289</v>
      </c>
      <c r="B281" s="43" t="s">
        <v>1186</v>
      </c>
      <c r="C281" s="114">
        <v>3000</v>
      </c>
      <c r="D281" s="37">
        <v>5984.13</v>
      </c>
    </row>
    <row r="282" spans="1:4" x14ac:dyDescent="0.25">
      <c r="A282" s="19" t="s">
        <v>1290</v>
      </c>
      <c r="B282" s="43" t="s">
        <v>1186</v>
      </c>
      <c r="C282" s="114">
        <v>3690</v>
      </c>
      <c r="D282" s="37">
        <v>7360.47</v>
      </c>
    </row>
    <row r="283" spans="1:4" x14ac:dyDescent="0.25">
      <c r="A283" s="19" t="s">
        <v>1291</v>
      </c>
      <c r="B283" s="43" t="s">
        <v>94</v>
      </c>
      <c r="C283" s="113">
        <v>40000</v>
      </c>
      <c r="D283" s="37">
        <v>79788.34</v>
      </c>
    </row>
    <row r="284" spans="1:4" x14ac:dyDescent="0.25">
      <c r="A284" s="19" t="s">
        <v>1292</v>
      </c>
      <c r="B284" s="43" t="s">
        <v>94</v>
      </c>
      <c r="C284" s="114">
        <v>123900</v>
      </c>
      <c r="D284" s="37">
        <v>247144.38</v>
      </c>
    </row>
    <row r="285" spans="1:4" x14ac:dyDescent="0.25">
      <c r="A285" s="19" t="s">
        <v>1293</v>
      </c>
      <c r="B285" s="43" t="s">
        <v>94</v>
      </c>
      <c r="C285" s="114">
        <v>1133766.1499999999</v>
      </c>
      <c r="D285" s="37">
        <v>2261532.98</v>
      </c>
    </row>
    <row r="286" spans="1:4" x14ac:dyDescent="0.25">
      <c r="A286" s="35" t="s">
        <v>388</v>
      </c>
      <c r="B286" s="44" t="s">
        <v>389</v>
      </c>
      <c r="C286" s="41"/>
      <c r="D286" s="37">
        <v>452.66</v>
      </c>
    </row>
    <row r="287" spans="1:4" x14ac:dyDescent="0.25">
      <c r="A287" s="35" t="s">
        <v>390</v>
      </c>
      <c r="B287" s="44" t="s">
        <v>389</v>
      </c>
      <c r="C287" s="41" t="s">
        <v>391</v>
      </c>
      <c r="D287" s="37">
        <v>4490</v>
      </c>
    </row>
    <row r="288" spans="1:4" x14ac:dyDescent="0.25">
      <c r="A288" s="19" t="s">
        <v>392</v>
      </c>
      <c r="B288" s="43" t="s">
        <v>393</v>
      </c>
      <c r="C288" s="39"/>
      <c r="D288" s="37">
        <v>15245.28</v>
      </c>
    </row>
    <row r="289" spans="1:4" x14ac:dyDescent="0.25">
      <c r="A289" s="19" t="s">
        <v>394</v>
      </c>
      <c r="B289" s="43" t="s">
        <v>393</v>
      </c>
      <c r="C289" s="39" t="s">
        <v>395</v>
      </c>
      <c r="D289" s="37">
        <v>27131.333333333299</v>
      </c>
    </row>
    <row r="290" spans="1:4" x14ac:dyDescent="0.25">
      <c r="A290" s="19" t="s">
        <v>396</v>
      </c>
      <c r="B290" s="43" t="s">
        <v>397</v>
      </c>
      <c r="C290" s="49" t="s">
        <v>398</v>
      </c>
      <c r="D290" s="37">
        <v>956.80666666666696</v>
      </c>
    </row>
    <row r="291" spans="1:4" x14ac:dyDescent="0.25">
      <c r="A291" s="35" t="s">
        <v>399</v>
      </c>
      <c r="B291" s="88" t="s">
        <v>397</v>
      </c>
      <c r="C291" s="41" t="s">
        <v>400</v>
      </c>
      <c r="D291" s="37">
        <v>1901.27</v>
      </c>
    </row>
    <row r="292" spans="1:4" x14ac:dyDescent="0.25">
      <c r="A292" s="35" t="s">
        <v>401</v>
      </c>
      <c r="B292" s="44" t="s">
        <v>397</v>
      </c>
      <c r="C292" s="41" t="s">
        <v>402</v>
      </c>
      <c r="D292" s="37">
        <v>974.58</v>
      </c>
    </row>
    <row r="293" spans="1:4" x14ac:dyDescent="0.25">
      <c r="A293" s="35" t="s">
        <v>403</v>
      </c>
      <c r="B293" s="88" t="s">
        <v>397</v>
      </c>
      <c r="C293" s="41" t="s">
        <v>404</v>
      </c>
      <c r="D293" s="37">
        <v>4110.2</v>
      </c>
    </row>
    <row r="294" spans="1:4" x14ac:dyDescent="0.25">
      <c r="A294" s="19" t="s">
        <v>405</v>
      </c>
      <c r="B294" s="43" t="s">
        <v>406</v>
      </c>
      <c r="C294" s="39" t="s">
        <v>407</v>
      </c>
      <c r="D294" s="37">
        <v>513.01333333333298</v>
      </c>
    </row>
    <row r="295" spans="1:4" x14ac:dyDescent="0.25">
      <c r="A295" s="19" t="s">
        <v>408</v>
      </c>
      <c r="B295" s="43" t="s">
        <v>406</v>
      </c>
      <c r="C295" s="39" t="s">
        <v>409</v>
      </c>
      <c r="D295" s="37">
        <v>442.65333333333302</v>
      </c>
    </row>
    <row r="296" spans="1:4" x14ac:dyDescent="0.25">
      <c r="A296" s="19" t="s">
        <v>410</v>
      </c>
      <c r="B296" s="43" t="s">
        <v>411</v>
      </c>
      <c r="C296" s="39"/>
      <c r="D296" s="37">
        <v>0</v>
      </c>
    </row>
    <row r="297" spans="1:4" x14ac:dyDescent="0.25">
      <c r="A297" s="19" t="s">
        <v>412</v>
      </c>
      <c r="B297" s="43" t="s">
        <v>413</v>
      </c>
      <c r="C297" s="39"/>
      <c r="D297" s="37">
        <v>350.71</v>
      </c>
    </row>
    <row r="298" spans="1:4" x14ac:dyDescent="0.25">
      <c r="A298" s="19" t="s">
        <v>414</v>
      </c>
      <c r="B298" s="43" t="s">
        <v>415</v>
      </c>
      <c r="C298" s="39" t="s">
        <v>416</v>
      </c>
      <c r="D298" s="37">
        <v>710.96666666666704</v>
      </c>
    </row>
    <row r="299" spans="1:4" x14ac:dyDescent="0.25">
      <c r="A299" s="19" t="s">
        <v>417</v>
      </c>
      <c r="B299" s="43" t="s">
        <v>415</v>
      </c>
      <c r="C299" s="39" t="s">
        <v>418</v>
      </c>
      <c r="D299" s="37">
        <v>172.536666666667</v>
      </c>
    </row>
    <row r="300" spans="1:4" x14ac:dyDescent="0.25">
      <c r="A300" s="35" t="s">
        <v>419</v>
      </c>
      <c r="B300" s="44" t="s">
        <v>420</v>
      </c>
      <c r="C300" s="41" t="s">
        <v>421</v>
      </c>
      <c r="D300" s="37">
        <v>3313.51</v>
      </c>
    </row>
    <row r="301" spans="1:4" x14ac:dyDescent="0.25">
      <c r="A301" s="35" t="s">
        <v>422</v>
      </c>
      <c r="B301" s="44" t="s">
        <v>420</v>
      </c>
      <c r="C301" s="41" t="s">
        <v>423</v>
      </c>
      <c r="D301" s="37">
        <v>6007.17</v>
      </c>
    </row>
    <row r="302" spans="1:4" x14ac:dyDescent="0.25">
      <c r="A302" s="35" t="s">
        <v>424</v>
      </c>
      <c r="B302" s="44" t="s">
        <v>425</v>
      </c>
      <c r="C302" s="41" t="s">
        <v>426</v>
      </c>
      <c r="D302" s="37">
        <v>634.59</v>
      </c>
    </row>
    <row r="303" spans="1:4" x14ac:dyDescent="0.25">
      <c r="A303" s="35" t="s">
        <v>427</v>
      </c>
      <c r="B303" s="44" t="s">
        <v>425</v>
      </c>
      <c r="C303" s="41" t="s">
        <v>428</v>
      </c>
      <c r="D303" s="37">
        <v>13874.63</v>
      </c>
    </row>
    <row r="304" spans="1:4" x14ac:dyDescent="0.25">
      <c r="A304" s="19" t="s">
        <v>429</v>
      </c>
      <c r="B304" s="43" t="s">
        <v>430</v>
      </c>
      <c r="C304" s="39"/>
      <c r="D304" s="37">
        <v>1054.85666666667</v>
      </c>
    </row>
    <row r="305" spans="1:4" x14ac:dyDescent="0.25">
      <c r="A305" s="19" t="s">
        <v>431</v>
      </c>
      <c r="B305" s="43" t="s">
        <v>430</v>
      </c>
      <c r="C305" s="39"/>
      <c r="D305" s="37">
        <v>635.99666666666701</v>
      </c>
    </row>
    <row r="306" spans="1:4" x14ac:dyDescent="0.25">
      <c r="A306" s="19" t="s">
        <v>432</v>
      </c>
      <c r="B306" s="43" t="s">
        <v>123</v>
      </c>
      <c r="C306" s="39" t="s">
        <v>433</v>
      </c>
      <c r="D306" s="37">
        <v>913.95</v>
      </c>
    </row>
    <row r="307" spans="1:4" x14ac:dyDescent="0.25">
      <c r="A307" s="19" t="s">
        <v>434</v>
      </c>
      <c r="B307" s="43" t="s">
        <v>123</v>
      </c>
      <c r="C307" s="39" t="s">
        <v>435</v>
      </c>
      <c r="D307" s="37">
        <v>2409.8966666666702</v>
      </c>
    </row>
    <row r="308" spans="1:4" x14ac:dyDescent="0.25">
      <c r="A308" s="19" t="s">
        <v>436</v>
      </c>
      <c r="B308" s="43" t="s">
        <v>437</v>
      </c>
      <c r="C308" s="39" t="s">
        <v>438</v>
      </c>
      <c r="D308" s="37">
        <v>3721.7666666666701</v>
      </c>
    </row>
    <row r="309" spans="1:4" x14ac:dyDescent="0.25">
      <c r="A309" s="19" t="s">
        <v>439</v>
      </c>
      <c r="B309" s="43" t="s">
        <v>440</v>
      </c>
      <c r="C309" s="39"/>
      <c r="D309" s="37">
        <v>2657.3566666666702</v>
      </c>
    </row>
    <row r="310" spans="1:4" x14ac:dyDescent="0.25">
      <c r="A310" s="19" t="s">
        <v>441</v>
      </c>
      <c r="B310" s="43" t="s">
        <v>442</v>
      </c>
      <c r="C310" s="39" t="s">
        <v>443</v>
      </c>
      <c r="D310" s="37">
        <v>742.18666666666695</v>
      </c>
    </row>
    <row r="311" spans="1:4" x14ac:dyDescent="0.25">
      <c r="A311" s="19" t="s">
        <v>444</v>
      </c>
      <c r="B311" s="43" t="s">
        <v>442</v>
      </c>
      <c r="C311" s="39" t="s">
        <v>445</v>
      </c>
      <c r="D311" s="37">
        <v>798.43333333333305</v>
      </c>
    </row>
    <row r="312" spans="1:4" x14ac:dyDescent="0.25">
      <c r="A312" s="19" t="s">
        <v>446</v>
      </c>
      <c r="B312" s="43" t="s">
        <v>447</v>
      </c>
      <c r="C312" s="39" t="s">
        <v>448</v>
      </c>
      <c r="D312" s="37">
        <v>1045.88666666667</v>
      </c>
    </row>
    <row r="313" spans="1:4" x14ac:dyDescent="0.25">
      <c r="A313" s="19" t="s">
        <v>449</v>
      </c>
      <c r="B313" s="43" t="s">
        <v>447</v>
      </c>
      <c r="C313" s="39" t="s">
        <v>450</v>
      </c>
      <c r="D313" s="37">
        <v>2477.78666666667</v>
      </c>
    </row>
    <row r="314" spans="1:4" x14ac:dyDescent="0.25">
      <c r="A314" s="19" t="s">
        <v>451</v>
      </c>
      <c r="B314" s="43" t="s">
        <v>447</v>
      </c>
      <c r="C314" s="39" t="s">
        <v>452</v>
      </c>
      <c r="D314" s="37">
        <v>658.26333333333298</v>
      </c>
    </row>
    <row r="315" spans="1:4" x14ac:dyDescent="0.25">
      <c r="A315" s="19" t="s">
        <v>453</v>
      </c>
      <c r="B315" s="43" t="s">
        <v>447</v>
      </c>
      <c r="C315" s="62" t="s">
        <v>454</v>
      </c>
      <c r="D315" s="37">
        <v>0</v>
      </c>
    </row>
    <row r="316" spans="1:4" x14ac:dyDescent="0.25">
      <c r="A316" s="19" t="s">
        <v>455</v>
      </c>
      <c r="B316" s="43" t="s">
        <v>456</v>
      </c>
      <c r="C316" s="39" t="s">
        <v>457</v>
      </c>
      <c r="D316" s="37">
        <v>1015.9</v>
      </c>
    </row>
    <row r="317" spans="1:4" x14ac:dyDescent="0.25">
      <c r="A317" s="19" t="s">
        <v>458</v>
      </c>
      <c r="B317" s="43" t="s">
        <v>456</v>
      </c>
      <c r="C317" s="39" t="s">
        <v>459</v>
      </c>
      <c r="D317" s="37">
        <v>696.7</v>
      </c>
    </row>
    <row r="318" spans="1:4" x14ac:dyDescent="0.25">
      <c r="A318" s="19" t="s">
        <v>460</v>
      </c>
      <c r="B318" s="43" t="s">
        <v>456</v>
      </c>
      <c r="C318" s="39" t="s">
        <v>461</v>
      </c>
      <c r="D318" s="37">
        <v>688.16333333333296</v>
      </c>
    </row>
    <row r="319" spans="1:4" x14ac:dyDescent="0.25">
      <c r="A319" s="19" t="s">
        <v>462</v>
      </c>
      <c r="B319" s="43" t="s">
        <v>456</v>
      </c>
      <c r="C319" s="39" t="s">
        <v>463</v>
      </c>
      <c r="D319" s="37">
        <v>575.97333333333302</v>
      </c>
    </row>
    <row r="320" spans="1:4" x14ac:dyDescent="0.25">
      <c r="A320" s="19" t="s">
        <v>464</v>
      </c>
      <c r="B320" s="43" t="s">
        <v>456</v>
      </c>
      <c r="C320" s="39" t="s">
        <v>465</v>
      </c>
      <c r="D320" s="37">
        <v>1792.69</v>
      </c>
    </row>
    <row r="321" spans="1:4" x14ac:dyDescent="0.25">
      <c r="A321" s="19" t="s">
        <v>466</v>
      </c>
      <c r="B321" s="43" t="s">
        <v>467</v>
      </c>
      <c r="C321" s="39" t="s">
        <v>468</v>
      </c>
      <c r="D321" s="37">
        <v>974.993333333333</v>
      </c>
    </row>
    <row r="322" spans="1:4" x14ac:dyDescent="0.25">
      <c r="A322" s="19" t="s">
        <v>469</v>
      </c>
      <c r="B322" s="43" t="s">
        <v>467</v>
      </c>
      <c r="C322" s="39" t="s">
        <v>470</v>
      </c>
      <c r="D322" s="37">
        <v>1022.58333333333</v>
      </c>
    </row>
    <row r="323" spans="1:4" x14ac:dyDescent="0.25">
      <c r="A323" s="19" t="s">
        <v>471</v>
      </c>
      <c r="B323" s="43" t="s">
        <v>467</v>
      </c>
      <c r="C323" s="39" t="s">
        <v>472</v>
      </c>
      <c r="D323" s="37">
        <v>1804.99</v>
      </c>
    </row>
    <row r="324" spans="1:4" x14ac:dyDescent="0.25">
      <c r="A324" s="19" t="s">
        <v>473</v>
      </c>
      <c r="B324" s="43" t="s">
        <v>467</v>
      </c>
      <c r="C324" s="39" t="s">
        <v>474</v>
      </c>
      <c r="D324" s="37">
        <v>1052.45</v>
      </c>
    </row>
    <row r="325" spans="1:4" x14ac:dyDescent="0.25">
      <c r="A325" s="19" t="s">
        <v>475</v>
      </c>
      <c r="B325" s="43" t="s">
        <v>476</v>
      </c>
      <c r="C325" s="39"/>
      <c r="D325" s="37">
        <v>1157.23</v>
      </c>
    </row>
    <row r="326" spans="1:4" x14ac:dyDescent="0.25">
      <c r="A326" s="19" t="s">
        <v>477</v>
      </c>
      <c r="B326" s="43" t="s">
        <v>478</v>
      </c>
      <c r="C326" s="39"/>
      <c r="D326" s="37">
        <v>1095.7466666666701</v>
      </c>
    </row>
    <row r="327" spans="1:4" x14ac:dyDescent="0.25">
      <c r="A327" s="19" t="s">
        <v>479</v>
      </c>
      <c r="B327" s="43" t="s">
        <v>480</v>
      </c>
      <c r="C327" s="39"/>
      <c r="D327" s="37">
        <v>1113.2933333333301</v>
      </c>
    </row>
    <row r="328" spans="1:4" x14ac:dyDescent="0.25">
      <c r="A328" s="19" t="s">
        <v>481</v>
      </c>
      <c r="B328" s="43" t="s">
        <v>482</v>
      </c>
      <c r="C328" s="39" t="s">
        <v>483</v>
      </c>
      <c r="D328" s="37">
        <v>0</v>
      </c>
    </row>
    <row r="329" spans="1:4" x14ac:dyDescent="0.25">
      <c r="A329" s="19" t="s">
        <v>484</v>
      </c>
      <c r="B329" s="43" t="s">
        <v>482</v>
      </c>
      <c r="C329" s="39" t="s">
        <v>485</v>
      </c>
      <c r="D329" s="37">
        <v>0</v>
      </c>
    </row>
    <row r="330" spans="1:4" x14ac:dyDescent="0.25">
      <c r="A330" s="19" t="s">
        <v>486</v>
      </c>
      <c r="B330" s="43" t="s">
        <v>487</v>
      </c>
      <c r="C330" s="39"/>
      <c r="D330" s="37">
        <v>497.94</v>
      </c>
    </row>
    <row r="331" spans="1:4" x14ac:dyDescent="0.25">
      <c r="A331" s="19" t="s">
        <v>488</v>
      </c>
      <c r="B331" s="43" t="s">
        <v>489</v>
      </c>
      <c r="C331" s="39"/>
      <c r="D331" s="37">
        <v>307.89</v>
      </c>
    </row>
    <row r="332" spans="1:4" x14ac:dyDescent="0.25">
      <c r="A332" s="19" t="s">
        <v>490</v>
      </c>
      <c r="B332" s="43" t="s">
        <v>491</v>
      </c>
      <c r="C332" s="39"/>
      <c r="D332" s="37">
        <v>739</v>
      </c>
    </row>
    <row r="333" spans="1:4" x14ac:dyDescent="0.25">
      <c r="A333" s="19" t="s">
        <v>492</v>
      </c>
      <c r="B333" s="43" t="s">
        <v>493</v>
      </c>
      <c r="C333" s="39" t="s">
        <v>494</v>
      </c>
      <c r="D333" s="37">
        <v>1551.7733333333299</v>
      </c>
    </row>
    <row r="334" spans="1:4" x14ac:dyDescent="0.25">
      <c r="A334" s="19" t="s">
        <v>495</v>
      </c>
      <c r="B334" s="43" t="s">
        <v>493</v>
      </c>
      <c r="C334" s="39" t="s">
        <v>496</v>
      </c>
      <c r="D334" s="37">
        <v>2531.2566666666698</v>
      </c>
    </row>
    <row r="335" spans="1:4" x14ac:dyDescent="0.25">
      <c r="A335" s="19" t="s">
        <v>497</v>
      </c>
      <c r="B335" s="43" t="s">
        <v>498</v>
      </c>
      <c r="C335" s="63"/>
      <c r="D335" s="37">
        <v>1835.99</v>
      </c>
    </row>
    <row r="336" spans="1:4" x14ac:dyDescent="0.25">
      <c r="A336" s="19" t="s">
        <v>499</v>
      </c>
      <c r="B336" s="43" t="s">
        <v>500</v>
      </c>
      <c r="C336" s="39"/>
      <c r="D336" s="37">
        <v>1192.6666666666699</v>
      </c>
    </row>
    <row r="337" spans="1:4" x14ac:dyDescent="0.25">
      <c r="A337" s="19" t="s">
        <v>501</v>
      </c>
      <c r="B337" s="43" t="s">
        <v>502</v>
      </c>
      <c r="C337" s="39" t="s">
        <v>503</v>
      </c>
      <c r="D337" s="37">
        <v>450.92333333333301</v>
      </c>
    </row>
    <row r="338" spans="1:4" x14ac:dyDescent="0.25">
      <c r="A338" s="19" t="s">
        <v>504</v>
      </c>
      <c r="B338" s="43" t="s">
        <v>502</v>
      </c>
      <c r="C338" s="109" t="s">
        <v>505</v>
      </c>
      <c r="D338" s="37">
        <v>1325.63333333333</v>
      </c>
    </row>
    <row r="339" spans="1:4" x14ac:dyDescent="0.25">
      <c r="A339" s="19" t="s">
        <v>506</v>
      </c>
      <c r="B339" s="43" t="s">
        <v>502</v>
      </c>
      <c r="C339" s="39" t="s">
        <v>507</v>
      </c>
      <c r="D339" s="37">
        <v>1255.3</v>
      </c>
    </row>
    <row r="340" spans="1:4" x14ac:dyDescent="0.25">
      <c r="A340" s="19" t="s">
        <v>508</v>
      </c>
      <c r="B340" s="43" t="s">
        <v>509</v>
      </c>
      <c r="C340" s="39"/>
      <c r="D340" s="37">
        <v>676.55333333333294</v>
      </c>
    </row>
    <row r="341" spans="1:4" x14ac:dyDescent="0.25">
      <c r="A341" s="19" t="s">
        <v>510</v>
      </c>
      <c r="B341" s="43" t="s">
        <v>511</v>
      </c>
      <c r="C341" s="39"/>
      <c r="D341" s="37">
        <v>1373.9666666666701</v>
      </c>
    </row>
    <row r="342" spans="1:4" x14ac:dyDescent="0.25">
      <c r="A342" s="19" t="s">
        <v>512</v>
      </c>
      <c r="B342" s="43" t="s">
        <v>513</v>
      </c>
      <c r="C342" s="39"/>
      <c r="D342" s="37">
        <v>1255.3</v>
      </c>
    </row>
    <row r="343" spans="1:4" x14ac:dyDescent="0.25">
      <c r="A343" s="19" t="s">
        <v>514</v>
      </c>
      <c r="B343" s="43" t="s">
        <v>515</v>
      </c>
      <c r="C343" s="39"/>
      <c r="D343" s="37">
        <v>854.33333333333303</v>
      </c>
    </row>
    <row r="344" spans="1:4" x14ac:dyDescent="0.25">
      <c r="A344" s="19" t="s">
        <v>516</v>
      </c>
      <c r="B344" s="43" t="s">
        <v>515</v>
      </c>
      <c r="C344" s="39" t="s">
        <v>517</v>
      </c>
      <c r="D344" s="64">
        <v>41209.730000000003</v>
      </c>
    </row>
    <row r="345" spans="1:4" x14ac:dyDescent="0.25">
      <c r="A345" s="19" t="s">
        <v>518</v>
      </c>
      <c r="B345" s="43" t="s">
        <v>519</v>
      </c>
      <c r="C345" s="39" t="s">
        <v>520</v>
      </c>
      <c r="D345" s="37">
        <v>849.47333333333302</v>
      </c>
    </row>
    <row r="346" spans="1:4" x14ac:dyDescent="0.25">
      <c r="A346" s="46" t="s">
        <v>521</v>
      </c>
      <c r="B346" s="47" t="s">
        <v>519</v>
      </c>
      <c r="C346" s="115" t="s">
        <v>522</v>
      </c>
      <c r="D346" s="48">
        <v>417.26666666666699</v>
      </c>
    </row>
    <row r="347" spans="1:4" x14ac:dyDescent="0.25">
      <c r="A347" s="46" t="s">
        <v>523</v>
      </c>
      <c r="B347" s="47" t="s">
        <v>519</v>
      </c>
      <c r="C347" s="84" t="s">
        <v>524</v>
      </c>
      <c r="D347" s="48">
        <v>290.933333333333</v>
      </c>
    </row>
    <row r="348" spans="1:4" x14ac:dyDescent="0.25">
      <c r="A348" s="19" t="s">
        <v>525</v>
      </c>
      <c r="B348" s="43" t="s">
        <v>519</v>
      </c>
      <c r="C348" s="65" t="s">
        <v>526</v>
      </c>
      <c r="D348" s="37">
        <v>199.33</v>
      </c>
    </row>
    <row r="349" spans="1:4" x14ac:dyDescent="0.25">
      <c r="A349" s="19" t="s">
        <v>527</v>
      </c>
      <c r="B349" s="43" t="s">
        <v>528</v>
      </c>
      <c r="C349" s="39" t="s">
        <v>529</v>
      </c>
      <c r="D349" s="37">
        <v>1089.5999999999999</v>
      </c>
    </row>
    <row r="350" spans="1:4" x14ac:dyDescent="0.25">
      <c r="A350" s="19" t="s">
        <v>530</v>
      </c>
      <c r="B350" s="43" t="s">
        <v>531</v>
      </c>
      <c r="C350" s="39"/>
      <c r="D350" s="37">
        <v>462.32333333333298</v>
      </c>
    </row>
    <row r="351" spans="1:4" x14ac:dyDescent="0.25">
      <c r="A351" s="19" t="s">
        <v>532</v>
      </c>
      <c r="B351" s="43" t="s">
        <v>533</v>
      </c>
      <c r="C351" s="39" t="s">
        <v>534</v>
      </c>
      <c r="D351" s="37">
        <v>893.62333333333299</v>
      </c>
    </row>
    <row r="352" spans="1:4" x14ac:dyDescent="0.25">
      <c r="A352" s="19" t="s">
        <v>535</v>
      </c>
      <c r="B352" s="43" t="s">
        <v>533</v>
      </c>
      <c r="C352" s="39" t="s">
        <v>536</v>
      </c>
      <c r="D352" s="37">
        <v>445.92666666666702</v>
      </c>
    </row>
    <row r="353" spans="1:4" x14ac:dyDescent="0.25">
      <c r="A353" s="19" t="s">
        <v>537</v>
      </c>
      <c r="B353" s="43" t="s">
        <v>533</v>
      </c>
      <c r="C353" s="39" t="s">
        <v>538</v>
      </c>
      <c r="D353" s="37">
        <v>956.98666666666702</v>
      </c>
    </row>
    <row r="354" spans="1:4" x14ac:dyDescent="0.25">
      <c r="A354" s="19" t="s">
        <v>539</v>
      </c>
      <c r="B354" s="43" t="s">
        <v>533</v>
      </c>
      <c r="C354" s="39" t="s">
        <v>540</v>
      </c>
      <c r="D354" s="37">
        <v>322.21333333333303</v>
      </c>
    </row>
    <row r="355" spans="1:4" x14ac:dyDescent="0.25">
      <c r="A355" s="19" t="s">
        <v>541</v>
      </c>
      <c r="B355" s="43" t="s">
        <v>542</v>
      </c>
      <c r="C355" s="39" t="s">
        <v>543</v>
      </c>
      <c r="D355" s="37">
        <v>1521.93</v>
      </c>
    </row>
    <row r="356" spans="1:4" x14ac:dyDescent="0.25">
      <c r="A356" s="19" t="s">
        <v>544</v>
      </c>
      <c r="B356" s="43" t="s">
        <v>545</v>
      </c>
      <c r="C356" s="39" t="s">
        <v>546</v>
      </c>
      <c r="D356" s="37">
        <v>2143.11666666667</v>
      </c>
    </row>
    <row r="357" spans="1:4" x14ac:dyDescent="0.25">
      <c r="A357" s="19" t="s">
        <v>547</v>
      </c>
      <c r="B357" s="43" t="s">
        <v>548</v>
      </c>
      <c r="C357" s="65" t="s">
        <v>549</v>
      </c>
      <c r="D357" s="37">
        <v>13585.666666666701</v>
      </c>
    </row>
    <row r="358" spans="1:4" x14ac:dyDescent="0.25">
      <c r="A358" s="19" t="s">
        <v>550</v>
      </c>
      <c r="B358" s="43" t="s">
        <v>551</v>
      </c>
      <c r="C358" s="65" t="s">
        <v>552</v>
      </c>
      <c r="D358" s="37">
        <v>1937.5433333333301</v>
      </c>
    </row>
    <row r="359" spans="1:4" x14ac:dyDescent="0.25">
      <c r="A359" s="19" t="s">
        <v>553</v>
      </c>
      <c r="B359" s="43" t="s">
        <v>554</v>
      </c>
      <c r="C359" s="39" t="s">
        <v>555</v>
      </c>
      <c r="D359" s="37">
        <v>12922.333333333299</v>
      </c>
    </row>
    <row r="360" spans="1:4" x14ac:dyDescent="0.25">
      <c r="A360" s="19" t="s">
        <v>556</v>
      </c>
      <c r="B360" s="43" t="s">
        <v>557</v>
      </c>
      <c r="C360" s="39" t="s">
        <v>558</v>
      </c>
      <c r="D360" s="37">
        <v>1646.6666666666699</v>
      </c>
    </row>
    <row r="361" spans="1:4" x14ac:dyDescent="0.25">
      <c r="A361" s="19" t="s">
        <v>559</v>
      </c>
      <c r="B361" s="43" t="s">
        <v>560</v>
      </c>
      <c r="C361" s="39" t="s">
        <v>561</v>
      </c>
      <c r="D361" s="37">
        <v>4894.6666666666697</v>
      </c>
    </row>
    <row r="362" spans="1:4" x14ac:dyDescent="0.25">
      <c r="A362" s="19" t="s">
        <v>1224</v>
      </c>
      <c r="B362" s="43" t="s">
        <v>1225</v>
      </c>
      <c r="C362" s="39" t="s">
        <v>1226</v>
      </c>
      <c r="D362" s="85">
        <v>7857.49</v>
      </c>
    </row>
    <row r="363" spans="1:4" x14ac:dyDescent="0.25">
      <c r="A363" s="19" t="s">
        <v>562</v>
      </c>
      <c r="B363" s="43" t="s">
        <v>563</v>
      </c>
      <c r="C363" s="39" t="s">
        <v>564</v>
      </c>
      <c r="D363" s="37">
        <v>4901.3033333333296</v>
      </c>
    </row>
    <row r="364" spans="1:4" x14ac:dyDescent="0.25">
      <c r="A364" s="19" t="s">
        <v>565</v>
      </c>
      <c r="B364" s="43" t="s">
        <v>566</v>
      </c>
      <c r="C364" s="39" t="s">
        <v>567</v>
      </c>
      <c r="D364" s="37">
        <v>28822.4233333333</v>
      </c>
    </row>
    <row r="365" spans="1:4" x14ac:dyDescent="0.25">
      <c r="A365" s="19" t="s">
        <v>568</v>
      </c>
      <c r="B365" s="43" t="s">
        <v>569</v>
      </c>
      <c r="C365" s="39" t="s">
        <v>570</v>
      </c>
      <c r="D365" s="37">
        <v>4943</v>
      </c>
    </row>
    <row r="366" spans="1:4" x14ac:dyDescent="0.25">
      <c r="A366" s="46" t="s">
        <v>1216</v>
      </c>
      <c r="B366" s="47" t="s">
        <v>569</v>
      </c>
      <c r="C366" s="66" t="s">
        <v>1217</v>
      </c>
      <c r="D366" s="93">
        <v>2497.11</v>
      </c>
    </row>
    <row r="367" spans="1:4" x14ac:dyDescent="0.25">
      <c r="A367" s="19" t="s">
        <v>571</v>
      </c>
      <c r="B367" s="43" t="s">
        <v>572</v>
      </c>
      <c r="C367" s="39" t="s">
        <v>135</v>
      </c>
      <c r="D367" s="37">
        <v>1181.93</v>
      </c>
    </row>
    <row r="368" spans="1:4" x14ac:dyDescent="0.25">
      <c r="A368" s="19" t="s">
        <v>573</v>
      </c>
      <c r="B368" s="43" t="s">
        <v>572</v>
      </c>
      <c r="C368" s="39" t="s">
        <v>574</v>
      </c>
      <c r="D368" s="37">
        <v>1609.0066666666701</v>
      </c>
    </row>
    <row r="369" spans="1:4" x14ac:dyDescent="0.25">
      <c r="A369" s="19" t="s">
        <v>575</v>
      </c>
      <c r="B369" s="43" t="s">
        <v>576</v>
      </c>
      <c r="C369" s="39" t="s">
        <v>577</v>
      </c>
      <c r="D369" s="37">
        <v>184.63</v>
      </c>
    </row>
    <row r="370" spans="1:4" x14ac:dyDescent="0.25">
      <c r="A370" s="19" t="s">
        <v>578</v>
      </c>
      <c r="B370" s="43" t="s">
        <v>576</v>
      </c>
      <c r="C370" s="39" t="s">
        <v>579</v>
      </c>
      <c r="D370" s="50">
        <v>6906.68</v>
      </c>
    </row>
    <row r="371" spans="1:4" x14ac:dyDescent="0.25">
      <c r="A371" s="19" t="s">
        <v>580</v>
      </c>
      <c r="B371" s="43" t="s">
        <v>581</v>
      </c>
      <c r="C371" s="39" t="s">
        <v>582</v>
      </c>
      <c r="D371" s="37">
        <v>162.136666666667</v>
      </c>
    </row>
    <row r="372" spans="1:4" x14ac:dyDescent="0.25">
      <c r="A372" s="19" t="s">
        <v>583</v>
      </c>
      <c r="B372" s="43" t="s">
        <v>581</v>
      </c>
      <c r="C372" s="39"/>
      <c r="D372" s="37">
        <v>149.6</v>
      </c>
    </row>
    <row r="373" spans="1:4" x14ac:dyDescent="0.25">
      <c r="A373" s="19" t="s">
        <v>584</v>
      </c>
      <c r="B373" s="43" t="s">
        <v>585</v>
      </c>
      <c r="C373" s="39" t="s">
        <v>586</v>
      </c>
      <c r="D373" s="37">
        <v>14694.34</v>
      </c>
    </row>
    <row r="374" spans="1:4" x14ac:dyDescent="0.25">
      <c r="A374" s="19" t="s">
        <v>587</v>
      </c>
      <c r="B374" s="43" t="s">
        <v>588</v>
      </c>
      <c r="C374" s="39"/>
      <c r="D374" s="37">
        <v>10376.266666666699</v>
      </c>
    </row>
    <row r="375" spans="1:4" x14ac:dyDescent="0.25">
      <c r="A375" s="19" t="s">
        <v>589</v>
      </c>
      <c r="B375" s="43" t="s">
        <v>590</v>
      </c>
      <c r="C375" s="39" t="s">
        <v>591</v>
      </c>
      <c r="D375" s="40">
        <v>2807.6633333333298</v>
      </c>
    </row>
    <row r="376" spans="1:4" x14ac:dyDescent="0.25">
      <c r="A376" s="19" t="s">
        <v>592</v>
      </c>
      <c r="B376" s="43" t="s">
        <v>590</v>
      </c>
      <c r="C376" s="39" t="s">
        <v>593</v>
      </c>
      <c r="D376" s="40">
        <v>3623.36666666667</v>
      </c>
    </row>
    <row r="377" spans="1:4" x14ac:dyDescent="0.25">
      <c r="A377" s="19" t="s">
        <v>594</v>
      </c>
      <c r="B377" s="43" t="s">
        <v>595</v>
      </c>
      <c r="C377" s="39"/>
      <c r="D377" s="37">
        <v>449.066666666667</v>
      </c>
    </row>
    <row r="378" spans="1:4" x14ac:dyDescent="0.25">
      <c r="A378" s="19" t="s">
        <v>596</v>
      </c>
      <c r="B378" s="43" t="s">
        <v>597</v>
      </c>
      <c r="C378" s="39" t="s">
        <v>598</v>
      </c>
      <c r="D378" s="37">
        <v>706.33333333333303</v>
      </c>
    </row>
    <row r="379" spans="1:4" x14ac:dyDescent="0.25">
      <c r="A379" s="19" t="s">
        <v>599</v>
      </c>
      <c r="B379" s="43" t="s">
        <v>600</v>
      </c>
      <c r="C379" s="39" t="s">
        <v>601</v>
      </c>
      <c r="D379" s="37">
        <v>8875.40333333333</v>
      </c>
    </row>
    <row r="380" spans="1:4" x14ac:dyDescent="0.25">
      <c r="A380" s="46" t="s">
        <v>602</v>
      </c>
      <c r="B380" s="47" t="s">
        <v>603</v>
      </c>
      <c r="C380" s="66" t="s">
        <v>604</v>
      </c>
      <c r="D380" s="48">
        <v>222.70333333333301</v>
      </c>
    </row>
    <row r="381" spans="1:4" x14ac:dyDescent="0.25">
      <c r="A381" s="46" t="s">
        <v>605</v>
      </c>
      <c r="B381" s="47" t="s">
        <v>603</v>
      </c>
      <c r="C381" s="66" t="s">
        <v>606</v>
      </c>
      <c r="D381" s="48">
        <v>1548.58</v>
      </c>
    </row>
    <row r="382" spans="1:4" x14ac:dyDescent="0.25">
      <c r="A382" s="19" t="s">
        <v>607</v>
      </c>
      <c r="B382" s="43" t="s">
        <v>228</v>
      </c>
      <c r="C382" s="51" t="s">
        <v>608</v>
      </c>
      <c r="D382" s="37">
        <v>363.63</v>
      </c>
    </row>
    <row r="383" spans="1:4" x14ac:dyDescent="0.25">
      <c r="A383" s="46" t="s">
        <v>609</v>
      </c>
      <c r="B383" s="38" t="s">
        <v>228</v>
      </c>
      <c r="C383" s="69" t="s">
        <v>610</v>
      </c>
      <c r="D383" s="48">
        <v>372.66</v>
      </c>
    </row>
    <row r="384" spans="1:4" x14ac:dyDescent="0.25">
      <c r="A384" s="19" t="s">
        <v>611</v>
      </c>
      <c r="B384" s="43" t="s">
        <v>612</v>
      </c>
      <c r="C384" s="39" t="s">
        <v>613</v>
      </c>
      <c r="D384" s="37">
        <v>12953.6</v>
      </c>
    </row>
    <row r="385" spans="1:4" x14ac:dyDescent="0.25">
      <c r="A385" s="19" t="s">
        <v>614</v>
      </c>
      <c r="B385" s="43" t="s">
        <v>612</v>
      </c>
      <c r="C385" s="39" t="s">
        <v>615</v>
      </c>
      <c r="D385" s="37">
        <v>6305.38</v>
      </c>
    </row>
    <row r="386" spans="1:4" x14ac:dyDescent="0.25">
      <c r="A386" s="19" t="s">
        <v>616</v>
      </c>
      <c r="B386" s="43" t="s">
        <v>612</v>
      </c>
      <c r="C386" s="39" t="s">
        <v>617</v>
      </c>
      <c r="D386" s="37">
        <v>1144.0233333333299</v>
      </c>
    </row>
    <row r="387" spans="1:4" x14ac:dyDescent="0.25">
      <c r="A387" s="19" t="s">
        <v>618</v>
      </c>
      <c r="B387" s="43" t="s">
        <v>237</v>
      </c>
      <c r="C387" s="39" t="s">
        <v>619</v>
      </c>
      <c r="D387" s="37">
        <v>566.47333333333302</v>
      </c>
    </row>
    <row r="388" spans="1:4" x14ac:dyDescent="0.25">
      <c r="A388" s="19" t="s">
        <v>620</v>
      </c>
      <c r="B388" s="43" t="s">
        <v>237</v>
      </c>
      <c r="C388" s="39" t="s">
        <v>621</v>
      </c>
      <c r="D388" s="37">
        <v>2403.8933333333298</v>
      </c>
    </row>
    <row r="389" spans="1:4" x14ac:dyDescent="0.25">
      <c r="A389" s="19" t="s">
        <v>622</v>
      </c>
      <c r="B389" s="43" t="s">
        <v>237</v>
      </c>
      <c r="C389" s="39" t="s">
        <v>623</v>
      </c>
      <c r="D389" s="37">
        <v>5363.5</v>
      </c>
    </row>
    <row r="390" spans="1:4" x14ac:dyDescent="0.25">
      <c r="A390" s="19" t="s">
        <v>624</v>
      </c>
      <c r="B390" s="43" t="s">
        <v>625</v>
      </c>
      <c r="C390" s="39" t="s">
        <v>626</v>
      </c>
      <c r="D390" s="37">
        <v>7545.15</v>
      </c>
    </row>
    <row r="391" spans="1:4" x14ac:dyDescent="0.25">
      <c r="A391" s="19" t="s">
        <v>627</v>
      </c>
      <c r="B391" s="43" t="s">
        <v>628</v>
      </c>
      <c r="C391" s="39" t="s">
        <v>629</v>
      </c>
      <c r="D391" s="37">
        <v>2135.1066666666702</v>
      </c>
    </row>
    <row r="392" spans="1:4" ht="30" x14ac:dyDescent="0.25">
      <c r="A392" s="19" t="s">
        <v>630</v>
      </c>
      <c r="B392" s="54" t="s">
        <v>631</v>
      </c>
      <c r="C392" s="39" t="s">
        <v>632</v>
      </c>
      <c r="D392" s="37">
        <v>2403.03666666667</v>
      </c>
    </row>
    <row r="393" spans="1:4" x14ac:dyDescent="0.25">
      <c r="A393" s="19" t="s">
        <v>633</v>
      </c>
      <c r="B393" s="118" t="s">
        <v>1301</v>
      </c>
      <c r="C393" s="39" t="s">
        <v>1302</v>
      </c>
      <c r="D393" s="37">
        <v>189497.31</v>
      </c>
    </row>
    <row r="394" spans="1:4" x14ac:dyDescent="0.25">
      <c r="A394" s="19" t="s">
        <v>635</v>
      </c>
      <c r="B394" s="43" t="s">
        <v>1303</v>
      </c>
      <c r="C394" s="39" t="s">
        <v>1304</v>
      </c>
      <c r="D394" s="37">
        <v>10660.49</v>
      </c>
    </row>
    <row r="395" spans="1:4" x14ac:dyDescent="0.25">
      <c r="A395" s="19" t="s">
        <v>643</v>
      </c>
      <c r="B395" s="43" t="s">
        <v>644</v>
      </c>
      <c r="C395" s="39"/>
      <c r="D395" s="37">
        <v>438.03333333333302</v>
      </c>
    </row>
    <row r="396" spans="1:4" x14ac:dyDescent="0.25">
      <c r="A396" s="19" t="s">
        <v>645</v>
      </c>
      <c r="B396" s="108" t="s">
        <v>646</v>
      </c>
      <c r="C396" s="39" t="s">
        <v>647</v>
      </c>
      <c r="D396" s="37">
        <v>679.84333333333302</v>
      </c>
    </row>
    <row r="397" spans="1:4" x14ac:dyDescent="0.25">
      <c r="A397" s="19" t="s">
        <v>648</v>
      </c>
      <c r="B397" s="43" t="s">
        <v>649</v>
      </c>
      <c r="C397" s="39" t="s">
        <v>650</v>
      </c>
      <c r="D397" s="37">
        <v>1815.2366666666701</v>
      </c>
    </row>
    <row r="398" spans="1:4" x14ac:dyDescent="0.25">
      <c r="A398" s="19" t="s">
        <v>651</v>
      </c>
      <c r="B398" s="43" t="s">
        <v>652</v>
      </c>
      <c r="C398" s="39" t="s">
        <v>653</v>
      </c>
      <c r="D398" s="37">
        <v>1556.37</v>
      </c>
    </row>
    <row r="399" spans="1:4" x14ac:dyDescent="0.25">
      <c r="A399" s="19" t="s">
        <v>654</v>
      </c>
      <c r="B399" s="43" t="s">
        <v>655</v>
      </c>
      <c r="C399" s="39" t="s">
        <v>656</v>
      </c>
      <c r="D399" s="37">
        <v>556</v>
      </c>
    </row>
    <row r="400" spans="1:4" x14ac:dyDescent="0.25">
      <c r="A400" s="19" t="s">
        <v>657</v>
      </c>
      <c r="B400" s="43" t="s">
        <v>658</v>
      </c>
      <c r="C400" s="62" t="s">
        <v>659</v>
      </c>
      <c r="D400" s="37">
        <v>22812.666666666701</v>
      </c>
    </row>
    <row r="401" spans="1:4" x14ac:dyDescent="0.25">
      <c r="A401" s="19" t="s">
        <v>660</v>
      </c>
      <c r="B401" s="43" t="s">
        <v>658</v>
      </c>
      <c r="C401" s="39" t="s">
        <v>661</v>
      </c>
      <c r="D401" s="37">
        <v>102689.60000000001</v>
      </c>
    </row>
    <row r="402" spans="1:4" x14ac:dyDescent="0.25">
      <c r="A402" s="19" t="s">
        <v>662</v>
      </c>
      <c r="B402" s="43" t="s">
        <v>658</v>
      </c>
      <c r="C402" s="53" t="s">
        <v>663</v>
      </c>
      <c r="D402" s="37">
        <v>102822</v>
      </c>
    </row>
    <row r="403" spans="1:4" x14ac:dyDescent="0.25">
      <c r="A403" s="19" t="s">
        <v>664</v>
      </c>
      <c r="B403" s="43" t="s">
        <v>658</v>
      </c>
      <c r="C403" s="39" t="s">
        <v>665</v>
      </c>
      <c r="D403" s="37">
        <v>31116.666666666701</v>
      </c>
    </row>
    <row r="404" spans="1:4" x14ac:dyDescent="0.25">
      <c r="A404" s="19" t="s">
        <v>666</v>
      </c>
      <c r="B404" s="43" t="s">
        <v>658</v>
      </c>
      <c r="C404" s="53" t="s">
        <v>667</v>
      </c>
      <c r="D404" s="37">
        <v>93822.37</v>
      </c>
    </row>
    <row r="405" spans="1:4" x14ac:dyDescent="0.25">
      <c r="A405" s="19" t="s">
        <v>668</v>
      </c>
      <c r="B405" s="43" t="s">
        <v>658</v>
      </c>
      <c r="C405" s="53" t="s">
        <v>669</v>
      </c>
      <c r="D405" s="37">
        <v>38577.620000000003</v>
      </c>
    </row>
    <row r="406" spans="1:4" x14ac:dyDescent="0.25">
      <c r="A406" s="19" t="s">
        <v>670</v>
      </c>
      <c r="B406" s="43" t="s">
        <v>658</v>
      </c>
      <c r="C406" s="53" t="s">
        <v>671</v>
      </c>
      <c r="D406" s="37">
        <v>35792.4433333333</v>
      </c>
    </row>
    <row r="407" spans="1:4" x14ac:dyDescent="0.25">
      <c r="A407" s="19" t="s">
        <v>672</v>
      </c>
      <c r="B407" s="43" t="s">
        <v>658</v>
      </c>
      <c r="C407" s="53" t="s">
        <v>673</v>
      </c>
      <c r="D407" s="37">
        <v>39067.64</v>
      </c>
    </row>
    <row r="408" spans="1:4" x14ac:dyDescent="0.25">
      <c r="A408" s="19" t="s">
        <v>674</v>
      </c>
      <c r="B408" s="43" t="s">
        <v>658</v>
      </c>
      <c r="C408" s="53" t="s">
        <v>675</v>
      </c>
      <c r="D408" s="37">
        <v>66953.333333333299</v>
      </c>
    </row>
    <row r="409" spans="1:4" x14ac:dyDescent="0.25">
      <c r="A409" s="19" t="s">
        <v>676</v>
      </c>
      <c r="B409" s="43" t="s">
        <v>677</v>
      </c>
      <c r="C409" s="39" t="s">
        <v>678</v>
      </c>
      <c r="D409" s="37">
        <v>49813</v>
      </c>
    </row>
    <row r="410" spans="1:4" x14ac:dyDescent="0.25">
      <c r="A410" s="19" t="s">
        <v>679</v>
      </c>
      <c r="B410" s="43" t="s">
        <v>677</v>
      </c>
      <c r="C410" s="39" t="s">
        <v>680</v>
      </c>
      <c r="D410" s="37">
        <v>76689.333333333299</v>
      </c>
    </row>
    <row r="411" spans="1:4" x14ac:dyDescent="0.25">
      <c r="A411" s="19" t="s">
        <v>681</v>
      </c>
      <c r="B411" s="43" t="s">
        <v>677</v>
      </c>
      <c r="C411" s="53" t="s">
        <v>682</v>
      </c>
      <c r="D411" s="37">
        <v>111862</v>
      </c>
    </row>
    <row r="412" spans="1:4" x14ac:dyDescent="0.25">
      <c r="A412" s="19" t="s">
        <v>683</v>
      </c>
      <c r="B412" s="43" t="s">
        <v>684</v>
      </c>
      <c r="C412" s="39" t="s">
        <v>685</v>
      </c>
      <c r="D412" s="37">
        <v>649.96</v>
      </c>
    </row>
    <row r="413" spans="1:4" x14ac:dyDescent="0.25">
      <c r="A413" s="19" t="s">
        <v>686</v>
      </c>
      <c r="B413" s="43" t="s">
        <v>687</v>
      </c>
      <c r="C413" s="39" t="s">
        <v>688</v>
      </c>
      <c r="D413" s="37">
        <v>1298.5999999999999</v>
      </c>
    </row>
    <row r="414" spans="1:4" x14ac:dyDescent="0.25">
      <c r="A414" s="19" t="s">
        <v>689</v>
      </c>
      <c r="B414" s="43" t="s">
        <v>687</v>
      </c>
      <c r="C414" s="39" t="s">
        <v>690</v>
      </c>
      <c r="D414" s="37">
        <v>10594.18</v>
      </c>
    </row>
    <row r="415" spans="1:4" x14ac:dyDescent="0.25">
      <c r="A415" s="19" t="s">
        <v>691</v>
      </c>
      <c r="B415" s="43" t="s">
        <v>692</v>
      </c>
      <c r="C415" s="39" t="s">
        <v>693</v>
      </c>
      <c r="D415" s="37">
        <v>3872.2566666666698</v>
      </c>
    </row>
    <row r="416" spans="1:4" x14ac:dyDescent="0.25">
      <c r="A416" s="19" t="s">
        <v>694</v>
      </c>
      <c r="B416" s="44" t="s">
        <v>692</v>
      </c>
      <c r="C416" s="39" t="s">
        <v>695</v>
      </c>
      <c r="D416" s="37">
        <v>405.9</v>
      </c>
    </row>
    <row r="417" spans="1:4" x14ac:dyDescent="0.25">
      <c r="A417" s="19" t="s">
        <v>696</v>
      </c>
      <c r="B417" s="43" t="s">
        <v>697</v>
      </c>
      <c r="C417" s="39" t="s">
        <v>698</v>
      </c>
      <c r="D417" s="37">
        <v>1318.63</v>
      </c>
    </row>
    <row r="418" spans="1:4" x14ac:dyDescent="0.25">
      <c r="A418" s="35" t="s">
        <v>699</v>
      </c>
      <c r="B418" s="44" t="s">
        <v>700</v>
      </c>
      <c r="C418" s="41" t="s">
        <v>701</v>
      </c>
      <c r="D418" s="55">
        <v>504.77</v>
      </c>
    </row>
    <row r="419" spans="1:4" x14ac:dyDescent="0.25">
      <c r="A419" s="35" t="s">
        <v>702</v>
      </c>
      <c r="B419" s="44" t="s">
        <v>700</v>
      </c>
      <c r="C419" s="41" t="s">
        <v>703</v>
      </c>
      <c r="D419" s="37">
        <v>2330.0700000000002</v>
      </c>
    </row>
    <row r="420" spans="1:4" x14ac:dyDescent="0.25">
      <c r="A420" s="35" t="s">
        <v>704</v>
      </c>
      <c r="B420" s="44" t="s">
        <v>700</v>
      </c>
      <c r="C420" s="41" t="s">
        <v>705</v>
      </c>
      <c r="D420" s="37">
        <v>79.290000000000006</v>
      </c>
    </row>
    <row r="421" spans="1:4" x14ac:dyDescent="0.25">
      <c r="A421" s="19" t="s">
        <v>706</v>
      </c>
      <c r="B421" s="43" t="s">
        <v>707</v>
      </c>
      <c r="C421" s="39"/>
      <c r="D421" s="37">
        <v>1929.17</v>
      </c>
    </row>
    <row r="422" spans="1:4" x14ac:dyDescent="0.25">
      <c r="A422" s="19" t="s">
        <v>708</v>
      </c>
      <c r="B422" s="43" t="s">
        <v>707</v>
      </c>
      <c r="C422" s="62"/>
      <c r="D422" s="37">
        <v>1006.41666666667</v>
      </c>
    </row>
    <row r="423" spans="1:4" x14ac:dyDescent="0.25">
      <c r="A423" s="19" t="s">
        <v>709</v>
      </c>
      <c r="B423" s="43" t="s">
        <v>710</v>
      </c>
      <c r="C423" s="39" t="s">
        <v>711</v>
      </c>
      <c r="D423" s="37">
        <v>2402.3333333333298</v>
      </c>
    </row>
    <row r="424" spans="1:4" x14ac:dyDescent="0.25">
      <c r="A424" s="19" t="s">
        <v>712</v>
      </c>
      <c r="B424" s="43" t="s">
        <v>710</v>
      </c>
      <c r="C424" s="39" t="s">
        <v>713</v>
      </c>
      <c r="D424" s="37">
        <v>3636.0933333333301</v>
      </c>
    </row>
    <row r="425" spans="1:4" x14ac:dyDescent="0.25">
      <c r="A425" s="19" t="s">
        <v>714</v>
      </c>
      <c r="B425" s="43" t="s">
        <v>715</v>
      </c>
      <c r="C425" s="39" t="s">
        <v>716</v>
      </c>
      <c r="D425" s="37">
        <v>455.3</v>
      </c>
    </row>
    <row r="426" spans="1:4" x14ac:dyDescent="0.25">
      <c r="A426" s="19" t="s">
        <v>717</v>
      </c>
      <c r="B426" s="43" t="s">
        <v>715</v>
      </c>
      <c r="C426" s="39" t="s">
        <v>718</v>
      </c>
      <c r="D426" s="37">
        <v>377.16</v>
      </c>
    </row>
    <row r="427" spans="1:4" x14ac:dyDescent="0.25">
      <c r="A427" s="19" t="s">
        <v>719</v>
      </c>
      <c r="B427" s="43" t="s">
        <v>715</v>
      </c>
      <c r="C427" s="39" t="s">
        <v>720</v>
      </c>
      <c r="D427" s="37">
        <v>1499.0166666666701</v>
      </c>
    </row>
    <row r="428" spans="1:4" x14ac:dyDescent="0.25">
      <c r="A428" s="19" t="s">
        <v>721</v>
      </c>
      <c r="B428" s="43" t="s">
        <v>715</v>
      </c>
      <c r="C428" s="39" t="s">
        <v>722</v>
      </c>
      <c r="D428" s="37">
        <v>394.77333333333303</v>
      </c>
    </row>
    <row r="429" spans="1:4" x14ac:dyDescent="0.25">
      <c r="A429" s="19" t="s">
        <v>723</v>
      </c>
      <c r="B429" s="43" t="s">
        <v>715</v>
      </c>
      <c r="C429" s="39" t="s">
        <v>724</v>
      </c>
      <c r="D429" s="37">
        <v>804.06666666666695</v>
      </c>
    </row>
    <row r="430" spans="1:4" x14ac:dyDescent="0.25">
      <c r="A430" s="19" t="s">
        <v>725</v>
      </c>
      <c r="B430" s="43" t="s">
        <v>726</v>
      </c>
      <c r="C430" s="39" t="s">
        <v>727</v>
      </c>
      <c r="D430" s="37">
        <v>1573.31666666667</v>
      </c>
    </row>
    <row r="431" spans="1:4" x14ac:dyDescent="0.25">
      <c r="A431" s="19" t="s">
        <v>728</v>
      </c>
      <c r="B431" s="43" t="s">
        <v>726</v>
      </c>
      <c r="C431" s="39" t="s">
        <v>729</v>
      </c>
      <c r="D431" s="37">
        <v>4721</v>
      </c>
    </row>
    <row r="432" spans="1:4" x14ac:dyDescent="0.25">
      <c r="A432" s="19" t="s">
        <v>730</v>
      </c>
      <c r="B432" s="43" t="s">
        <v>726</v>
      </c>
      <c r="C432" s="39"/>
      <c r="D432" s="37">
        <v>11678.3</v>
      </c>
    </row>
    <row r="433" spans="1:4" x14ac:dyDescent="0.25">
      <c r="A433" s="19" t="s">
        <v>1214</v>
      </c>
      <c r="B433" s="43" t="s">
        <v>222</v>
      </c>
      <c r="C433" s="39" t="s">
        <v>1215</v>
      </c>
      <c r="D433" s="37">
        <v>14344.446666666699</v>
      </c>
    </row>
    <row r="434" spans="1:4" x14ac:dyDescent="0.25">
      <c r="A434" s="19" t="s">
        <v>1211</v>
      </c>
      <c r="B434" s="44" t="s">
        <v>1212</v>
      </c>
      <c r="C434" s="82" t="s">
        <v>1213</v>
      </c>
      <c r="D434" s="85">
        <v>4345.47</v>
      </c>
    </row>
    <row r="435" spans="1:4" x14ac:dyDescent="0.25">
      <c r="A435" s="19" t="s">
        <v>731</v>
      </c>
      <c r="B435" s="43" t="s">
        <v>732</v>
      </c>
      <c r="C435" s="39" t="s">
        <v>733</v>
      </c>
      <c r="D435" s="37">
        <v>346.98</v>
      </c>
    </row>
    <row r="436" spans="1:4" x14ac:dyDescent="0.25">
      <c r="A436" s="19" t="s">
        <v>734</v>
      </c>
      <c r="B436" s="43" t="s">
        <v>732</v>
      </c>
      <c r="C436" s="39" t="s">
        <v>735</v>
      </c>
      <c r="D436" s="37">
        <v>5626.3333333333303</v>
      </c>
    </row>
    <row r="437" spans="1:4" x14ac:dyDescent="0.25">
      <c r="A437" s="19" t="s">
        <v>736</v>
      </c>
      <c r="B437" s="43" t="s">
        <v>732</v>
      </c>
      <c r="C437" s="39" t="s">
        <v>737</v>
      </c>
      <c r="D437" s="37">
        <v>5752.05666666667</v>
      </c>
    </row>
    <row r="438" spans="1:4" x14ac:dyDescent="0.25">
      <c r="A438" s="19" t="s">
        <v>1255</v>
      </c>
      <c r="B438" s="92" t="s">
        <v>1253</v>
      </c>
      <c r="C438" s="39" t="s">
        <v>1254</v>
      </c>
      <c r="D438" s="37">
        <v>1021.14</v>
      </c>
    </row>
    <row r="439" spans="1:4" x14ac:dyDescent="0.25">
      <c r="A439" s="19" t="s">
        <v>738</v>
      </c>
      <c r="B439" s="43" t="s">
        <v>732</v>
      </c>
      <c r="C439" s="39" t="s">
        <v>739</v>
      </c>
      <c r="D439" s="37">
        <v>604.46333333333303</v>
      </c>
    </row>
    <row r="440" spans="1:4" x14ac:dyDescent="0.25">
      <c r="A440" s="19" t="s">
        <v>740</v>
      </c>
      <c r="B440" s="43" t="s">
        <v>732</v>
      </c>
      <c r="C440" s="39" t="s">
        <v>741</v>
      </c>
      <c r="D440" s="37">
        <v>414.14333333333298</v>
      </c>
    </row>
    <row r="441" spans="1:4" x14ac:dyDescent="0.25">
      <c r="A441" s="19" t="s">
        <v>742</v>
      </c>
      <c r="B441" s="43" t="s">
        <v>732</v>
      </c>
      <c r="C441" s="39" t="s">
        <v>743</v>
      </c>
      <c r="D441" s="37">
        <v>520.47666666666703</v>
      </c>
    </row>
    <row r="442" spans="1:4" x14ac:dyDescent="0.25">
      <c r="A442" s="19" t="s">
        <v>744</v>
      </c>
      <c r="B442" s="43" t="s">
        <v>732</v>
      </c>
      <c r="C442" s="39" t="s">
        <v>745</v>
      </c>
      <c r="D442" s="37">
        <v>1008.57</v>
      </c>
    </row>
    <row r="443" spans="1:4" x14ac:dyDescent="0.25">
      <c r="A443" s="19" t="s">
        <v>746</v>
      </c>
      <c r="B443" s="43" t="s">
        <v>732</v>
      </c>
      <c r="C443" s="39" t="s">
        <v>747</v>
      </c>
      <c r="D443" s="37">
        <v>639.1</v>
      </c>
    </row>
    <row r="444" spans="1:4" x14ac:dyDescent="0.25">
      <c r="A444" s="19" t="s">
        <v>748</v>
      </c>
      <c r="B444" s="43" t="s">
        <v>732</v>
      </c>
      <c r="C444" s="39" t="s">
        <v>749</v>
      </c>
      <c r="D444" s="37">
        <v>2347.9533333333302</v>
      </c>
    </row>
    <row r="445" spans="1:4" x14ac:dyDescent="0.25">
      <c r="A445" s="19" t="s">
        <v>750</v>
      </c>
      <c r="B445" s="43" t="s">
        <v>732</v>
      </c>
      <c r="C445" s="39" t="s">
        <v>751</v>
      </c>
      <c r="D445" s="37">
        <v>895.13</v>
      </c>
    </row>
    <row r="446" spans="1:4" x14ac:dyDescent="0.25">
      <c r="A446" s="19" t="s">
        <v>752</v>
      </c>
      <c r="B446" s="43" t="s">
        <v>732</v>
      </c>
      <c r="C446" s="65" t="s">
        <v>753</v>
      </c>
      <c r="D446" s="37">
        <v>2254.14</v>
      </c>
    </row>
    <row r="447" spans="1:4" x14ac:dyDescent="0.25">
      <c r="A447" s="19" t="s">
        <v>754</v>
      </c>
      <c r="B447" s="43" t="s">
        <v>755</v>
      </c>
      <c r="C447" s="39"/>
      <c r="D447" s="37">
        <v>6182.9266666666699</v>
      </c>
    </row>
    <row r="448" spans="1:4" x14ac:dyDescent="0.25">
      <c r="A448" s="19" t="s">
        <v>758</v>
      </c>
      <c r="B448" s="43" t="s">
        <v>759</v>
      </c>
      <c r="C448" s="39"/>
      <c r="D448" s="37">
        <v>724.18333333333305</v>
      </c>
    </row>
    <row r="449" spans="1:4" x14ac:dyDescent="0.25">
      <c r="A449" s="19" t="s">
        <v>760</v>
      </c>
      <c r="B449" s="43" t="s">
        <v>761</v>
      </c>
      <c r="C449" s="39" t="s">
        <v>762</v>
      </c>
      <c r="D449" s="37">
        <v>724.18333333333305</v>
      </c>
    </row>
    <row r="450" spans="1:4" x14ac:dyDescent="0.25">
      <c r="A450" s="19" t="s">
        <v>1244</v>
      </c>
      <c r="B450" s="44" t="s">
        <v>1242</v>
      </c>
      <c r="C450" s="39" t="s">
        <v>1243</v>
      </c>
      <c r="D450" s="87">
        <v>275679.99</v>
      </c>
    </row>
    <row r="451" spans="1:4" x14ac:dyDescent="0.25">
      <c r="A451" s="19" t="s">
        <v>1245</v>
      </c>
      <c r="B451" s="44" t="s">
        <v>1242</v>
      </c>
      <c r="C451" s="39" t="s">
        <v>1246</v>
      </c>
      <c r="D451" s="87">
        <v>243948.7</v>
      </c>
    </row>
    <row r="452" spans="1:4" x14ac:dyDescent="0.25">
      <c r="A452" s="19" t="s">
        <v>1277</v>
      </c>
      <c r="B452" s="43" t="s">
        <v>1273</v>
      </c>
      <c r="C452" s="39" t="s">
        <v>1274</v>
      </c>
      <c r="D452" s="37">
        <v>888.21</v>
      </c>
    </row>
    <row r="453" spans="1:4" x14ac:dyDescent="0.25">
      <c r="A453" s="19" t="s">
        <v>1278</v>
      </c>
      <c r="B453" s="43" t="s">
        <v>1275</v>
      </c>
      <c r="C453" s="39" t="s">
        <v>1276</v>
      </c>
      <c r="D453" s="37">
        <v>888.21</v>
      </c>
    </row>
    <row r="454" spans="1:4" x14ac:dyDescent="0.25">
      <c r="A454" s="19" t="s">
        <v>763</v>
      </c>
      <c r="B454" s="43" t="s">
        <v>764</v>
      </c>
      <c r="C454" s="39" t="s">
        <v>765</v>
      </c>
      <c r="D454" s="37">
        <v>694.84666666666703</v>
      </c>
    </row>
    <row r="455" spans="1:4" x14ac:dyDescent="0.25">
      <c r="A455" s="19" t="s">
        <v>766</v>
      </c>
      <c r="B455" s="43" t="s">
        <v>764</v>
      </c>
      <c r="C455" s="62" t="s">
        <v>767</v>
      </c>
      <c r="D455" s="37">
        <v>1638.88</v>
      </c>
    </row>
    <row r="456" spans="1:4" x14ac:dyDescent="0.25">
      <c r="A456" s="19" t="s">
        <v>768</v>
      </c>
      <c r="B456" s="43" t="s">
        <v>769</v>
      </c>
      <c r="C456" s="49" t="s">
        <v>770</v>
      </c>
      <c r="D456" s="37">
        <v>1998.63333333333</v>
      </c>
    </row>
    <row r="457" spans="1:4" x14ac:dyDescent="0.25">
      <c r="A457" s="19" t="s">
        <v>771</v>
      </c>
      <c r="B457" s="43" t="s">
        <v>769</v>
      </c>
      <c r="C457" s="49" t="s">
        <v>772</v>
      </c>
      <c r="D457" s="37">
        <v>1895.7466666666701</v>
      </c>
    </row>
    <row r="458" spans="1:4" x14ac:dyDescent="0.25">
      <c r="A458" s="19" t="s">
        <v>773</v>
      </c>
      <c r="B458" s="43" t="s">
        <v>774</v>
      </c>
      <c r="C458" s="39" t="s">
        <v>775</v>
      </c>
      <c r="D458" s="37">
        <v>0</v>
      </c>
    </row>
    <row r="459" spans="1:4" x14ac:dyDescent="0.25">
      <c r="A459" s="19" t="s">
        <v>776</v>
      </c>
      <c r="B459" s="43" t="s">
        <v>777</v>
      </c>
      <c r="C459" s="39"/>
      <c r="D459" s="37">
        <v>2354.0133333333301</v>
      </c>
    </row>
    <row r="460" spans="1:4" x14ac:dyDescent="0.25">
      <c r="A460" s="19" t="s">
        <v>778</v>
      </c>
      <c r="B460" s="38" t="s">
        <v>779</v>
      </c>
      <c r="C460" s="49" t="s">
        <v>780</v>
      </c>
      <c r="D460" s="37">
        <v>1642.96333333333</v>
      </c>
    </row>
    <row r="461" spans="1:4" x14ac:dyDescent="0.25">
      <c r="A461" s="19" t="s">
        <v>781</v>
      </c>
      <c r="B461" s="43" t="s">
        <v>779</v>
      </c>
      <c r="C461" s="39" t="s">
        <v>782</v>
      </c>
      <c r="D461" s="37">
        <v>1376.7666666666701</v>
      </c>
    </row>
    <row r="462" spans="1:4" x14ac:dyDescent="0.25">
      <c r="A462" s="19" t="s">
        <v>783</v>
      </c>
      <c r="B462" s="43" t="s">
        <v>784</v>
      </c>
      <c r="C462" s="39"/>
      <c r="D462" s="37">
        <v>0</v>
      </c>
    </row>
    <row r="463" spans="1:4" x14ac:dyDescent="0.25">
      <c r="A463" s="19" t="s">
        <v>785</v>
      </c>
      <c r="B463" s="38" t="s">
        <v>786</v>
      </c>
      <c r="C463" s="39"/>
      <c r="D463" s="37">
        <v>2396.9066666666699</v>
      </c>
    </row>
    <row r="464" spans="1:4" x14ac:dyDescent="0.25">
      <c r="A464" s="19" t="s">
        <v>787</v>
      </c>
      <c r="B464" s="38" t="s">
        <v>788</v>
      </c>
      <c r="C464" s="67" t="s">
        <v>789</v>
      </c>
      <c r="D464" s="37">
        <v>529.30333333333294</v>
      </c>
    </row>
    <row r="465" spans="1:4" ht="41.25" customHeight="1" x14ac:dyDescent="0.25">
      <c r="A465" s="19" t="s">
        <v>790</v>
      </c>
      <c r="B465" s="38" t="s">
        <v>788</v>
      </c>
      <c r="C465" s="39" t="s">
        <v>791</v>
      </c>
      <c r="D465" s="37">
        <v>603.80666666666696</v>
      </c>
    </row>
    <row r="466" spans="1:4" x14ac:dyDescent="0.25">
      <c r="A466" s="19" t="s">
        <v>792</v>
      </c>
      <c r="B466" s="38" t="s">
        <v>793</v>
      </c>
      <c r="C466" s="39"/>
      <c r="D466" s="37">
        <v>253.5</v>
      </c>
    </row>
    <row r="467" spans="1:4" x14ac:dyDescent="0.25">
      <c r="A467" s="19" t="s">
        <v>794</v>
      </c>
      <c r="B467" s="38" t="s">
        <v>793</v>
      </c>
      <c r="C467" s="39"/>
      <c r="D467" s="37">
        <v>271.68</v>
      </c>
    </row>
    <row r="468" spans="1:4" x14ac:dyDescent="0.25">
      <c r="A468" s="19" t="s">
        <v>795</v>
      </c>
      <c r="B468" s="43" t="s">
        <v>796</v>
      </c>
      <c r="C468" s="39"/>
      <c r="D468" s="37">
        <v>0</v>
      </c>
    </row>
    <row r="469" spans="1:4" x14ac:dyDescent="0.25">
      <c r="A469" s="19" t="s">
        <v>797</v>
      </c>
      <c r="B469" s="43" t="s">
        <v>798</v>
      </c>
      <c r="C469" s="39"/>
      <c r="D469" s="37">
        <v>502.96666666666698</v>
      </c>
    </row>
    <row r="470" spans="1:4" x14ac:dyDescent="0.25">
      <c r="A470" s="19" t="s">
        <v>1272</v>
      </c>
      <c r="B470" s="43" t="s">
        <v>1267</v>
      </c>
      <c r="C470" s="39" t="s">
        <v>1268</v>
      </c>
      <c r="D470" s="37">
        <v>623.32000000000005</v>
      </c>
    </row>
    <row r="471" spans="1:4" x14ac:dyDescent="0.25">
      <c r="A471" s="19" t="s">
        <v>1269</v>
      </c>
      <c r="B471" s="43" t="s">
        <v>1270</v>
      </c>
      <c r="C471" s="39" t="s">
        <v>1271</v>
      </c>
      <c r="D471" s="37">
        <v>671.87</v>
      </c>
    </row>
    <row r="472" spans="1:4" x14ac:dyDescent="0.25">
      <c r="A472" s="19" t="s">
        <v>799</v>
      </c>
      <c r="B472" s="43" t="s">
        <v>800</v>
      </c>
      <c r="C472" s="39" t="s">
        <v>801</v>
      </c>
      <c r="D472" s="37">
        <v>2660.3</v>
      </c>
    </row>
    <row r="473" spans="1:4" x14ac:dyDescent="0.25">
      <c r="A473" s="19" t="s">
        <v>802</v>
      </c>
      <c r="B473" s="38" t="s">
        <v>800</v>
      </c>
      <c r="C473" s="39" t="s">
        <v>803</v>
      </c>
      <c r="D473" s="37">
        <v>702.07333333333304</v>
      </c>
    </row>
    <row r="474" spans="1:4" x14ac:dyDescent="0.25">
      <c r="A474" s="19" t="s">
        <v>804</v>
      </c>
      <c r="B474" s="43" t="s">
        <v>805</v>
      </c>
      <c r="C474" s="39" t="s">
        <v>806</v>
      </c>
      <c r="D474" s="37">
        <v>163.35333333333301</v>
      </c>
    </row>
    <row r="475" spans="1:4" x14ac:dyDescent="0.25">
      <c r="A475" s="19" t="s">
        <v>807</v>
      </c>
      <c r="B475" s="43" t="s">
        <v>808</v>
      </c>
      <c r="C475" s="39"/>
      <c r="D475" s="37">
        <v>31.55</v>
      </c>
    </row>
    <row r="476" spans="1:4" x14ac:dyDescent="0.25">
      <c r="A476" s="19" t="s">
        <v>809</v>
      </c>
      <c r="B476" s="43" t="s">
        <v>810</v>
      </c>
      <c r="C476" s="39" t="s">
        <v>811</v>
      </c>
      <c r="D476" s="37">
        <v>642.01333333333298</v>
      </c>
    </row>
    <row r="477" spans="1:4" x14ac:dyDescent="0.25">
      <c r="A477" s="19" t="s">
        <v>812</v>
      </c>
      <c r="B477" s="43" t="s">
        <v>810</v>
      </c>
      <c r="C477" s="39" t="s">
        <v>813</v>
      </c>
      <c r="D477" s="37">
        <v>137.333333333333</v>
      </c>
    </row>
    <row r="478" spans="1:4" x14ac:dyDescent="0.25">
      <c r="A478" s="19" t="s">
        <v>814</v>
      </c>
      <c r="B478" s="43" t="s">
        <v>815</v>
      </c>
      <c r="C478" s="39"/>
      <c r="D478" s="37">
        <v>1044.79666666667</v>
      </c>
    </row>
    <row r="479" spans="1:4" x14ac:dyDescent="0.25">
      <c r="A479" s="19" t="s">
        <v>816</v>
      </c>
      <c r="B479" s="43" t="s">
        <v>815</v>
      </c>
      <c r="C479" s="39" t="s">
        <v>817</v>
      </c>
      <c r="D479" s="37">
        <v>2665.9966666666701</v>
      </c>
    </row>
    <row r="480" spans="1:4" x14ac:dyDescent="0.25">
      <c r="A480" s="19" t="s">
        <v>818</v>
      </c>
      <c r="B480" s="43" t="s">
        <v>819</v>
      </c>
      <c r="C480" s="39" t="s">
        <v>820</v>
      </c>
      <c r="D480" s="37">
        <v>279.566666666667</v>
      </c>
    </row>
    <row r="481" spans="1:4" x14ac:dyDescent="0.25">
      <c r="A481" s="19" t="s">
        <v>821</v>
      </c>
      <c r="B481" s="43" t="s">
        <v>819</v>
      </c>
      <c r="C481" s="39" t="s">
        <v>822</v>
      </c>
      <c r="D481" s="37">
        <v>115.933333333333</v>
      </c>
    </row>
    <row r="482" spans="1:4" x14ac:dyDescent="0.25">
      <c r="A482" s="19" t="s">
        <v>823</v>
      </c>
      <c r="B482" s="43" t="s">
        <v>824</v>
      </c>
      <c r="C482" s="39" t="s">
        <v>825</v>
      </c>
      <c r="D482" s="37">
        <v>932.28333333333296</v>
      </c>
    </row>
    <row r="483" spans="1:4" x14ac:dyDescent="0.25">
      <c r="A483" s="19" t="s">
        <v>826</v>
      </c>
      <c r="B483" s="43" t="s">
        <v>824</v>
      </c>
      <c r="C483" s="39" t="s">
        <v>827</v>
      </c>
      <c r="D483" s="37">
        <v>1471.7766666666701</v>
      </c>
    </row>
    <row r="484" spans="1:4" x14ac:dyDescent="0.25">
      <c r="A484" s="19" t="s">
        <v>828</v>
      </c>
      <c r="B484" s="43" t="s">
        <v>824</v>
      </c>
      <c r="C484" s="39" t="s">
        <v>829</v>
      </c>
      <c r="D484" s="37">
        <v>1500.20333333333</v>
      </c>
    </row>
    <row r="485" spans="1:4" x14ac:dyDescent="0.25">
      <c r="A485" s="19" t="s">
        <v>830</v>
      </c>
      <c r="B485" s="43" t="s">
        <v>824</v>
      </c>
      <c r="C485" s="39" t="s">
        <v>831</v>
      </c>
      <c r="D485" s="37">
        <v>2584.7566666666698</v>
      </c>
    </row>
    <row r="486" spans="1:4" x14ac:dyDescent="0.25">
      <c r="A486" s="19" t="s">
        <v>832</v>
      </c>
      <c r="B486" s="43" t="s">
        <v>824</v>
      </c>
      <c r="C486" s="62" t="s">
        <v>833</v>
      </c>
      <c r="D486" s="37">
        <v>2474.3000000000002</v>
      </c>
    </row>
    <row r="487" spans="1:4" x14ac:dyDescent="0.25">
      <c r="A487" s="19" t="s">
        <v>834</v>
      </c>
      <c r="B487" s="43" t="s">
        <v>824</v>
      </c>
      <c r="C487" s="39" t="s">
        <v>835</v>
      </c>
      <c r="D487" s="37">
        <v>3004.5733333333301</v>
      </c>
    </row>
    <row r="488" spans="1:4" x14ac:dyDescent="0.25">
      <c r="A488" s="19" t="s">
        <v>836</v>
      </c>
      <c r="B488" s="43" t="s">
        <v>837</v>
      </c>
      <c r="C488" s="39" t="s">
        <v>1220</v>
      </c>
      <c r="D488" s="37">
        <v>1232.9966666666701</v>
      </c>
    </row>
    <row r="489" spans="1:4" x14ac:dyDescent="0.25">
      <c r="A489" s="19" t="s">
        <v>839</v>
      </c>
      <c r="B489" s="43" t="s">
        <v>840</v>
      </c>
      <c r="C489" s="39" t="s">
        <v>841</v>
      </c>
      <c r="D489" s="37">
        <v>958.48666666666702</v>
      </c>
    </row>
    <row r="490" spans="1:4" x14ac:dyDescent="0.25">
      <c r="A490" s="19" t="s">
        <v>842</v>
      </c>
      <c r="B490" s="43" t="s">
        <v>843</v>
      </c>
      <c r="C490" s="39" t="s">
        <v>1222</v>
      </c>
      <c r="D490" s="37">
        <v>5182.87</v>
      </c>
    </row>
    <row r="491" spans="1:4" x14ac:dyDescent="0.25">
      <c r="A491" s="19" t="s">
        <v>845</v>
      </c>
      <c r="B491" s="43" t="s">
        <v>846</v>
      </c>
      <c r="C491" s="39" t="s">
        <v>1221</v>
      </c>
      <c r="D491" s="85">
        <v>4304.1899999999996</v>
      </c>
    </row>
    <row r="492" spans="1:4" x14ac:dyDescent="0.25">
      <c r="A492" s="19" t="s">
        <v>848</v>
      </c>
      <c r="B492" s="43" t="s">
        <v>849</v>
      </c>
      <c r="C492" s="39" t="s">
        <v>850</v>
      </c>
      <c r="D492" s="37">
        <v>799.99</v>
      </c>
    </row>
    <row r="493" spans="1:4" x14ac:dyDescent="0.25">
      <c r="A493" s="46" t="s">
        <v>851</v>
      </c>
      <c r="B493" s="47" t="s">
        <v>852</v>
      </c>
      <c r="C493" s="66" t="s">
        <v>853</v>
      </c>
      <c r="D493" s="48">
        <v>10797.333333333299</v>
      </c>
    </row>
    <row r="494" spans="1:4" x14ac:dyDescent="0.25">
      <c r="A494" s="46" t="s">
        <v>854</v>
      </c>
      <c r="B494" s="47" t="s">
        <v>855</v>
      </c>
      <c r="C494" s="66" t="s">
        <v>856</v>
      </c>
      <c r="D494" s="48">
        <v>2396.0166666666701</v>
      </c>
    </row>
    <row r="495" spans="1:4" x14ac:dyDescent="0.25">
      <c r="A495" s="46" t="s">
        <v>857</v>
      </c>
      <c r="B495" s="47" t="s">
        <v>858</v>
      </c>
      <c r="C495" s="66" t="s">
        <v>859</v>
      </c>
      <c r="D495" s="48">
        <v>4733</v>
      </c>
    </row>
    <row r="496" spans="1:4" ht="18" customHeight="1" x14ac:dyDescent="0.25">
      <c r="A496" s="46" t="s">
        <v>860</v>
      </c>
      <c r="B496" s="47" t="s">
        <v>861</v>
      </c>
      <c r="C496" s="66" t="s">
        <v>862</v>
      </c>
      <c r="D496" s="48">
        <v>1210.3800000000001</v>
      </c>
    </row>
    <row r="497" spans="1:4" x14ac:dyDescent="0.25">
      <c r="A497" s="46" t="s">
        <v>863</v>
      </c>
      <c r="B497" s="47" t="s">
        <v>864</v>
      </c>
      <c r="C497" s="66" t="s">
        <v>865</v>
      </c>
      <c r="D497" s="48">
        <v>4777.3333333333303</v>
      </c>
    </row>
    <row r="498" spans="1:4" x14ac:dyDescent="0.25">
      <c r="A498" s="46" t="s">
        <v>866</v>
      </c>
      <c r="B498" s="47" t="s">
        <v>867</v>
      </c>
      <c r="C498" s="66" t="s">
        <v>1223</v>
      </c>
      <c r="D498" s="48">
        <v>3109.72</v>
      </c>
    </row>
    <row r="499" spans="1:4" x14ac:dyDescent="0.25">
      <c r="A499" s="46" t="s">
        <v>869</v>
      </c>
      <c r="B499" s="47" t="s">
        <v>870</v>
      </c>
      <c r="C499" s="77" t="s">
        <v>871</v>
      </c>
      <c r="D499" s="48">
        <v>4867.5033333333304</v>
      </c>
    </row>
    <row r="500" spans="1:4" x14ac:dyDescent="0.25">
      <c r="A500" s="46" t="s">
        <v>872</v>
      </c>
      <c r="B500" s="47" t="s">
        <v>870</v>
      </c>
      <c r="C500" s="66" t="s">
        <v>873</v>
      </c>
      <c r="D500" s="48">
        <v>593.16333333333296</v>
      </c>
    </row>
    <row r="501" spans="1:4" x14ac:dyDescent="0.25">
      <c r="A501" s="46" t="s">
        <v>874</v>
      </c>
      <c r="B501" s="47" t="s">
        <v>870</v>
      </c>
      <c r="C501" s="66" t="s">
        <v>875</v>
      </c>
      <c r="D501" s="48">
        <v>1276.6199999999999</v>
      </c>
    </row>
    <row r="502" spans="1:4" x14ac:dyDescent="0.25">
      <c r="A502" s="46" t="s">
        <v>876</v>
      </c>
      <c r="B502" s="47" t="s">
        <v>572</v>
      </c>
      <c r="C502" s="66"/>
      <c r="D502" s="48">
        <v>0</v>
      </c>
    </row>
    <row r="503" spans="1:4" ht="45" x14ac:dyDescent="0.25">
      <c r="A503" s="46" t="s">
        <v>877</v>
      </c>
      <c r="B503" s="75" t="s">
        <v>878</v>
      </c>
      <c r="C503" s="66"/>
      <c r="D503" s="48">
        <v>1557.5833333333301</v>
      </c>
    </row>
    <row r="504" spans="1:4" x14ac:dyDescent="0.25">
      <c r="A504" s="46" t="s">
        <v>879</v>
      </c>
      <c r="B504" s="47" t="s">
        <v>880</v>
      </c>
      <c r="C504" s="66"/>
      <c r="D504" s="48">
        <v>1293.55666666667</v>
      </c>
    </row>
    <row r="505" spans="1:4" x14ac:dyDescent="0.25">
      <c r="A505" s="46" t="s">
        <v>881</v>
      </c>
      <c r="B505" s="47" t="s">
        <v>882</v>
      </c>
      <c r="C505" s="66"/>
      <c r="D505" s="48">
        <v>3876.0233333333299</v>
      </c>
    </row>
    <row r="506" spans="1:4" x14ac:dyDescent="0.25">
      <c r="A506" s="46" t="s">
        <v>883</v>
      </c>
      <c r="B506" s="47" t="s">
        <v>884</v>
      </c>
      <c r="C506" s="66" t="s">
        <v>885</v>
      </c>
      <c r="D506" s="48">
        <v>10594.1833333333</v>
      </c>
    </row>
    <row r="507" spans="1:4" x14ac:dyDescent="0.25">
      <c r="A507" s="46" t="s">
        <v>886</v>
      </c>
      <c r="B507" s="47" t="s">
        <v>884</v>
      </c>
      <c r="C507" s="66" t="s">
        <v>887</v>
      </c>
      <c r="D507" s="48">
        <v>554.77666666666698</v>
      </c>
    </row>
    <row r="508" spans="1:4" x14ac:dyDescent="0.25">
      <c r="A508" s="111" t="s">
        <v>888</v>
      </c>
      <c r="B508" s="61" t="s">
        <v>884</v>
      </c>
      <c r="C508" s="60" t="s">
        <v>889</v>
      </c>
      <c r="D508" s="112">
        <v>277.63</v>
      </c>
    </row>
    <row r="509" spans="1:4" x14ac:dyDescent="0.25">
      <c r="A509" s="59" t="s">
        <v>890</v>
      </c>
      <c r="B509" s="61" t="s">
        <v>884</v>
      </c>
      <c r="C509" s="60" t="s">
        <v>891</v>
      </c>
      <c r="D509" s="48">
        <v>1590.86</v>
      </c>
    </row>
    <row r="510" spans="1:4" x14ac:dyDescent="0.25">
      <c r="A510" s="59" t="s">
        <v>892</v>
      </c>
      <c r="B510" s="61" t="s">
        <v>884</v>
      </c>
      <c r="C510" s="60" t="s">
        <v>893</v>
      </c>
      <c r="D510" s="110">
        <v>586.02</v>
      </c>
    </row>
    <row r="511" spans="1:4" x14ac:dyDescent="0.25">
      <c r="A511" s="46" t="s">
        <v>894</v>
      </c>
      <c r="B511" s="47" t="s">
        <v>895</v>
      </c>
      <c r="C511" s="66" t="s">
        <v>896</v>
      </c>
      <c r="D511" s="55">
        <v>571.73</v>
      </c>
    </row>
    <row r="512" spans="1:4" x14ac:dyDescent="0.25">
      <c r="A512" s="46" t="s">
        <v>897</v>
      </c>
      <c r="B512" s="47" t="s">
        <v>895</v>
      </c>
      <c r="C512" s="66" t="s">
        <v>898</v>
      </c>
      <c r="D512" s="48">
        <v>12964.65</v>
      </c>
    </row>
    <row r="513" spans="1:4" x14ac:dyDescent="0.25">
      <c r="A513" s="46" t="s">
        <v>899</v>
      </c>
      <c r="B513" s="47" t="s">
        <v>900</v>
      </c>
      <c r="C513" s="66" t="s">
        <v>901</v>
      </c>
      <c r="D513" s="48">
        <v>574.20000000000005</v>
      </c>
    </row>
    <row r="514" spans="1:4" x14ac:dyDescent="0.25">
      <c r="A514" s="46" t="s">
        <v>902</v>
      </c>
      <c r="B514" s="47" t="s">
        <v>903</v>
      </c>
      <c r="C514" s="66" t="s">
        <v>904</v>
      </c>
      <c r="D514" s="48">
        <v>1143.03666666667</v>
      </c>
    </row>
    <row r="515" spans="1:4" x14ac:dyDescent="0.25">
      <c r="A515" s="46" t="s">
        <v>905</v>
      </c>
      <c r="B515" s="47" t="s">
        <v>900</v>
      </c>
      <c r="C515" s="66" t="s">
        <v>906</v>
      </c>
      <c r="D515" s="48">
        <v>1729</v>
      </c>
    </row>
    <row r="516" spans="1:4" x14ac:dyDescent="0.25">
      <c r="A516" s="46" t="s">
        <v>1236</v>
      </c>
      <c r="B516" s="29" t="s">
        <v>1237</v>
      </c>
      <c r="C516" s="83" t="s">
        <v>1238</v>
      </c>
      <c r="D516" s="121">
        <v>2436.63</v>
      </c>
    </row>
    <row r="517" spans="1:4" ht="15" customHeight="1" x14ac:dyDescent="0.25">
      <c r="A517" s="46" t="s">
        <v>1239</v>
      </c>
      <c r="B517" s="29" t="s">
        <v>1237</v>
      </c>
      <c r="C517" s="83" t="s">
        <v>1240</v>
      </c>
      <c r="D517" s="30">
        <v>1280.0899999999999</v>
      </c>
    </row>
    <row r="518" spans="1:4" ht="15" customHeight="1" x14ac:dyDescent="0.25">
      <c r="A518" s="46" t="s">
        <v>907</v>
      </c>
      <c r="B518" s="38" t="s">
        <v>908</v>
      </c>
      <c r="C518" s="83" t="s">
        <v>909</v>
      </c>
      <c r="D518" s="86">
        <v>3710.13</v>
      </c>
    </row>
    <row r="519" spans="1:4" ht="15" customHeight="1" x14ac:dyDescent="0.25">
      <c r="A519" s="46" t="s">
        <v>910</v>
      </c>
      <c r="B519" s="38" t="s">
        <v>908</v>
      </c>
      <c r="C519" s="84" t="s">
        <v>911</v>
      </c>
      <c r="D519" s="86">
        <v>12014.3633333333</v>
      </c>
    </row>
    <row r="520" spans="1:4" ht="15" customHeight="1" x14ac:dyDescent="0.25">
      <c r="A520" s="46" t="s">
        <v>1229</v>
      </c>
      <c r="B520" s="29" t="s">
        <v>1227</v>
      </c>
      <c r="C520" s="107" t="s">
        <v>1228</v>
      </c>
      <c r="D520" s="89">
        <v>599418.62</v>
      </c>
    </row>
    <row r="521" spans="1:4" ht="15" customHeight="1" x14ac:dyDescent="0.25">
      <c r="A521" s="46" t="s">
        <v>1230</v>
      </c>
      <c r="B521" s="29" t="s">
        <v>1227</v>
      </c>
      <c r="C521" s="107" t="s">
        <v>1233</v>
      </c>
      <c r="D521" s="89">
        <v>2124544.9300000002</v>
      </c>
    </row>
    <row r="522" spans="1:4" ht="15" customHeight="1" x14ac:dyDescent="0.25">
      <c r="A522" s="46" t="s">
        <v>1231</v>
      </c>
      <c r="B522" s="61" t="s">
        <v>1227</v>
      </c>
      <c r="C522" s="107" t="s">
        <v>1234</v>
      </c>
      <c r="D522" s="89">
        <v>425334.32</v>
      </c>
    </row>
    <row r="523" spans="1:4" ht="15" customHeight="1" x14ac:dyDescent="0.25">
      <c r="A523" s="46" t="s">
        <v>1232</v>
      </c>
      <c r="B523" s="61" t="s">
        <v>1227</v>
      </c>
      <c r="C523" s="107" t="s">
        <v>1235</v>
      </c>
      <c r="D523" s="89">
        <v>93363.31</v>
      </c>
    </row>
    <row r="524" spans="1:4" ht="15" customHeight="1" x14ac:dyDescent="0.25">
      <c r="A524" s="46" t="s">
        <v>912</v>
      </c>
      <c r="B524" s="47" t="s">
        <v>913</v>
      </c>
      <c r="C524" s="84" t="s">
        <v>914</v>
      </c>
      <c r="D524" s="89">
        <v>560.46</v>
      </c>
    </row>
    <row r="525" spans="1:4" ht="15" customHeight="1" x14ac:dyDescent="0.25">
      <c r="A525" s="46" t="s">
        <v>915</v>
      </c>
      <c r="B525" s="47" t="s">
        <v>913</v>
      </c>
      <c r="C525" s="84" t="s">
        <v>916</v>
      </c>
      <c r="D525" s="89">
        <v>1273.5999999999999</v>
      </c>
    </row>
    <row r="526" spans="1:4" ht="15" customHeight="1" x14ac:dyDescent="0.25">
      <c r="A526" s="46" t="s">
        <v>917</v>
      </c>
      <c r="B526" s="47" t="s">
        <v>913</v>
      </c>
      <c r="C526" s="84" t="s">
        <v>918</v>
      </c>
      <c r="D526" s="89">
        <v>5027.4633333333304</v>
      </c>
    </row>
    <row r="527" spans="1:4" ht="15" customHeight="1" x14ac:dyDescent="0.25">
      <c r="A527" s="46" t="s">
        <v>919</v>
      </c>
      <c r="B527" s="47" t="s">
        <v>913</v>
      </c>
      <c r="C527" s="84" t="s">
        <v>920</v>
      </c>
      <c r="D527" s="89">
        <v>6559.42</v>
      </c>
    </row>
    <row r="528" spans="1:4" ht="15" customHeight="1" x14ac:dyDescent="0.25">
      <c r="A528" s="46" t="s">
        <v>921</v>
      </c>
      <c r="B528" s="47" t="s">
        <v>913</v>
      </c>
      <c r="C528" s="84" t="s">
        <v>922</v>
      </c>
      <c r="D528" s="89">
        <v>2537.33</v>
      </c>
    </row>
    <row r="529" spans="1:4" ht="15" customHeight="1" x14ac:dyDescent="0.25">
      <c r="A529" s="46" t="s">
        <v>923</v>
      </c>
      <c r="B529" s="47" t="s">
        <v>913</v>
      </c>
      <c r="C529" s="84" t="s">
        <v>924</v>
      </c>
      <c r="D529" s="116">
        <v>6759.99</v>
      </c>
    </row>
    <row r="530" spans="1:4" ht="15" customHeight="1" x14ac:dyDescent="0.25">
      <c r="A530" s="46" t="s">
        <v>1263</v>
      </c>
      <c r="B530" s="47" t="s">
        <v>1261</v>
      </c>
      <c r="C530" s="84" t="s">
        <v>1262</v>
      </c>
      <c r="D530" s="89">
        <v>76584.02</v>
      </c>
    </row>
    <row r="531" spans="1:4" ht="15" customHeight="1" x14ac:dyDescent="0.25">
      <c r="A531" s="46" t="s">
        <v>1264</v>
      </c>
      <c r="B531" s="47" t="s">
        <v>1261</v>
      </c>
      <c r="C531" s="84" t="s">
        <v>1265</v>
      </c>
      <c r="D531" s="89">
        <v>181016.78</v>
      </c>
    </row>
    <row r="532" spans="1:4" ht="15" customHeight="1" x14ac:dyDescent="0.25">
      <c r="A532" s="46" t="s">
        <v>925</v>
      </c>
      <c r="B532" s="47" t="s">
        <v>926</v>
      </c>
      <c r="C532" s="84">
        <v>1</v>
      </c>
      <c r="D532" s="89">
        <v>895.71666666666704</v>
      </c>
    </row>
    <row r="533" spans="1:4" ht="15" customHeight="1" x14ac:dyDescent="0.25">
      <c r="A533" s="46" t="s">
        <v>927</v>
      </c>
      <c r="B533" s="47" t="s">
        <v>926</v>
      </c>
      <c r="C533" s="84">
        <v>2</v>
      </c>
      <c r="D533" s="89">
        <v>2037.24</v>
      </c>
    </row>
    <row r="534" spans="1:4" ht="15" customHeight="1" x14ac:dyDescent="0.25">
      <c r="A534" s="46" t="s">
        <v>928</v>
      </c>
      <c r="B534" s="47" t="s">
        <v>929</v>
      </c>
      <c r="C534" s="84"/>
      <c r="D534" s="89">
        <v>1518.55666666667</v>
      </c>
    </row>
    <row r="535" spans="1:4" ht="15" customHeight="1" x14ac:dyDescent="0.25">
      <c r="A535" s="46" t="s">
        <v>930</v>
      </c>
      <c r="B535" s="47" t="s">
        <v>931</v>
      </c>
      <c r="C535" s="84"/>
      <c r="D535" s="89">
        <v>1157.3333333333301</v>
      </c>
    </row>
    <row r="536" spans="1:4" ht="15" customHeight="1" x14ac:dyDescent="0.25">
      <c r="A536" s="46" t="s">
        <v>932</v>
      </c>
      <c r="B536" s="47" t="s">
        <v>933</v>
      </c>
      <c r="C536" s="84" t="s">
        <v>934</v>
      </c>
      <c r="D536" s="89">
        <v>169.2</v>
      </c>
    </row>
    <row r="537" spans="1:4" ht="15" customHeight="1" x14ac:dyDescent="0.25">
      <c r="A537" s="46" t="s">
        <v>935</v>
      </c>
      <c r="B537" s="47" t="s">
        <v>936</v>
      </c>
      <c r="C537" s="84"/>
      <c r="D537" s="89">
        <v>153.09666666666701</v>
      </c>
    </row>
    <row r="538" spans="1:4" ht="15" customHeight="1" x14ac:dyDescent="0.25">
      <c r="A538" s="46" t="s">
        <v>937</v>
      </c>
      <c r="B538" s="47" t="s">
        <v>938</v>
      </c>
      <c r="C538" s="90"/>
      <c r="D538" s="89">
        <v>2328.6666666666702</v>
      </c>
    </row>
    <row r="539" spans="1:4" ht="15" customHeight="1" x14ac:dyDescent="0.25">
      <c r="A539" s="46" t="s">
        <v>939</v>
      </c>
      <c r="B539" s="47" t="s">
        <v>940</v>
      </c>
      <c r="C539" s="84"/>
      <c r="D539" s="89">
        <v>3457.9966666666701</v>
      </c>
    </row>
    <row r="540" spans="1:4" ht="15" customHeight="1" x14ac:dyDescent="0.25">
      <c r="A540" s="46" t="s">
        <v>941</v>
      </c>
      <c r="B540" s="47" t="s">
        <v>942</v>
      </c>
      <c r="C540" s="84" t="s">
        <v>943</v>
      </c>
      <c r="D540" s="89">
        <v>1087.96333333333</v>
      </c>
    </row>
    <row r="541" spans="1:4" x14ac:dyDescent="0.25">
      <c r="A541" s="46" t="s">
        <v>944</v>
      </c>
      <c r="B541" s="47" t="s">
        <v>942</v>
      </c>
      <c r="C541" s="84" t="s">
        <v>945</v>
      </c>
      <c r="D541" s="89">
        <v>2879.21</v>
      </c>
    </row>
    <row r="542" spans="1:4" ht="15" customHeight="1" x14ac:dyDescent="0.25">
      <c r="A542" s="46" t="s">
        <v>946</v>
      </c>
      <c r="B542" s="47" t="s">
        <v>942</v>
      </c>
      <c r="C542" s="84" t="s">
        <v>947</v>
      </c>
      <c r="D542" s="89">
        <v>5653.06</v>
      </c>
    </row>
    <row r="543" spans="1:4" ht="15" customHeight="1" x14ac:dyDescent="0.25">
      <c r="A543" s="46" t="s">
        <v>948</v>
      </c>
      <c r="B543" s="47" t="s">
        <v>949</v>
      </c>
      <c r="C543" s="84">
        <v>5638</v>
      </c>
      <c r="D543" s="89">
        <v>4885.8133333333299</v>
      </c>
    </row>
    <row r="544" spans="1:4" ht="15" customHeight="1" x14ac:dyDescent="0.25">
      <c r="A544" s="46" t="s">
        <v>950</v>
      </c>
      <c r="B544" s="47" t="s">
        <v>949</v>
      </c>
      <c r="C544" s="84" t="s">
        <v>951</v>
      </c>
      <c r="D544" s="89">
        <v>2420.5466666666698</v>
      </c>
    </row>
    <row r="545" spans="1:4" ht="15" customHeight="1" x14ac:dyDescent="0.25">
      <c r="A545" s="46" t="s">
        <v>952</v>
      </c>
      <c r="B545" s="47" t="s">
        <v>953</v>
      </c>
      <c r="C545" s="84" t="s">
        <v>954</v>
      </c>
      <c r="D545" s="89">
        <v>733.3</v>
      </c>
    </row>
    <row r="546" spans="1:4" ht="15" customHeight="1" x14ac:dyDescent="0.25">
      <c r="A546" s="46" t="s">
        <v>955</v>
      </c>
      <c r="B546" s="47" t="s">
        <v>953</v>
      </c>
      <c r="C546" s="84" t="s">
        <v>956</v>
      </c>
      <c r="D546" s="89">
        <v>540.50333333333299</v>
      </c>
    </row>
    <row r="547" spans="1:4" ht="15" customHeight="1" x14ac:dyDescent="0.25">
      <c r="A547" s="46" t="s">
        <v>957</v>
      </c>
      <c r="B547" s="47" t="s">
        <v>953</v>
      </c>
      <c r="C547" s="84" t="s">
        <v>958</v>
      </c>
      <c r="D547" s="89">
        <v>814.06</v>
      </c>
    </row>
    <row r="548" spans="1:4" ht="15" customHeight="1" x14ac:dyDescent="0.25">
      <c r="A548" s="46" t="s">
        <v>959</v>
      </c>
      <c r="B548" s="47" t="s">
        <v>953</v>
      </c>
      <c r="C548" s="84" t="s">
        <v>960</v>
      </c>
      <c r="D548" s="89">
        <v>1093.31</v>
      </c>
    </row>
    <row r="549" spans="1:4" ht="15" customHeight="1" x14ac:dyDescent="0.25">
      <c r="A549" s="46" t="s">
        <v>961</v>
      </c>
      <c r="B549" s="47" t="s">
        <v>962</v>
      </c>
      <c r="C549" s="84" t="s">
        <v>963</v>
      </c>
      <c r="D549" s="89">
        <v>1014</v>
      </c>
    </row>
    <row r="550" spans="1:4" ht="15" customHeight="1" x14ac:dyDescent="0.25">
      <c r="A550" s="46" t="s">
        <v>964</v>
      </c>
      <c r="B550" s="47" t="s">
        <v>962</v>
      </c>
      <c r="C550" s="84" t="s">
        <v>965</v>
      </c>
      <c r="D550" s="89">
        <v>3608.1466666666702</v>
      </c>
    </row>
    <row r="551" spans="1:4" ht="15" customHeight="1" x14ac:dyDescent="0.25">
      <c r="A551" s="46" t="s">
        <v>966</v>
      </c>
      <c r="B551" s="47" t="s">
        <v>962</v>
      </c>
      <c r="C551" s="84" t="s">
        <v>967</v>
      </c>
      <c r="D551" s="89">
        <v>2326.3333333333298</v>
      </c>
    </row>
    <row r="552" spans="1:4" ht="15" customHeight="1" x14ac:dyDescent="0.25">
      <c r="A552" s="46" t="s">
        <v>968</v>
      </c>
      <c r="B552" s="47" t="s">
        <v>962</v>
      </c>
      <c r="C552" s="84" t="s">
        <v>969</v>
      </c>
      <c r="D552" s="89">
        <v>3982.32</v>
      </c>
    </row>
    <row r="553" spans="1:4" ht="15" customHeight="1" x14ac:dyDescent="0.25">
      <c r="A553" s="46" t="s">
        <v>970</v>
      </c>
      <c r="B553" s="47" t="s">
        <v>962</v>
      </c>
      <c r="C553" s="84" t="s">
        <v>971</v>
      </c>
      <c r="D553" s="89">
        <v>5933.3333333333303</v>
      </c>
    </row>
    <row r="554" spans="1:4" ht="15" customHeight="1" x14ac:dyDescent="0.25">
      <c r="A554" s="46" t="s">
        <v>972</v>
      </c>
      <c r="B554" s="47" t="s">
        <v>973</v>
      </c>
      <c r="C554" s="91" t="s">
        <v>974</v>
      </c>
      <c r="D554" s="89">
        <v>1418.01</v>
      </c>
    </row>
    <row r="555" spans="1:4" ht="15" customHeight="1" x14ac:dyDescent="0.25">
      <c r="A555" s="46" t="s">
        <v>975</v>
      </c>
      <c r="B555" s="47" t="s">
        <v>973</v>
      </c>
      <c r="C555" s="84" t="s">
        <v>976</v>
      </c>
      <c r="D555" s="89">
        <v>1910.43333333333</v>
      </c>
    </row>
    <row r="556" spans="1:4" ht="15" customHeight="1" x14ac:dyDescent="0.25">
      <c r="A556" s="46" t="s">
        <v>977</v>
      </c>
      <c r="B556" s="47" t="s">
        <v>978</v>
      </c>
      <c r="C556" s="84" t="s">
        <v>979</v>
      </c>
      <c r="D556" s="89">
        <v>1174.56666666667</v>
      </c>
    </row>
    <row r="557" spans="1:4" ht="15" customHeight="1" x14ac:dyDescent="0.25">
      <c r="A557" s="46" t="s">
        <v>980</v>
      </c>
      <c r="B557" s="47" t="s">
        <v>978</v>
      </c>
      <c r="C557" s="84" t="s">
        <v>981</v>
      </c>
      <c r="D557" s="89">
        <v>1628.93333333333</v>
      </c>
    </row>
    <row r="558" spans="1:4" ht="15" customHeight="1" x14ac:dyDescent="0.25">
      <c r="A558" s="46" t="s">
        <v>982</v>
      </c>
      <c r="B558" s="47" t="s">
        <v>983</v>
      </c>
      <c r="C558" s="84"/>
      <c r="D558" s="89">
        <v>677.26666666666699</v>
      </c>
    </row>
    <row r="559" spans="1:4" ht="15" customHeight="1" x14ac:dyDescent="0.25">
      <c r="A559" s="46" t="s">
        <v>984</v>
      </c>
      <c r="B559" s="47" t="s">
        <v>985</v>
      </c>
      <c r="C559" s="84" t="s">
        <v>986</v>
      </c>
      <c r="D559" s="89">
        <v>697.66</v>
      </c>
    </row>
    <row r="560" spans="1:4" ht="15" customHeight="1" x14ac:dyDescent="0.25">
      <c r="A560" s="46" t="s">
        <v>987</v>
      </c>
      <c r="B560" s="47" t="s">
        <v>988</v>
      </c>
      <c r="C560" s="84"/>
      <c r="D560" s="89">
        <v>555.66666666666697</v>
      </c>
    </row>
    <row r="561" spans="1:4" ht="15" customHeight="1" x14ac:dyDescent="0.25">
      <c r="A561" s="46" t="s">
        <v>989</v>
      </c>
      <c r="B561" s="47" t="s">
        <v>990</v>
      </c>
      <c r="C561" s="46"/>
      <c r="D561" s="89">
        <v>564.15333333333297</v>
      </c>
    </row>
    <row r="562" spans="1:4" ht="15" customHeight="1" x14ac:dyDescent="0.25">
      <c r="A562" s="46" t="s">
        <v>991</v>
      </c>
      <c r="B562" s="47" t="s">
        <v>992</v>
      </c>
      <c r="C562" s="84" t="s">
        <v>993</v>
      </c>
      <c r="D562" s="89">
        <v>1877.71</v>
      </c>
    </row>
    <row r="563" spans="1:4" ht="15" customHeight="1" x14ac:dyDescent="0.25">
      <c r="A563" s="46" t="s">
        <v>994</v>
      </c>
      <c r="B563" s="47" t="s">
        <v>992</v>
      </c>
      <c r="C563" s="84" t="s">
        <v>995</v>
      </c>
      <c r="D563" s="89">
        <v>1196.9000000000001</v>
      </c>
    </row>
    <row r="564" spans="1:4" ht="15" customHeight="1" x14ac:dyDescent="0.25">
      <c r="A564" s="46" t="s">
        <v>996</v>
      </c>
      <c r="B564" s="47" t="s">
        <v>997</v>
      </c>
      <c r="C564" s="84" t="s">
        <v>998</v>
      </c>
      <c r="D564" s="89">
        <v>1364.2233333333299</v>
      </c>
    </row>
    <row r="565" spans="1:4" ht="15" customHeight="1" x14ac:dyDescent="0.25">
      <c r="A565" s="46" t="s">
        <v>999</v>
      </c>
      <c r="B565" s="47" t="s">
        <v>997</v>
      </c>
      <c r="C565" s="90"/>
      <c r="D565" s="89">
        <v>2476.3333333333298</v>
      </c>
    </row>
    <row r="566" spans="1:4" ht="15" customHeight="1" x14ac:dyDescent="0.25">
      <c r="A566" s="46" t="s">
        <v>1000</v>
      </c>
      <c r="B566" s="47" t="s">
        <v>997</v>
      </c>
      <c r="C566" s="84" t="s">
        <v>1002</v>
      </c>
      <c r="D566" s="89">
        <v>2310.21</v>
      </c>
    </row>
    <row r="567" spans="1:4" ht="15" customHeight="1" x14ac:dyDescent="0.25">
      <c r="A567" s="46" t="s">
        <v>1003</v>
      </c>
      <c r="B567" s="47" t="s">
        <v>1001</v>
      </c>
      <c r="C567" s="84" t="s">
        <v>1004</v>
      </c>
      <c r="D567" s="89">
        <v>1616.1666666666699</v>
      </c>
    </row>
    <row r="568" spans="1:4" ht="15" customHeight="1" x14ac:dyDescent="0.25">
      <c r="A568" s="46" t="s">
        <v>1294</v>
      </c>
      <c r="B568" s="47" t="s">
        <v>367</v>
      </c>
      <c r="C568" s="84" t="s">
        <v>1295</v>
      </c>
      <c r="D568" s="89">
        <v>43687.83</v>
      </c>
    </row>
    <row r="569" spans="1:4" ht="15" customHeight="1" x14ac:dyDescent="0.25">
      <c r="A569" s="46" t="s">
        <v>1296</v>
      </c>
      <c r="B569" s="47" t="s">
        <v>367</v>
      </c>
      <c r="C569" s="84" t="s">
        <v>1297</v>
      </c>
      <c r="D569" s="89">
        <v>16352.27</v>
      </c>
    </row>
    <row r="570" spans="1:4" ht="15" customHeight="1" x14ac:dyDescent="0.25">
      <c r="A570" s="46" t="s">
        <v>1299</v>
      </c>
      <c r="B570" s="47" t="s">
        <v>1298</v>
      </c>
      <c r="C570" s="117">
        <v>11600</v>
      </c>
      <c r="D570" s="89">
        <v>20126.75</v>
      </c>
    </row>
    <row r="571" spans="1:4" ht="15" customHeight="1" x14ac:dyDescent="0.25">
      <c r="A571" s="46" t="s">
        <v>1300</v>
      </c>
      <c r="B571" s="47" t="s">
        <v>1298</v>
      </c>
      <c r="C571" s="117">
        <v>11000</v>
      </c>
      <c r="D571" s="89">
        <v>21941.79</v>
      </c>
    </row>
    <row r="1048568" x14ac:dyDescent="0.25"/>
  </sheetData>
  <phoneticPr fontId="17" type="noConversion"/>
  <conditionalFormatting sqref="C507:C509">
    <cfRule type="duplicateValues" dxfId="10" priority="3"/>
  </conditionalFormatting>
  <conditionalFormatting sqref="A2:A571">
    <cfRule type="duplicateValues" dxfId="6" priority="12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Roman,Normal"&amp;12&amp;KffffffPágina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59"/>
  <sheetViews>
    <sheetView topLeftCell="A61" zoomScaleNormal="100" workbookViewId="0">
      <selection activeCell="B409" sqref="B409"/>
    </sheetView>
  </sheetViews>
  <sheetFormatPr defaultColWidth="11.5703125" defaultRowHeight="15" customHeight="1" x14ac:dyDescent="0.25"/>
  <cols>
    <col min="1" max="1" width="17.5703125" style="28" customWidth="1"/>
    <col min="2" max="2" width="69" style="29" customWidth="1"/>
    <col min="3" max="3" width="53.7109375" style="28" customWidth="1"/>
    <col min="4" max="4" width="18.85546875" style="30" customWidth="1"/>
  </cols>
  <sheetData>
    <row r="1" spans="1:4" x14ac:dyDescent="0.25">
      <c r="A1" s="31" t="s">
        <v>77</v>
      </c>
      <c r="B1" s="32" t="s">
        <v>78</v>
      </c>
      <c r="C1" s="33" t="s">
        <v>79</v>
      </c>
      <c r="D1" s="34" t="s">
        <v>80</v>
      </c>
    </row>
    <row r="2" spans="1:4" x14ac:dyDescent="0.25">
      <c r="A2" s="19">
        <v>100002317</v>
      </c>
      <c r="B2" s="38" t="s">
        <v>93</v>
      </c>
      <c r="C2" s="71"/>
      <c r="D2" s="37">
        <v>0</v>
      </c>
    </row>
    <row r="3" spans="1:4" x14ac:dyDescent="0.25">
      <c r="A3" s="19">
        <v>100002329</v>
      </c>
      <c r="B3" s="38" t="s">
        <v>95</v>
      </c>
      <c r="C3" s="39" t="s">
        <v>96</v>
      </c>
      <c r="D3" s="37">
        <v>0</v>
      </c>
    </row>
    <row r="4" spans="1:4" x14ac:dyDescent="0.25">
      <c r="A4" s="35">
        <v>100002329</v>
      </c>
      <c r="B4" s="29" t="s">
        <v>95</v>
      </c>
      <c r="C4" s="41" t="s">
        <v>96</v>
      </c>
      <c r="D4" s="37">
        <v>0</v>
      </c>
    </row>
    <row r="5" spans="1:4" x14ac:dyDescent="0.25">
      <c r="A5" s="19">
        <v>100002330</v>
      </c>
      <c r="B5" s="38" t="s">
        <v>97</v>
      </c>
      <c r="C5" s="39" t="s">
        <v>96</v>
      </c>
      <c r="D5" s="37">
        <v>0</v>
      </c>
    </row>
    <row r="6" spans="1:4" x14ac:dyDescent="0.25">
      <c r="A6" s="35">
        <v>100002330</v>
      </c>
      <c r="B6" s="29" t="s">
        <v>97</v>
      </c>
      <c r="C6" s="41" t="s">
        <v>96</v>
      </c>
      <c r="D6" s="37">
        <v>0</v>
      </c>
    </row>
    <row r="7" spans="1:4" x14ac:dyDescent="0.25">
      <c r="A7" s="35">
        <v>100010138</v>
      </c>
      <c r="B7" s="29" t="s">
        <v>447</v>
      </c>
      <c r="C7" s="41" t="s">
        <v>454</v>
      </c>
      <c r="D7" s="37">
        <v>0</v>
      </c>
    </row>
    <row r="8" spans="1:4" x14ac:dyDescent="0.25">
      <c r="A8" s="35">
        <v>100011317</v>
      </c>
      <c r="B8" s="29" t="s">
        <v>634</v>
      </c>
      <c r="C8" s="45" t="s">
        <v>96</v>
      </c>
      <c r="D8" s="37">
        <v>0</v>
      </c>
    </row>
    <row r="9" spans="1:4" x14ac:dyDescent="0.25">
      <c r="A9" s="35">
        <v>100011317</v>
      </c>
      <c r="B9" s="29" t="s">
        <v>636</v>
      </c>
      <c r="C9" s="45" t="s">
        <v>96</v>
      </c>
      <c r="D9" s="37">
        <v>0</v>
      </c>
    </row>
    <row r="10" spans="1:4" x14ac:dyDescent="0.25">
      <c r="A10" s="35">
        <v>100011317</v>
      </c>
      <c r="B10" s="29" t="s">
        <v>638</v>
      </c>
      <c r="C10" s="45" t="s">
        <v>96</v>
      </c>
      <c r="D10" s="37">
        <v>0</v>
      </c>
    </row>
    <row r="11" spans="1:4" x14ac:dyDescent="0.25">
      <c r="A11" s="35">
        <v>100012664</v>
      </c>
      <c r="B11" s="29" t="s">
        <v>846</v>
      </c>
      <c r="C11" s="45" t="s">
        <v>847</v>
      </c>
      <c r="D11" s="37">
        <v>0</v>
      </c>
    </row>
    <row r="12" spans="1:4" x14ac:dyDescent="0.25">
      <c r="A12" s="35">
        <v>100012664</v>
      </c>
      <c r="B12" s="29" t="s">
        <v>867</v>
      </c>
      <c r="C12" s="45" t="s">
        <v>868</v>
      </c>
      <c r="D12" s="37">
        <v>0</v>
      </c>
    </row>
    <row r="13" spans="1:4" x14ac:dyDescent="0.25">
      <c r="A13" s="35">
        <v>100012664</v>
      </c>
      <c r="B13" s="29" t="s">
        <v>843</v>
      </c>
      <c r="C13" s="41" t="s">
        <v>844</v>
      </c>
      <c r="D13" s="37">
        <v>0</v>
      </c>
    </row>
    <row r="14" spans="1:4" x14ac:dyDescent="0.25">
      <c r="A14" s="19">
        <v>100012762</v>
      </c>
      <c r="B14" s="38" t="s">
        <v>280</v>
      </c>
      <c r="C14" s="39"/>
      <c r="D14" s="37">
        <v>0</v>
      </c>
    </row>
    <row r="15" spans="1:4" x14ac:dyDescent="0.25">
      <c r="A15" s="35">
        <v>100012762</v>
      </c>
      <c r="B15" s="29" t="s">
        <v>280</v>
      </c>
      <c r="C15" s="41" t="s">
        <v>1006</v>
      </c>
      <c r="D15" s="37">
        <v>0</v>
      </c>
    </row>
    <row r="16" spans="1:4" x14ac:dyDescent="0.25">
      <c r="A16" s="35">
        <v>100013121</v>
      </c>
      <c r="B16" s="29" t="s">
        <v>1001</v>
      </c>
      <c r="C16" s="41" t="s">
        <v>1007</v>
      </c>
      <c r="D16" s="37">
        <v>0</v>
      </c>
    </row>
    <row r="17" spans="1:4" x14ac:dyDescent="0.25">
      <c r="A17" s="19" t="s">
        <v>410</v>
      </c>
      <c r="B17" s="38" t="s">
        <v>411</v>
      </c>
      <c r="C17" s="39"/>
      <c r="D17" s="37">
        <v>0</v>
      </c>
    </row>
    <row r="18" spans="1:4" x14ac:dyDescent="0.25">
      <c r="A18" s="19" t="s">
        <v>453</v>
      </c>
      <c r="B18" s="38" t="s">
        <v>447</v>
      </c>
      <c r="C18" s="62" t="s">
        <v>454</v>
      </c>
      <c r="D18" s="37">
        <v>0</v>
      </c>
    </row>
    <row r="19" spans="1:4" x14ac:dyDescent="0.25">
      <c r="A19" s="19" t="s">
        <v>481</v>
      </c>
      <c r="B19" s="38" t="s">
        <v>482</v>
      </c>
      <c r="C19" s="39" t="s">
        <v>483</v>
      </c>
      <c r="D19" s="37">
        <v>0</v>
      </c>
    </row>
    <row r="20" spans="1:4" x14ac:dyDescent="0.25">
      <c r="A20" s="19" t="s">
        <v>484</v>
      </c>
      <c r="B20" s="38" t="s">
        <v>482</v>
      </c>
      <c r="C20" s="39" t="s">
        <v>485</v>
      </c>
      <c r="D20" s="37">
        <v>0</v>
      </c>
    </row>
    <row r="21" spans="1:4" x14ac:dyDescent="0.25">
      <c r="A21" s="19" t="s">
        <v>633</v>
      </c>
      <c r="B21" s="38" t="s">
        <v>634</v>
      </c>
      <c r="C21" s="39" t="s">
        <v>96</v>
      </c>
      <c r="D21" s="37">
        <v>0</v>
      </c>
    </row>
    <row r="22" spans="1:4" x14ac:dyDescent="0.25">
      <c r="A22" s="19" t="s">
        <v>635</v>
      </c>
      <c r="B22" s="38" t="s">
        <v>636</v>
      </c>
      <c r="C22" s="39" t="s">
        <v>96</v>
      </c>
      <c r="D22" s="37">
        <v>0</v>
      </c>
    </row>
    <row r="23" spans="1:4" x14ac:dyDescent="0.25">
      <c r="A23" s="19" t="s">
        <v>637</v>
      </c>
      <c r="B23" s="38" t="s">
        <v>638</v>
      </c>
      <c r="C23" s="39" t="s">
        <v>96</v>
      </c>
      <c r="D23" s="37">
        <v>0</v>
      </c>
    </row>
    <row r="24" spans="1:4" x14ac:dyDescent="0.25">
      <c r="A24" s="19" t="s">
        <v>773</v>
      </c>
      <c r="B24" s="38" t="s">
        <v>774</v>
      </c>
      <c r="C24" s="39" t="s">
        <v>775</v>
      </c>
      <c r="D24" s="37">
        <v>0</v>
      </c>
    </row>
    <row r="25" spans="1:4" x14ac:dyDescent="0.25">
      <c r="A25" s="19" t="s">
        <v>783</v>
      </c>
      <c r="B25" s="43" t="s">
        <v>784</v>
      </c>
      <c r="C25" s="42"/>
      <c r="D25" s="37">
        <v>0</v>
      </c>
    </row>
    <row r="26" spans="1:4" x14ac:dyDescent="0.25">
      <c r="A26" s="19" t="s">
        <v>795</v>
      </c>
      <c r="B26" s="43" t="s">
        <v>796</v>
      </c>
      <c r="C26" s="39"/>
      <c r="D26" s="37">
        <v>0</v>
      </c>
    </row>
    <row r="27" spans="1:4" x14ac:dyDescent="0.25">
      <c r="A27" s="19" t="s">
        <v>842</v>
      </c>
      <c r="B27" s="43" t="s">
        <v>843</v>
      </c>
      <c r="C27" s="42" t="s">
        <v>844</v>
      </c>
      <c r="D27" s="37">
        <v>0</v>
      </c>
    </row>
    <row r="28" spans="1:4" x14ac:dyDescent="0.25">
      <c r="A28" s="19" t="s">
        <v>845</v>
      </c>
      <c r="B28" s="43" t="s">
        <v>846</v>
      </c>
      <c r="C28" s="39" t="s">
        <v>847</v>
      </c>
      <c r="D28" s="37">
        <v>0</v>
      </c>
    </row>
    <row r="29" spans="1:4" x14ac:dyDescent="0.25">
      <c r="A29" s="19" t="s">
        <v>866</v>
      </c>
      <c r="B29" s="43" t="s">
        <v>867</v>
      </c>
      <c r="C29" s="39" t="s">
        <v>868</v>
      </c>
      <c r="D29" s="37">
        <v>0</v>
      </c>
    </row>
    <row r="30" spans="1:4" x14ac:dyDescent="0.25">
      <c r="A30" s="19" t="s">
        <v>876</v>
      </c>
      <c r="B30" s="43" t="s">
        <v>572</v>
      </c>
      <c r="C30" s="39"/>
      <c r="D30" s="37">
        <v>0</v>
      </c>
    </row>
    <row r="31" spans="1:4" x14ac:dyDescent="0.25">
      <c r="A31" s="19" t="s">
        <v>1005</v>
      </c>
      <c r="B31" s="43" t="s">
        <v>1001</v>
      </c>
      <c r="C31" s="39" t="s">
        <v>1007</v>
      </c>
      <c r="D31" s="37">
        <v>0</v>
      </c>
    </row>
    <row r="32" spans="1:4" x14ac:dyDescent="0.25">
      <c r="A32" s="35">
        <v>100002325</v>
      </c>
      <c r="B32" s="44" t="s">
        <v>94</v>
      </c>
      <c r="C32" s="41" t="s">
        <v>323</v>
      </c>
      <c r="D32" s="37">
        <v>8.1199999999999992</v>
      </c>
    </row>
    <row r="33" spans="1:4" x14ac:dyDescent="0.25">
      <c r="A33" s="35">
        <v>100012856</v>
      </c>
      <c r="B33" s="44" t="s">
        <v>317</v>
      </c>
      <c r="C33" s="41"/>
      <c r="D33" s="37">
        <v>23.76</v>
      </c>
    </row>
    <row r="34" spans="1:4" x14ac:dyDescent="0.25">
      <c r="A34" s="19"/>
      <c r="B34" s="43"/>
      <c r="C34" s="39"/>
      <c r="D34" s="37"/>
    </row>
    <row r="35" spans="1:4" x14ac:dyDescent="0.25">
      <c r="A35" s="35">
        <v>100012656</v>
      </c>
      <c r="B35" s="44" t="s">
        <v>269</v>
      </c>
      <c r="C35" s="41"/>
      <c r="D35" s="37">
        <v>26.33</v>
      </c>
    </row>
    <row r="36" spans="1:4" x14ac:dyDescent="0.25">
      <c r="A36" s="19"/>
      <c r="B36" s="43"/>
      <c r="C36" s="39"/>
      <c r="D36" s="37"/>
    </row>
    <row r="37" spans="1:4" x14ac:dyDescent="0.25">
      <c r="A37" s="19" t="s">
        <v>807</v>
      </c>
      <c r="B37" s="43" t="s">
        <v>808</v>
      </c>
      <c r="C37" s="39"/>
      <c r="D37" s="37">
        <v>31.55</v>
      </c>
    </row>
    <row r="38" spans="1:4" x14ac:dyDescent="0.25">
      <c r="A38" s="35">
        <v>100010571</v>
      </c>
      <c r="B38" s="44" t="s">
        <v>1008</v>
      </c>
      <c r="C38" s="41"/>
      <c r="D38" s="37">
        <v>41.8</v>
      </c>
    </row>
    <row r="39" spans="1:4" x14ac:dyDescent="0.25">
      <c r="A39" s="35">
        <v>100010572</v>
      </c>
      <c r="B39" s="44" t="s">
        <v>149</v>
      </c>
      <c r="C39" s="41"/>
      <c r="D39" s="37">
        <v>47.13</v>
      </c>
    </row>
    <row r="40" spans="1:4" x14ac:dyDescent="0.25">
      <c r="A40" s="19">
        <v>100010572</v>
      </c>
      <c r="B40" s="43" t="s">
        <v>149</v>
      </c>
      <c r="C40" s="39"/>
      <c r="D40" s="37">
        <v>47.133333333333297</v>
      </c>
    </row>
    <row r="41" spans="1:4" x14ac:dyDescent="0.25">
      <c r="A41" s="19">
        <v>100002303</v>
      </c>
      <c r="B41" s="43" t="s">
        <v>90</v>
      </c>
      <c r="C41" s="39"/>
      <c r="D41" s="40">
        <v>49.9</v>
      </c>
    </row>
    <row r="42" spans="1:4" x14ac:dyDescent="0.25">
      <c r="A42" s="35">
        <v>100010579</v>
      </c>
      <c r="B42" s="44" t="s">
        <v>1009</v>
      </c>
      <c r="C42" s="41"/>
      <c r="D42" s="37">
        <v>51.74</v>
      </c>
    </row>
    <row r="43" spans="1:4" ht="30" x14ac:dyDescent="0.25">
      <c r="A43" s="19">
        <v>100010579</v>
      </c>
      <c r="B43" s="54" t="s">
        <v>150</v>
      </c>
      <c r="C43" s="39"/>
      <c r="D43" s="37">
        <v>51.743333333333297</v>
      </c>
    </row>
    <row r="44" spans="1:4" x14ac:dyDescent="0.25">
      <c r="A44" s="35">
        <v>100010626</v>
      </c>
      <c r="B44" s="44" t="s">
        <v>1010</v>
      </c>
      <c r="C44" s="41"/>
      <c r="D44" s="37">
        <v>64.180000000000007</v>
      </c>
    </row>
    <row r="45" spans="1:4" x14ac:dyDescent="0.25">
      <c r="A45" s="19">
        <v>100010626</v>
      </c>
      <c r="B45" s="43" t="s">
        <v>152</v>
      </c>
      <c r="C45" s="39"/>
      <c r="D45" s="37">
        <v>64.183333333333294</v>
      </c>
    </row>
    <row r="46" spans="1:4" x14ac:dyDescent="0.25">
      <c r="A46" s="35">
        <v>100010036</v>
      </c>
      <c r="B46" s="44" t="s">
        <v>1011</v>
      </c>
      <c r="C46" s="41"/>
      <c r="D46" s="37">
        <v>67.709999999999994</v>
      </c>
    </row>
    <row r="47" spans="1:4" x14ac:dyDescent="0.25">
      <c r="A47" s="19">
        <v>100010036</v>
      </c>
      <c r="B47" s="43" t="s">
        <v>112</v>
      </c>
      <c r="C47" s="39"/>
      <c r="D47" s="37">
        <v>67.713333333333296</v>
      </c>
    </row>
    <row r="48" spans="1:4" x14ac:dyDescent="0.25">
      <c r="A48" s="19">
        <v>100012250</v>
      </c>
      <c r="B48" s="43" t="s">
        <v>204</v>
      </c>
      <c r="C48" s="49"/>
      <c r="D48" s="37">
        <v>71.006666666666703</v>
      </c>
    </row>
    <row r="49" spans="1:4" x14ac:dyDescent="0.25">
      <c r="A49" s="35">
        <v>100012250</v>
      </c>
      <c r="B49" s="44" t="s">
        <v>204</v>
      </c>
      <c r="C49" s="41"/>
      <c r="D49" s="37">
        <v>71.010000000000005</v>
      </c>
    </row>
    <row r="50" spans="1:4" x14ac:dyDescent="0.25">
      <c r="A50" s="35">
        <v>100012460</v>
      </c>
      <c r="B50" s="44" t="s">
        <v>224</v>
      </c>
      <c r="C50" s="41"/>
      <c r="D50" s="37">
        <v>72.959999999999994</v>
      </c>
    </row>
    <row r="51" spans="1:4" x14ac:dyDescent="0.25">
      <c r="A51" s="19">
        <v>100012857</v>
      </c>
      <c r="B51" s="43" t="s">
        <v>318</v>
      </c>
      <c r="C51" s="39"/>
      <c r="D51" s="37">
        <v>75.156666666666695</v>
      </c>
    </row>
    <row r="52" spans="1:4" x14ac:dyDescent="0.25">
      <c r="A52" s="35">
        <v>100012857</v>
      </c>
      <c r="B52" s="44" t="s">
        <v>1012</v>
      </c>
      <c r="C52" s="41"/>
      <c r="D52" s="37">
        <v>75.16</v>
      </c>
    </row>
    <row r="53" spans="1:4" x14ac:dyDescent="0.25">
      <c r="A53" s="19">
        <v>100012783</v>
      </c>
      <c r="B53" s="43" t="s">
        <v>287</v>
      </c>
      <c r="C53" s="39"/>
      <c r="D53" s="37">
        <v>83.516666666666694</v>
      </c>
    </row>
    <row r="54" spans="1:4" x14ac:dyDescent="0.25">
      <c r="A54" s="35">
        <v>100012783</v>
      </c>
      <c r="B54" s="44" t="s">
        <v>287</v>
      </c>
      <c r="C54" s="41"/>
      <c r="D54" s="37">
        <v>83.52</v>
      </c>
    </row>
    <row r="55" spans="1:4" x14ac:dyDescent="0.25">
      <c r="A55" s="19">
        <v>100010684</v>
      </c>
      <c r="B55" s="43" t="s">
        <v>156</v>
      </c>
      <c r="C55" s="39"/>
      <c r="D55" s="37">
        <v>87.81</v>
      </c>
    </row>
    <row r="56" spans="1:4" x14ac:dyDescent="0.25">
      <c r="A56" s="35">
        <v>100010193</v>
      </c>
      <c r="B56" s="44" t="s">
        <v>1013</v>
      </c>
      <c r="C56" s="41"/>
      <c r="D56" s="37">
        <v>92.49</v>
      </c>
    </row>
    <row r="57" spans="1:4" x14ac:dyDescent="0.25">
      <c r="A57" s="19">
        <v>100010193</v>
      </c>
      <c r="B57" s="43" t="s">
        <v>127</v>
      </c>
      <c r="C57" s="39"/>
      <c r="D57" s="37">
        <v>92.493333333333297</v>
      </c>
    </row>
    <row r="58" spans="1:4" x14ac:dyDescent="0.25">
      <c r="A58" s="35">
        <v>100010131</v>
      </c>
      <c r="B58" s="44" t="s">
        <v>1014</v>
      </c>
      <c r="C58" s="41"/>
      <c r="D58" s="37">
        <v>99.56</v>
      </c>
    </row>
    <row r="59" spans="1:4" x14ac:dyDescent="0.25">
      <c r="A59" s="35">
        <v>100002252</v>
      </c>
      <c r="B59" s="44" t="s">
        <v>81</v>
      </c>
      <c r="C59" s="41"/>
      <c r="D59" s="37">
        <v>107.09</v>
      </c>
    </row>
    <row r="60" spans="1:4" x14ac:dyDescent="0.25">
      <c r="A60" s="35">
        <v>100012535</v>
      </c>
      <c r="B60" s="44" t="s">
        <v>1015</v>
      </c>
      <c r="C60" s="45"/>
      <c r="D60" s="37">
        <v>113.3</v>
      </c>
    </row>
    <row r="61" spans="1:4" x14ac:dyDescent="0.25">
      <c r="A61" s="35">
        <v>100002381</v>
      </c>
      <c r="B61" s="44" t="s">
        <v>109</v>
      </c>
      <c r="C61" s="41"/>
      <c r="D61" s="37">
        <v>113.63</v>
      </c>
    </row>
    <row r="62" spans="1:4" x14ac:dyDescent="0.25">
      <c r="A62" s="35">
        <v>100012614</v>
      </c>
      <c r="B62" s="44" t="s">
        <v>819</v>
      </c>
      <c r="C62" s="41" t="s">
        <v>1016</v>
      </c>
      <c r="D62" s="37">
        <v>115.93</v>
      </c>
    </row>
    <row r="63" spans="1:4" x14ac:dyDescent="0.25">
      <c r="A63" s="19" t="s">
        <v>821</v>
      </c>
      <c r="B63" s="43" t="s">
        <v>819</v>
      </c>
      <c r="C63" s="39" t="s">
        <v>822</v>
      </c>
      <c r="D63" s="37">
        <v>115.933333333333</v>
      </c>
    </row>
    <row r="64" spans="1:4" x14ac:dyDescent="0.25">
      <c r="A64" s="35">
        <v>100012606</v>
      </c>
      <c r="B64" s="44" t="s">
        <v>810</v>
      </c>
      <c r="C64" s="41" t="s">
        <v>813</v>
      </c>
      <c r="D64" s="37">
        <v>137.33000000000001</v>
      </c>
    </row>
    <row r="65" spans="1:4" x14ac:dyDescent="0.25">
      <c r="A65" s="19" t="s">
        <v>812</v>
      </c>
      <c r="B65" s="43" t="s">
        <v>810</v>
      </c>
      <c r="C65" s="39" t="s">
        <v>813</v>
      </c>
      <c r="D65" s="37">
        <v>137.333333333333</v>
      </c>
    </row>
    <row r="66" spans="1:4" x14ac:dyDescent="0.25">
      <c r="A66" s="19">
        <v>100010112</v>
      </c>
      <c r="B66" s="43" t="s">
        <v>122</v>
      </c>
      <c r="C66" s="39"/>
      <c r="D66" s="37">
        <v>141.13999999999999</v>
      </c>
    </row>
    <row r="67" spans="1:4" x14ac:dyDescent="0.25">
      <c r="A67" s="19">
        <v>100012602</v>
      </c>
      <c r="B67" s="43" t="s">
        <v>254</v>
      </c>
      <c r="C67" s="39"/>
      <c r="D67" s="37">
        <v>141.61000000000001</v>
      </c>
    </row>
    <row r="68" spans="1:4" x14ac:dyDescent="0.25">
      <c r="A68" s="19">
        <v>100012806</v>
      </c>
      <c r="B68" s="43" t="s">
        <v>297</v>
      </c>
      <c r="C68" s="39"/>
      <c r="D68" s="37">
        <v>143.79</v>
      </c>
    </row>
    <row r="69" spans="1:4" x14ac:dyDescent="0.25">
      <c r="A69" s="35">
        <v>100012918</v>
      </c>
      <c r="B69" s="44" t="s">
        <v>352</v>
      </c>
      <c r="C69" s="41"/>
      <c r="D69" s="37">
        <v>146.82</v>
      </c>
    </row>
    <row r="70" spans="1:4" x14ac:dyDescent="0.25">
      <c r="A70" s="19">
        <v>100012918</v>
      </c>
      <c r="B70" s="43" t="s">
        <v>352</v>
      </c>
      <c r="C70" s="49"/>
      <c r="D70" s="37">
        <v>146.82333333333301</v>
      </c>
    </row>
    <row r="71" spans="1:4" x14ac:dyDescent="0.25">
      <c r="A71" s="19" t="s">
        <v>583</v>
      </c>
      <c r="B71" s="43" t="s">
        <v>581</v>
      </c>
      <c r="C71" s="39"/>
      <c r="D71" s="37">
        <v>149.6</v>
      </c>
    </row>
    <row r="72" spans="1:4" x14ac:dyDescent="0.25">
      <c r="A72" s="35">
        <v>100010940</v>
      </c>
      <c r="B72" s="44" t="s">
        <v>179</v>
      </c>
      <c r="C72" s="41"/>
      <c r="D72" s="37">
        <v>152.88999999999999</v>
      </c>
    </row>
    <row r="73" spans="1:4" x14ac:dyDescent="0.25">
      <c r="A73" s="19">
        <v>100010940</v>
      </c>
      <c r="B73" s="43" t="s">
        <v>179</v>
      </c>
      <c r="C73" s="39"/>
      <c r="D73" s="37">
        <v>152.893333333333</v>
      </c>
    </row>
    <row r="74" spans="1:4" x14ac:dyDescent="0.25">
      <c r="A74" s="19" t="s">
        <v>935</v>
      </c>
      <c r="B74" s="43" t="s">
        <v>936</v>
      </c>
      <c r="C74" s="39"/>
      <c r="D74" s="37">
        <v>153.09666666666701</v>
      </c>
    </row>
    <row r="75" spans="1:4" x14ac:dyDescent="0.25">
      <c r="A75" s="35">
        <v>100012904</v>
      </c>
      <c r="B75" s="44" t="s">
        <v>1017</v>
      </c>
      <c r="C75" s="41"/>
      <c r="D75" s="37">
        <v>153.1</v>
      </c>
    </row>
    <row r="76" spans="1:4" x14ac:dyDescent="0.25">
      <c r="A76" s="35">
        <v>100012657</v>
      </c>
      <c r="B76" s="44" t="s">
        <v>1018</v>
      </c>
      <c r="C76" s="41"/>
      <c r="D76" s="37">
        <v>153.11000000000001</v>
      </c>
    </row>
    <row r="77" spans="1:4" x14ac:dyDescent="0.25">
      <c r="A77" s="19">
        <v>100012657</v>
      </c>
      <c r="B77" s="57" t="s">
        <v>270</v>
      </c>
      <c r="C77" s="39"/>
      <c r="D77" s="37">
        <v>153.113333333333</v>
      </c>
    </row>
    <row r="78" spans="1:4" x14ac:dyDescent="0.25">
      <c r="A78" s="19" t="s">
        <v>580</v>
      </c>
      <c r="B78" s="43" t="s">
        <v>581</v>
      </c>
      <c r="C78" s="39" t="s">
        <v>582</v>
      </c>
      <c r="D78" s="37">
        <v>162.136666666667</v>
      </c>
    </row>
    <row r="79" spans="1:4" x14ac:dyDescent="0.25">
      <c r="A79" s="35">
        <v>100010679</v>
      </c>
      <c r="B79" s="44" t="s">
        <v>581</v>
      </c>
      <c r="C79" s="41" t="s">
        <v>582</v>
      </c>
      <c r="D79" s="37">
        <v>162.13999999999999</v>
      </c>
    </row>
    <row r="80" spans="1:4" x14ac:dyDescent="0.25">
      <c r="A80" s="35">
        <v>100012605</v>
      </c>
      <c r="B80" s="44" t="s">
        <v>805</v>
      </c>
      <c r="C80" s="41" t="s">
        <v>806</v>
      </c>
      <c r="D80" s="37">
        <v>163.35</v>
      </c>
    </row>
    <row r="81" spans="1:4" x14ac:dyDescent="0.25">
      <c r="A81" s="19" t="s">
        <v>804</v>
      </c>
      <c r="B81" s="43" t="s">
        <v>805</v>
      </c>
      <c r="C81" s="39" t="s">
        <v>806</v>
      </c>
      <c r="D81" s="37">
        <v>163.35333333333301</v>
      </c>
    </row>
    <row r="82" spans="1:4" x14ac:dyDescent="0.25">
      <c r="A82" s="35">
        <v>100012583</v>
      </c>
      <c r="B82" s="44" t="s">
        <v>249</v>
      </c>
      <c r="C82" s="41"/>
      <c r="D82" s="37">
        <v>165.02</v>
      </c>
    </row>
    <row r="83" spans="1:4" x14ac:dyDescent="0.25">
      <c r="A83" s="19">
        <v>100012583</v>
      </c>
      <c r="B83" s="43" t="s">
        <v>249</v>
      </c>
      <c r="C83" s="39"/>
      <c r="D83" s="37">
        <v>165.023333333333</v>
      </c>
    </row>
    <row r="84" spans="1:4" x14ac:dyDescent="0.25">
      <c r="A84" s="19">
        <v>100012897</v>
      </c>
      <c r="B84" s="43" t="s">
        <v>335</v>
      </c>
      <c r="C84" s="39" t="s">
        <v>336</v>
      </c>
      <c r="D84" s="37">
        <v>166.606666666667</v>
      </c>
    </row>
    <row r="85" spans="1:4" x14ac:dyDescent="0.25">
      <c r="A85" s="35">
        <v>100012897</v>
      </c>
      <c r="B85" s="44" t="s">
        <v>1019</v>
      </c>
      <c r="C85" s="41" t="s">
        <v>336</v>
      </c>
      <c r="D85" s="37">
        <v>166.61</v>
      </c>
    </row>
    <row r="86" spans="1:4" x14ac:dyDescent="0.25">
      <c r="A86" s="19" t="s">
        <v>932</v>
      </c>
      <c r="B86" s="43" t="s">
        <v>933</v>
      </c>
      <c r="C86" s="39" t="s">
        <v>934</v>
      </c>
      <c r="D86" s="37">
        <v>169.2</v>
      </c>
    </row>
    <row r="87" spans="1:4" x14ac:dyDescent="0.25">
      <c r="A87" s="19">
        <v>100012896</v>
      </c>
      <c r="B87" s="43" t="s">
        <v>334</v>
      </c>
      <c r="C87" s="39"/>
      <c r="D87" s="37">
        <v>171.92666666666699</v>
      </c>
    </row>
    <row r="88" spans="1:4" x14ac:dyDescent="0.25">
      <c r="A88" s="35">
        <v>100012896</v>
      </c>
      <c r="B88" s="44" t="s">
        <v>334</v>
      </c>
      <c r="C88" s="41"/>
      <c r="D88" s="37">
        <v>171.93</v>
      </c>
    </row>
    <row r="89" spans="1:4" x14ac:dyDescent="0.25">
      <c r="A89" s="19" t="s">
        <v>417</v>
      </c>
      <c r="B89" s="43" t="s">
        <v>415</v>
      </c>
      <c r="C89" s="39" t="s">
        <v>418</v>
      </c>
      <c r="D89" s="37">
        <v>172.536666666667</v>
      </c>
    </row>
    <row r="90" spans="1:4" x14ac:dyDescent="0.25">
      <c r="A90" s="35">
        <v>100010073</v>
      </c>
      <c r="B90" s="44" t="s">
        <v>1020</v>
      </c>
      <c r="C90" s="41" t="s">
        <v>418</v>
      </c>
      <c r="D90" s="37">
        <v>172.54</v>
      </c>
    </row>
    <row r="91" spans="1:4" x14ac:dyDescent="0.25">
      <c r="A91" s="19">
        <v>100010489</v>
      </c>
      <c r="B91" s="43" t="s">
        <v>145</v>
      </c>
      <c r="C91" s="39" t="s">
        <v>146</v>
      </c>
      <c r="D91" s="37">
        <v>175.256666666667</v>
      </c>
    </row>
    <row r="92" spans="1:4" x14ac:dyDescent="0.25">
      <c r="A92" s="35">
        <v>100010489</v>
      </c>
      <c r="B92" s="44" t="s">
        <v>145</v>
      </c>
      <c r="C92" s="41" t="s">
        <v>146</v>
      </c>
      <c r="D92" s="37">
        <v>175.26</v>
      </c>
    </row>
    <row r="93" spans="1:4" x14ac:dyDescent="0.25">
      <c r="A93" s="19">
        <v>100002253</v>
      </c>
      <c r="B93" s="43" t="s">
        <v>82</v>
      </c>
      <c r="C93" s="39"/>
      <c r="D93" s="40">
        <v>176.566666666667</v>
      </c>
    </row>
    <row r="94" spans="1:4" x14ac:dyDescent="0.25">
      <c r="A94" s="35">
        <v>100002253</v>
      </c>
      <c r="B94" s="44" t="s">
        <v>82</v>
      </c>
      <c r="C94" s="41"/>
      <c r="D94" s="37">
        <v>176.57</v>
      </c>
    </row>
    <row r="95" spans="1:4" x14ac:dyDescent="0.25">
      <c r="A95" s="19" t="s">
        <v>575</v>
      </c>
      <c r="B95" s="43" t="s">
        <v>576</v>
      </c>
      <c r="C95" s="39" t="s">
        <v>577</v>
      </c>
      <c r="D95" s="37">
        <v>184.63</v>
      </c>
    </row>
    <row r="96" spans="1:4" x14ac:dyDescent="0.25">
      <c r="A96" s="35">
        <v>100013066</v>
      </c>
      <c r="B96" s="44" t="s">
        <v>1021</v>
      </c>
      <c r="C96" s="41"/>
      <c r="D96" s="37">
        <v>186.48</v>
      </c>
    </row>
    <row r="97" spans="1:4" x14ac:dyDescent="0.25">
      <c r="A97" s="19">
        <v>100013066</v>
      </c>
      <c r="B97" s="43" t="s">
        <v>358</v>
      </c>
      <c r="C97" s="39"/>
      <c r="D97" s="55">
        <v>186.48333333333301</v>
      </c>
    </row>
    <row r="98" spans="1:4" x14ac:dyDescent="0.25">
      <c r="A98" s="35">
        <v>100012885</v>
      </c>
      <c r="B98" s="44" t="s">
        <v>327</v>
      </c>
      <c r="C98" s="41"/>
      <c r="D98" s="37">
        <v>195.33</v>
      </c>
    </row>
    <row r="99" spans="1:4" x14ac:dyDescent="0.25">
      <c r="A99" s="19">
        <v>100012885</v>
      </c>
      <c r="B99" s="43" t="s">
        <v>327</v>
      </c>
      <c r="C99" s="39"/>
      <c r="D99" s="37">
        <v>195.333333333333</v>
      </c>
    </row>
    <row r="100" spans="1:4" x14ac:dyDescent="0.25">
      <c r="A100" s="19" t="s">
        <v>525</v>
      </c>
      <c r="B100" s="43" t="s">
        <v>519</v>
      </c>
      <c r="C100" s="65" t="s">
        <v>526</v>
      </c>
      <c r="D100" s="37">
        <v>199.33</v>
      </c>
    </row>
    <row r="101" spans="1:4" x14ac:dyDescent="0.25">
      <c r="A101" s="35">
        <v>100012536</v>
      </c>
      <c r="B101" s="44" t="s">
        <v>1022</v>
      </c>
      <c r="C101" s="41"/>
      <c r="D101" s="37">
        <v>210.63</v>
      </c>
    </row>
    <row r="102" spans="1:4" x14ac:dyDescent="0.25">
      <c r="A102" s="19">
        <v>100010811</v>
      </c>
      <c r="B102" s="43" t="s">
        <v>168</v>
      </c>
      <c r="C102" s="39"/>
      <c r="D102" s="37">
        <v>211.61666666666699</v>
      </c>
    </row>
    <row r="103" spans="1:4" x14ac:dyDescent="0.25">
      <c r="A103" s="35">
        <v>100010811</v>
      </c>
      <c r="B103" s="44" t="s">
        <v>168</v>
      </c>
      <c r="C103" s="41"/>
      <c r="D103" s="37">
        <v>211.62</v>
      </c>
    </row>
    <row r="104" spans="1:4" x14ac:dyDescent="0.25">
      <c r="A104" s="35">
        <v>100010135</v>
      </c>
      <c r="B104" s="44" t="s">
        <v>125</v>
      </c>
      <c r="C104" s="41"/>
      <c r="D104" s="37">
        <v>217.23</v>
      </c>
    </row>
    <row r="105" spans="1:4" x14ac:dyDescent="0.25">
      <c r="A105" s="19">
        <v>100010135</v>
      </c>
      <c r="B105" s="43" t="s">
        <v>125</v>
      </c>
      <c r="C105" s="49"/>
      <c r="D105" s="37">
        <v>217.23333333333301</v>
      </c>
    </row>
    <row r="106" spans="1:4" x14ac:dyDescent="0.25">
      <c r="A106" s="35">
        <v>100012817</v>
      </c>
      <c r="B106" s="44" t="s">
        <v>300</v>
      </c>
      <c r="C106" s="41"/>
      <c r="D106" s="37">
        <v>219.92</v>
      </c>
    </row>
    <row r="107" spans="1:4" x14ac:dyDescent="0.25">
      <c r="A107" s="35">
        <v>100010776</v>
      </c>
      <c r="B107" s="44" t="s">
        <v>1023</v>
      </c>
      <c r="C107" s="41" t="s">
        <v>604</v>
      </c>
      <c r="D107" s="37">
        <v>222.7</v>
      </c>
    </row>
    <row r="108" spans="1:4" x14ac:dyDescent="0.25">
      <c r="A108" s="19" t="s">
        <v>602</v>
      </c>
      <c r="B108" s="43" t="s">
        <v>603</v>
      </c>
      <c r="C108" s="39" t="s">
        <v>604</v>
      </c>
      <c r="D108" s="37">
        <v>222.70333333333301</v>
      </c>
    </row>
    <row r="109" spans="1:4" x14ac:dyDescent="0.25">
      <c r="A109" s="19">
        <v>100012523</v>
      </c>
      <c r="B109" s="43" t="s">
        <v>235</v>
      </c>
      <c r="C109" s="39"/>
      <c r="D109" s="37">
        <v>230.47</v>
      </c>
    </row>
    <row r="110" spans="1:4" x14ac:dyDescent="0.25">
      <c r="A110" s="19">
        <v>100012058</v>
      </c>
      <c r="B110" s="43" t="s">
        <v>198</v>
      </c>
      <c r="C110" s="39"/>
      <c r="D110" s="37">
        <v>236.24</v>
      </c>
    </row>
    <row r="111" spans="1:4" x14ac:dyDescent="0.25">
      <c r="A111" s="19">
        <v>100012838</v>
      </c>
      <c r="B111" s="43" t="s">
        <v>306</v>
      </c>
      <c r="C111" s="39"/>
      <c r="D111" s="37">
        <v>238.62</v>
      </c>
    </row>
    <row r="112" spans="1:4" x14ac:dyDescent="0.25">
      <c r="A112" s="35">
        <v>100012659</v>
      </c>
      <c r="B112" s="44" t="s">
        <v>1024</v>
      </c>
      <c r="C112" s="41"/>
      <c r="D112" s="37">
        <v>242.98</v>
      </c>
    </row>
    <row r="113" spans="1:4" x14ac:dyDescent="0.25">
      <c r="A113" s="19">
        <v>100012659</v>
      </c>
      <c r="B113" s="43" t="s">
        <v>272</v>
      </c>
      <c r="C113" s="39"/>
      <c r="D113" s="37">
        <v>242.98333333333301</v>
      </c>
    </row>
    <row r="114" spans="1:4" x14ac:dyDescent="0.25">
      <c r="A114" s="19">
        <v>100012245</v>
      </c>
      <c r="B114" s="43" t="s">
        <v>201</v>
      </c>
      <c r="C114" s="39"/>
      <c r="D114" s="37">
        <v>244.43</v>
      </c>
    </row>
    <row r="115" spans="1:4" x14ac:dyDescent="0.25">
      <c r="A115" s="19">
        <v>100002357</v>
      </c>
      <c r="B115" s="43" t="s">
        <v>108</v>
      </c>
      <c r="C115" s="39"/>
      <c r="D115" s="37">
        <v>245.01</v>
      </c>
    </row>
    <row r="116" spans="1:4" x14ac:dyDescent="0.25">
      <c r="A116" s="35">
        <v>100002369</v>
      </c>
      <c r="B116" s="44" t="s">
        <v>1025</v>
      </c>
      <c r="C116" s="41" t="s">
        <v>1026</v>
      </c>
      <c r="D116" s="37">
        <v>245.39</v>
      </c>
    </row>
    <row r="117" spans="1:4" x14ac:dyDescent="0.25">
      <c r="A117" s="19">
        <v>100011994</v>
      </c>
      <c r="B117" s="43" t="s">
        <v>193</v>
      </c>
      <c r="C117" s="49"/>
      <c r="D117" s="37">
        <v>248.56</v>
      </c>
    </row>
    <row r="118" spans="1:4" x14ac:dyDescent="0.25">
      <c r="A118" s="35">
        <v>100010260</v>
      </c>
      <c r="B118" s="44" t="s">
        <v>1027</v>
      </c>
      <c r="C118" s="41"/>
      <c r="D118" s="37">
        <v>249.79</v>
      </c>
    </row>
    <row r="119" spans="1:4" x14ac:dyDescent="0.25">
      <c r="A119" s="19">
        <v>100010013</v>
      </c>
      <c r="B119" s="43" t="s">
        <v>111</v>
      </c>
      <c r="C119" s="39"/>
      <c r="D119" s="37">
        <v>249.9</v>
      </c>
    </row>
    <row r="120" spans="1:4" x14ac:dyDescent="0.25">
      <c r="A120" s="35">
        <v>100012658</v>
      </c>
      <c r="B120" s="44" t="s">
        <v>1028</v>
      </c>
      <c r="C120" s="41"/>
      <c r="D120" s="37">
        <v>253.07</v>
      </c>
    </row>
    <row r="121" spans="1:4" x14ac:dyDescent="0.25">
      <c r="A121" s="19" t="s">
        <v>792</v>
      </c>
      <c r="B121" s="43" t="s">
        <v>793</v>
      </c>
      <c r="C121" s="39"/>
      <c r="D121" s="37">
        <v>253.5</v>
      </c>
    </row>
    <row r="122" spans="1:4" x14ac:dyDescent="0.25">
      <c r="A122" s="35">
        <v>100012520</v>
      </c>
      <c r="B122" s="44" t="s">
        <v>234</v>
      </c>
      <c r="C122" s="41"/>
      <c r="D122" s="37">
        <v>261.23</v>
      </c>
    </row>
    <row r="123" spans="1:4" x14ac:dyDescent="0.25">
      <c r="A123" s="35">
        <v>100002270</v>
      </c>
      <c r="B123" s="44" t="s">
        <v>84</v>
      </c>
      <c r="C123" s="41"/>
      <c r="D123" s="37">
        <v>265.11</v>
      </c>
    </row>
    <row r="124" spans="1:4" x14ac:dyDescent="0.25">
      <c r="A124" s="19">
        <v>100002270</v>
      </c>
      <c r="B124" s="43" t="s">
        <v>84</v>
      </c>
      <c r="C124" s="39"/>
      <c r="D124" s="40">
        <v>265.113333333333</v>
      </c>
    </row>
    <row r="125" spans="1:4" x14ac:dyDescent="0.25">
      <c r="A125" s="19" t="s">
        <v>794</v>
      </c>
      <c r="B125" s="43" t="s">
        <v>793</v>
      </c>
      <c r="C125" s="39"/>
      <c r="D125" s="37">
        <v>271.68</v>
      </c>
    </row>
    <row r="126" spans="1:4" x14ac:dyDescent="0.25">
      <c r="A126" s="35">
        <v>100010805</v>
      </c>
      <c r="B126" s="44" t="s">
        <v>166</v>
      </c>
      <c r="C126" s="41"/>
      <c r="D126" s="37">
        <v>273.85000000000002</v>
      </c>
    </row>
    <row r="127" spans="1:4" x14ac:dyDescent="0.25">
      <c r="A127" s="19">
        <v>100010805</v>
      </c>
      <c r="B127" s="43" t="s">
        <v>166</v>
      </c>
      <c r="C127" s="39"/>
      <c r="D127" s="37">
        <v>273.85333333333301</v>
      </c>
    </row>
    <row r="128" spans="1:4" x14ac:dyDescent="0.25">
      <c r="A128" s="19">
        <v>100012895</v>
      </c>
      <c r="B128" s="43" t="s">
        <v>333</v>
      </c>
      <c r="C128" s="39"/>
      <c r="D128" s="37">
        <v>274.35666666666702</v>
      </c>
    </row>
    <row r="129" spans="1:4" x14ac:dyDescent="0.25">
      <c r="A129" s="35">
        <v>100012895</v>
      </c>
      <c r="B129" s="44" t="s">
        <v>1029</v>
      </c>
      <c r="C129" s="41"/>
      <c r="D129" s="37">
        <v>274.36</v>
      </c>
    </row>
    <row r="130" spans="1:4" x14ac:dyDescent="0.25">
      <c r="A130" s="19">
        <v>100012891</v>
      </c>
      <c r="B130" s="43" t="s">
        <v>330</v>
      </c>
      <c r="C130" s="39"/>
      <c r="D130" s="37">
        <v>277.63</v>
      </c>
    </row>
    <row r="131" spans="1:4" x14ac:dyDescent="0.25">
      <c r="A131" s="19">
        <v>100013062</v>
      </c>
      <c r="B131" s="43" t="s">
        <v>357</v>
      </c>
      <c r="C131" s="39"/>
      <c r="D131" s="37">
        <v>278.30666666666701</v>
      </c>
    </row>
    <row r="132" spans="1:4" x14ac:dyDescent="0.25">
      <c r="A132" s="35">
        <v>100013062</v>
      </c>
      <c r="B132" s="44" t="s">
        <v>357</v>
      </c>
      <c r="C132" s="41"/>
      <c r="D132" s="37">
        <v>278.31</v>
      </c>
    </row>
    <row r="133" spans="1:4" x14ac:dyDescent="0.25">
      <c r="A133" s="35">
        <v>100012461</v>
      </c>
      <c r="B133" s="44" t="s">
        <v>1030</v>
      </c>
      <c r="C133" s="41"/>
      <c r="D133" s="37">
        <v>279.27999999999997</v>
      </c>
    </row>
    <row r="134" spans="1:4" x14ac:dyDescent="0.25">
      <c r="A134" s="19" t="s">
        <v>818</v>
      </c>
      <c r="B134" s="43" t="s">
        <v>819</v>
      </c>
      <c r="C134" s="39" t="s">
        <v>820</v>
      </c>
      <c r="D134" s="37">
        <v>279.566666666667</v>
      </c>
    </row>
    <row r="135" spans="1:4" x14ac:dyDescent="0.25">
      <c r="A135" s="35">
        <v>100012614</v>
      </c>
      <c r="B135" s="44" t="s">
        <v>819</v>
      </c>
      <c r="C135" s="41" t="s">
        <v>820</v>
      </c>
      <c r="D135" s="37">
        <v>279.57</v>
      </c>
    </row>
    <row r="136" spans="1:4" x14ac:dyDescent="0.25">
      <c r="A136" s="35">
        <v>100010842</v>
      </c>
      <c r="B136" s="44" t="s">
        <v>1031</v>
      </c>
      <c r="C136" s="41" t="s">
        <v>1032</v>
      </c>
      <c r="D136" s="37">
        <v>286.66000000000003</v>
      </c>
    </row>
    <row r="137" spans="1:4" x14ac:dyDescent="0.25">
      <c r="A137" s="19">
        <v>100002346</v>
      </c>
      <c r="B137" s="43" t="s">
        <v>105</v>
      </c>
      <c r="C137" s="39"/>
      <c r="D137" s="37">
        <v>289.74</v>
      </c>
    </row>
    <row r="138" spans="1:4" x14ac:dyDescent="0.25">
      <c r="A138" s="35">
        <v>100010250</v>
      </c>
      <c r="B138" s="44" t="s">
        <v>519</v>
      </c>
      <c r="C138" s="41" t="s">
        <v>524</v>
      </c>
      <c r="D138" s="55">
        <v>290.93</v>
      </c>
    </row>
    <row r="139" spans="1:4" x14ac:dyDescent="0.25">
      <c r="A139" s="19" t="s">
        <v>523</v>
      </c>
      <c r="B139" s="43" t="s">
        <v>519</v>
      </c>
      <c r="C139" s="39" t="s">
        <v>524</v>
      </c>
      <c r="D139" s="37">
        <v>290.933333333333</v>
      </c>
    </row>
    <row r="140" spans="1:4" x14ac:dyDescent="0.25">
      <c r="A140" s="19">
        <v>100012916</v>
      </c>
      <c r="B140" s="43" t="s">
        <v>349</v>
      </c>
      <c r="C140" s="39" t="s">
        <v>350</v>
      </c>
      <c r="D140" s="37">
        <v>293.40666666666698</v>
      </c>
    </row>
    <row r="141" spans="1:4" x14ac:dyDescent="0.25">
      <c r="A141" s="35">
        <v>100012916</v>
      </c>
      <c r="B141" s="44" t="s">
        <v>1033</v>
      </c>
      <c r="C141" s="41" t="s">
        <v>350</v>
      </c>
      <c r="D141" s="55">
        <v>293.41000000000003</v>
      </c>
    </row>
    <row r="142" spans="1:4" x14ac:dyDescent="0.25">
      <c r="A142" s="35">
        <v>100012843</v>
      </c>
      <c r="B142" s="44" t="s">
        <v>1034</v>
      </c>
      <c r="C142" s="41"/>
      <c r="D142" s="37">
        <v>300.93</v>
      </c>
    </row>
    <row r="143" spans="1:4" x14ac:dyDescent="0.25">
      <c r="A143" s="19">
        <v>100012843</v>
      </c>
      <c r="B143" s="43" t="s">
        <v>308</v>
      </c>
      <c r="C143" s="39"/>
      <c r="D143" s="37">
        <v>300.933333333333</v>
      </c>
    </row>
    <row r="144" spans="1:4" x14ac:dyDescent="0.25">
      <c r="A144" s="35">
        <v>100010837</v>
      </c>
      <c r="B144" s="44" t="s">
        <v>1035</v>
      </c>
      <c r="C144" s="41"/>
      <c r="D144" s="37">
        <v>306.7</v>
      </c>
    </row>
    <row r="145" spans="1:4" x14ac:dyDescent="0.25">
      <c r="A145" s="19">
        <v>100010837</v>
      </c>
      <c r="B145" s="43" t="s">
        <v>171</v>
      </c>
      <c r="C145" s="39"/>
      <c r="D145" s="37">
        <v>306.70333333333298</v>
      </c>
    </row>
    <row r="146" spans="1:4" x14ac:dyDescent="0.25">
      <c r="A146" s="19" t="s">
        <v>488</v>
      </c>
      <c r="B146" s="43" t="s">
        <v>489</v>
      </c>
      <c r="C146" s="39"/>
      <c r="D146" s="37">
        <v>307.89</v>
      </c>
    </row>
    <row r="147" spans="1:4" x14ac:dyDescent="0.25">
      <c r="A147" s="19">
        <v>100012851</v>
      </c>
      <c r="B147" s="43" t="s">
        <v>316</v>
      </c>
      <c r="C147" s="39"/>
      <c r="D147" s="37">
        <v>308</v>
      </c>
    </row>
    <row r="148" spans="1:4" x14ac:dyDescent="0.25">
      <c r="A148" s="35">
        <v>100012883</v>
      </c>
      <c r="B148" s="44" t="s">
        <v>1036</v>
      </c>
      <c r="C148" s="41"/>
      <c r="D148" s="37">
        <v>309.33</v>
      </c>
    </row>
    <row r="149" spans="1:4" x14ac:dyDescent="0.25">
      <c r="A149" s="19">
        <v>100012883</v>
      </c>
      <c r="B149" s="43" t="s">
        <v>326</v>
      </c>
      <c r="C149" s="39"/>
      <c r="D149" s="37">
        <v>309.33333333333297</v>
      </c>
    </row>
    <row r="150" spans="1:4" x14ac:dyDescent="0.25">
      <c r="A150" s="35">
        <v>100002265</v>
      </c>
      <c r="B150" s="44" t="s">
        <v>83</v>
      </c>
      <c r="C150" s="41"/>
      <c r="D150" s="37">
        <v>316.32</v>
      </c>
    </row>
    <row r="151" spans="1:4" x14ac:dyDescent="0.25">
      <c r="A151" s="35">
        <v>100013111</v>
      </c>
      <c r="B151" s="44" t="s">
        <v>363</v>
      </c>
      <c r="C151" s="41"/>
      <c r="D151" s="37">
        <v>316.77</v>
      </c>
    </row>
    <row r="152" spans="1:4" x14ac:dyDescent="0.25">
      <c r="A152" s="19">
        <v>100013111</v>
      </c>
      <c r="B152" s="43" t="s">
        <v>363</v>
      </c>
      <c r="C152" s="39"/>
      <c r="D152" s="37">
        <v>316.77333333333303</v>
      </c>
    </row>
    <row r="153" spans="1:4" x14ac:dyDescent="0.25">
      <c r="A153" s="35">
        <v>100012746</v>
      </c>
      <c r="B153" s="44" t="s">
        <v>276</v>
      </c>
      <c r="C153" s="41" t="s">
        <v>277</v>
      </c>
      <c r="D153" s="37">
        <v>318.33</v>
      </c>
    </row>
    <row r="154" spans="1:4" x14ac:dyDescent="0.25">
      <c r="A154" s="19">
        <v>100012746</v>
      </c>
      <c r="B154" s="43" t="s">
        <v>276</v>
      </c>
      <c r="C154" s="58" t="s">
        <v>277</v>
      </c>
      <c r="D154" s="37">
        <v>318.33333333333297</v>
      </c>
    </row>
    <row r="155" spans="1:4" x14ac:dyDescent="0.25">
      <c r="A155" s="19">
        <v>100010037</v>
      </c>
      <c r="B155" s="43" t="s">
        <v>113</v>
      </c>
      <c r="C155" s="39"/>
      <c r="D155" s="37">
        <v>321.41666666666703</v>
      </c>
    </row>
    <row r="156" spans="1:4" x14ac:dyDescent="0.25">
      <c r="A156" s="35">
        <v>100010037</v>
      </c>
      <c r="B156" s="44" t="s">
        <v>113</v>
      </c>
      <c r="C156" s="41"/>
      <c r="D156" s="37">
        <v>321.42</v>
      </c>
    </row>
    <row r="157" spans="1:4" x14ac:dyDescent="0.25">
      <c r="A157" s="35">
        <v>100010332</v>
      </c>
      <c r="B157" s="44" t="s">
        <v>533</v>
      </c>
      <c r="C157" s="41" t="s">
        <v>1037</v>
      </c>
      <c r="D157" s="37">
        <v>322.20999999999998</v>
      </c>
    </row>
    <row r="158" spans="1:4" x14ac:dyDescent="0.25">
      <c r="A158" s="19" t="s">
        <v>539</v>
      </c>
      <c r="B158" s="43" t="s">
        <v>533</v>
      </c>
      <c r="C158" s="39" t="s">
        <v>540</v>
      </c>
      <c r="D158" s="37">
        <v>322.21333333333303</v>
      </c>
    </row>
    <row r="159" spans="1:4" x14ac:dyDescent="0.25">
      <c r="A159" s="19">
        <v>100012637</v>
      </c>
      <c r="B159" s="43" t="s">
        <v>262</v>
      </c>
      <c r="C159" s="39"/>
      <c r="D159" s="37">
        <v>325.02666666666698</v>
      </c>
    </row>
    <row r="160" spans="1:4" x14ac:dyDescent="0.25">
      <c r="A160" s="35">
        <v>100012637</v>
      </c>
      <c r="B160" s="44" t="s">
        <v>262</v>
      </c>
      <c r="C160" s="41"/>
      <c r="D160" s="37">
        <v>325.02999999999997</v>
      </c>
    </row>
    <row r="161" spans="1:4" x14ac:dyDescent="0.25">
      <c r="A161" s="19">
        <v>100012324</v>
      </c>
      <c r="B161" s="43" t="s">
        <v>215</v>
      </c>
      <c r="C161" s="39"/>
      <c r="D161" s="37">
        <v>331.066666666667</v>
      </c>
    </row>
    <row r="162" spans="1:4" x14ac:dyDescent="0.25">
      <c r="A162" s="35">
        <v>100012324</v>
      </c>
      <c r="B162" s="44" t="s">
        <v>215</v>
      </c>
      <c r="C162" s="41"/>
      <c r="D162" s="37">
        <v>331.07</v>
      </c>
    </row>
    <row r="163" spans="1:4" x14ac:dyDescent="0.25">
      <c r="A163" s="19">
        <v>100010473</v>
      </c>
      <c r="B163" s="43" t="s">
        <v>139</v>
      </c>
      <c r="C163" s="39"/>
      <c r="D163" s="37">
        <v>334.66666666666703</v>
      </c>
    </row>
    <row r="164" spans="1:4" x14ac:dyDescent="0.25">
      <c r="A164" s="35">
        <v>100010473</v>
      </c>
      <c r="B164" s="44" t="s">
        <v>139</v>
      </c>
      <c r="C164" s="41"/>
      <c r="D164" s="37">
        <v>334.67</v>
      </c>
    </row>
    <row r="165" spans="1:4" x14ac:dyDescent="0.25">
      <c r="A165" s="19">
        <v>100012598</v>
      </c>
      <c r="B165" s="43" t="s">
        <v>251</v>
      </c>
      <c r="C165" s="39"/>
      <c r="D165" s="37">
        <v>340.06</v>
      </c>
    </row>
    <row r="166" spans="1:4" x14ac:dyDescent="0.25">
      <c r="A166" s="19" t="s">
        <v>731</v>
      </c>
      <c r="B166" s="43" t="s">
        <v>732</v>
      </c>
      <c r="C166" s="39" t="s">
        <v>733</v>
      </c>
      <c r="D166" s="37">
        <v>346.98</v>
      </c>
    </row>
    <row r="167" spans="1:4" ht="30" x14ac:dyDescent="0.25">
      <c r="A167" s="19">
        <v>100012287</v>
      </c>
      <c r="B167" s="54" t="s">
        <v>210</v>
      </c>
      <c r="C167" s="39"/>
      <c r="D167" s="37">
        <v>350.32666666666699</v>
      </c>
    </row>
    <row r="168" spans="1:4" x14ac:dyDescent="0.25">
      <c r="A168" s="35">
        <v>100012287</v>
      </c>
      <c r="B168" s="44" t="s">
        <v>1038</v>
      </c>
      <c r="C168" s="41"/>
      <c r="D168" s="37">
        <v>350.33</v>
      </c>
    </row>
    <row r="169" spans="1:4" x14ac:dyDescent="0.25">
      <c r="A169" s="35">
        <v>100010069</v>
      </c>
      <c r="B169" s="44" t="s">
        <v>411</v>
      </c>
      <c r="C169" s="41"/>
      <c r="D169" s="37">
        <v>350.71</v>
      </c>
    </row>
    <row r="170" spans="1:4" x14ac:dyDescent="0.25">
      <c r="A170" s="19" t="s">
        <v>412</v>
      </c>
      <c r="B170" s="43" t="s">
        <v>413</v>
      </c>
      <c r="C170" s="39"/>
      <c r="D170" s="37">
        <v>350.71</v>
      </c>
    </row>
    <row r="171" spans="1:4" x14ac:dyDescent="0.25">
      <c r="A171" s="35">
        <v>100012487</v>
      </c>
      <c r="B171" s="44" t="s">
        <v>228</v>
      </c>
      <c r="C171" s="41" t="s">
        <v>1039</v>
      </c>
      <c r="D171" s="37">
        <v>358.59</v>
      </c>
    </row>
    <row r="172" spans="1:4" x14ac:dyDescent="0.25">
      <c r="A172" s="35">
        <v>100011324</v>
      </c>
      <c r="B172" s="44" t="s">
        <v>182</v>
      </c>
      <c r="C172" s="41"/>
      <c r="D172" s="37">
        <v>366.61</v>
      </c>
    </row>
    <row r="173" spans="1:4" x14ac:dyDescent="0.25">
      <c r="A173" s="19">
        <v>100011324</v>
      </c>
      <c r="B173" s="43" t="s">
        <v>182</v>
      </c>
      <c r="C173" s="39"/>
      <c r="D173" s="37">
        <v>366.613333333333</v>
      </c>
    </row>
    <row r="174" spans="1:4" x14ac:dyDescent="0.25">
      <c r="A174" s="35">
        <v>100012487</v>
      </c>
      <c r="B174" s="44" t="s">
        <v>228</v>
      </c>
      <c r="C174" s="41" t="s">
        <v>1040</v>
      </c>
      <c r="D174" s="37">
        <v>372.66</v>
      </c>
    </row>
    <row r="175" spans="1:4" x14ac:dyDescent="0.25">
      <c r="A175" s="35">
        <v>100010483</v>
      </c>
      <c r="B175" s="44" t="s">
        <v>141</v>
      </c>
      <c r="C175" s="41" t="s">
        <v>142</v>
      </c>
      <c r="D175" s="37">
        <v>375.11</v>
      </c>
    </row>
    <row r="176" spans="1:4" x14ac:dyDescent="0.25">
      <c r="A176" s="19" t="s">
        <v>717</v>
      </c>
      <c r="B176" s="43" t="s">
        <v>715</v>
      </c>
      <c r="C176" s="39" t="s">
        <v>718</v>
      </c>
      <c r="D176" s="37">
        <v>377.16</v>
      </c>
    </row>
    <row r="177" spans="1:4" x14ac:dyDescent="0.25">
      <c r="A177" s="19">
        <v>100010059</v>
      </c>
      <c r="B177" s="43" t="s">
        <v>114</v>
      </c>
      <c r="C177" s="39"/>
      <c r="D177" s="37">
        <v>379.9</v>
      </c>
    </row>
    <row r="178" spans="1:4" x14ac:dyDescent="0.25">
      <c r="A178" s="35"/>
      <c r="B178" s="44"/>
      <c r="C178" s="41"/>
      <c r="D178" s="37"/>
    </row>
    <row r="179" spans="1:4" x14ac:dyDescent="0.25">
      <c r="A179" s="35">
        <v>100012307</v>
      </c>
      <c r="B179" s="44" t="s">
        <v>715</v>
      </c>
      <c r="C179" s="41" t="s">
        <v>722</v>
      </c>
      <c r="D179" s="37">
        <v>394.77</v>
      </c>
    </row>
    <row r="180" spans="1:4" x14ac:dyDescent="0.25">
      <c r="A180" s="19" t="s">
        <v>721</v>
      </c>
      <c r="B180" s="43" t="s">
        <v>715</v>
      </c>
      <c r="C180" s="39" t="s">
        <v>722</v>
      </c>
      <c r="D180" s="37">
        <v>394.77333333333303</v>
      </c>
    </row>
    <row r="181" spans="1:4" x14ac:dyDescent="0.25">
      <c r="A181" s="35">
        <v>100010101</v>
      </c>
      <c r="B181" s="44" t="s">
        <v>1041</v>
      </c>
      <c r="C181" s="41"/>
      <c r="D181" s="37">
        <v>406.98</v>
      </c>
    </row>
    <row r="182" spans="1:4" x14ac:dyDescent="0.25">
      <c r="A182" s="35">
        <v>100012272</v>
      </c>
      <c r="B182" s="44" t="s">
        <v>1042</v>
      </c>
      <c r="C182" s="41"/>
      <c r="D182" s="37">
        <v>409.67</v>
      </c>
    </row>
    <row r="183" spans="1:4" x14ac:dyDescent="0.25">
      <c r="A183" s="19">
        <v>100012272</v>
      </c>
      <c r="B183" s="43" t="s">
        <v>1043</v>
      </c>
      <c r="C183" s="39"/>
      <c r="D183" s="37">
        <v>409.67333333333301</v>
      </c>
    </row>
    <row r="184" spans="1:4" x14ac:dyDescent="0.25">
      <c r="A184" s="35">
        <v>100012003</v>
      </c>
      <c r="B184" s="44" t="s">
        <v>194</v>
      </c>
      <c r="C184" s="41"/>
      <c r="D184" s="37">
        <v>413.61</v>
      </c>
    </row>
    <row r="185" spans="1:4" x14ac:dyDescent="0.25">
      <c r="A185" s="19">
        <v>100012003</v>
      </c>
      <c r="B185" s="43" t="s">
        <v>194</v>
      </c>
      <c r="C185" s="39"/>
      <c r="D185" s="37">
        <v>413.613333333333</v>
      </c>
    </row>
    <row r="186" spans="1:4" x14ac:dyDescent="0.25">
      <c r="A186" s="35">
        <v>100012465</v>
      </c>
      <c r="B186" s="44" t="s">
        <v>732</v>
      </c>
      <c r="C186" s="41" t="s">
        <v>741</v>
      </c>
      <c r="D186" s="37">
        <v>414.14</v>
      </c>
    </row>
    <row r="187" spans="1:4" x14ac:dyDescent="0.25">
      <c r="A187" s="19" t="s">
        <v>740</v>
      </c>
      <c r="B187" s="43" t="s">
        <v>732</v>
      </c>
      <c r="C187" s="39" t="s">
        <v>741</v>
      </c>
      <c r="D187" s="37">
        <v>414.14333333333298</v>
      </c>
    </row>
    <row r="188" spans="1:4" x14ac:dyDescent="0.25">
      <c r="A188" s="19">
        <v>100010525</v>
      </c>
      <c r="B188" s="43" t="s">
        <v>147</v>
      </c>
      <c r="C188" s="39"/>
      <c r="D188" s="37">
        <v>414.75</v>
      </c>
    </row>
    <row r="189" spans="1:4" x14ac:dyDescent="0.25">
      <c r="A189" s="35"/>
      <c r="B189" s="44"/>
      <c r="C189" s="41"/>
      <c r="D189" s="37"/>
    </row>
    <row r="190" spans="1:4" x14ac:dyDescent="0.25">
      <c r="A190" s="19" t="s">
        <v>521</v>
      </c>
      <c r="B190" s="43" t="s">
        <v>519</v>
      </c>
      <c r="C190" s="65" t="s">
        <v>522</v>
      </c>
      <c r="D190" s="37">
        <v>417.26666666666699</v>
      </c>
    </row>
    <row r="191" spans="1:4" x14ac:dyDescent="0.25">
      <c r="A191" s="35">
        <v>100010250</v>
      </c>
      <c r="B191" s="44" t="s">
        <v>519</v>
      </c>
      <c r="C191" s="41" t="s">
        <v>1044</v>
      </c>
      <c r="D191" s="37">
        <v>417.27</v>
      </c>
    </row>
    <row r="192" spans="1:4" x14ac:dyDescent="0.25">
      <c r="A192" s="19">
        <v>100012741</v>
      </c>
      <c r="B192" s="43" t="s">
        <v>274</v>
      </c>
      <c r="C192" s="39"/>
      <c r="D192" s="37">
        <v>421.55666666666701</v>
      </c>
    </row>
    <row r="193" spans="1:4" x14ac:dyDescent="0.25">
      <c r="A193" s="35">
        <v>100012741</v>
      </c>
      <c r="B193" s="44" t="s">
        <v>1045</v>
      </c>
      <c r="C193" s="41"/>
      <c r="D193" s="37">
        <v>421.56</v>
      </c>
    </row>
    <row r="194" spans="1:4" x14ac:dyDescent="0.25">
      <c r="A194" s="19">
        <v>100012246</v>
      </c>
      <c r="B194" s="43" t="s">
        <v>202</v>
      </c>
      <c r="C194" s="39" t="s">
        <v>203</v>
      </c>
      <c r="D194" s="37">
        <v>428.066666666667</v>
      </c>
    </row>
    <row r="195" spans="1:4" x14ac:dyDescent="0.25">
      <c r="A195" s="35">
        <v>100012246</v>
      </c>
      <c r="B195" s="44" t="s">
        <v>202</v>
      </c>
      <c r="C195" s="41" t="s">
        <v>203</v>
      </c>
      <c r="D195" s="37">
        <v>428.07</v>
      </c>
    </row>
    <row r="196" spans="1:4" x14ac:dyDescent="0.25">
      <c r="A196" s="35">
        <v>100010842</v>
      </c>
      <c r="B196" s="44" t="s">
        <v>1031</v>
      </c>
      <c r="C196" s="41" t="s">
        <v>1046</v>
      </c>
      <c r="D196" s="37">
        <v>434.96</v>
      </c>
    </row>
    <row r="197" spans="1:4" x14ac:dyDescent="0.25">
      <c r="A197" s="35">
        <v>100011698</v>
      </c>
      <c r="B197" s="44" t="s">
        <v>644</v>
      </c>
      <c r="C197" s="41"/>
      <c r="D197" s="37">
        <v>438.03</v>
      </c>
    </row>
    <row r="198" spans="1:4" x14ac:dyDescent="0.25">
      <c r="A198" s="19" t="s">
        <v>643</v>
      </c>
      <c r="B198" s="43" t="s">
        <v>644</v>
      </c>
      <c r="C198" s="39"/>
      <c r="D198" s="37">
        <v>438.03333333333302</v>
      </c>
    </row>
    <row r="199" spans="1:4" x14ac:dyDescent="0.25">
      <c r="A199" s="35">
        <v>100002350</v>
      </c>
      <c r="B199" s="44" t="s">
        <v>406</v>
      </c>
      <c r="C199" s="41" t="s">
        <v>409</v>
      </c>
      <c r="D199" s="37">
        <v>442.65</v>
      </c>
    </row>
    <row r="200" spans="1:4" x14ac:dyDescent="0.25">
      <c r="A200" s="19" t="s">
        <v>408</v>
      </c>
      <c r="B200" s="43" t="s">
        <v>406</v>
      </c>
      <c r="C200" s="39" t="s">
        <v>409</v>
      </c>
      <c r="D200" s="37">
        <v>442.65333333333302</v>
      </c>
    </row>
    <row r="201" spans="1:4" x14ac:dyDescent="0.25">
      <c r="A201" s="19" t="s">
        <v>535</v>
      </c>
      <c r="B201" s="43" t="s">
        <v>533</v>
      </c>
      <c r="C201" s="39" t="s">
        <v>536</v>
      </c>
      <c r="D201" s="37">
        <v>445.92666666666702</v>
      </c>
    </row>
    <row r="202" spans="1:4" x14ac:dyDescent="0.25">
      <c r="A202" s="35">
        <v>100010332</v>
      </c>
      <c r="B202" s="44" t="s">
        <v>533</v>
      </c>
      <c r="C202" s="41" t="s">
        <v>536</v>
      </c>
      <c r="D202" s="37">
        <v>445.93</v>
      </c>
    </row>
    <row r="203" spans="1:4" x14ac:dyDescent="0.25">
      <c r="A203" s="19">
        <v>100012489</v>
      </c>
      <c r="B203" s="43" t="s">
        <v>229</v>
      </c>
      <c r="C203" s="39" t="s">
        <v>230</v>
      </c>
      <c r="D203" s="37">
        <v>446.51</v>
      </c>
    </row>
    <row r="204" spans="1:4" x14ac:dyDescent="0.25">
      <c r="A204" s="35"/>
      <c r="B204" s="44"/>
      <c r="C204" s="41"/>
      <c r="D204" s="37"/>
    </row>
    <row r="205" spans="1:4" x14ac:dyDescent="0.25">
      <c r="A205" s="19" t="s">
        <v>594</v>
      </c>
      <c r="B205" s="43" t="s">
        <v>595</v>
      </c>
      <c r="C205" s="39"/>
      <c r="D205" s="37">
        <v>449.066666666667</v>
      </c>
    </row>
    <row r="206" spans="1:4" x14ac:dyDescent="0.25">
      <c r="A206" s="35">
        <v>100010773</v>
      </c>
      <c r="B206" s="44" t="s">
        <v>595</v>
      </c>
      <c r="C206" s="41"/>
      <c r="D206" s="37">
        <v>449.07</v>
      </c>
    </row>
    <row r="207" spans="1:4" x14ac:dyDescent="0.25">
      <c r="A207" s="35">
        <v>100010219</v>
      </c>
      <c r="B207" s="44" t="s">
        <v>1047</v>
      </c>
      <c r="C207" s="41" t="s">
        <v>503</v>
      </c>
      <c r="D207" s="37">
        <v>450.92</v>
      </c>
    </row>
    <row r="208" spans="1:4" x14ac:dyDescent="0.25">
      <c r="A208" s="19" t="s">
        <v>501</v>
      </c>
      <c r="B208" s="43" t="s">
        <v>502</v>
      </c>
      <c r="C208" s="39" t="s">
        <v>503</v>
      </c>
      <c r="D208" s="37">
        <v>450.92333333333301</v>
      </c>
    </row>
    <row r="209" spans="1:4" x14ac:dyDescent="0.25">
      <c r="A209" s="35">
        <v>100002333</v>
      </c>
      <c r="B209" s="44" t="s">
        <v>389</v>
      </c>
      <c r="C209" s="41"/>
      <c r="D209" s="37">
        <v>452.66</v>
      </c>
    </row>
    <row r="210" spans="1:4" x14ac:dyDescent="0.25">
      <c r="A210" s="35">
        <v>100010138</v>
      </c>
      <c r="B210" s="44" t="s">
        <v>447</v>
      </c>
      <c r="C210" s="41" t="s">
        <v>1048</v>
      </c>
      <c r="D210" s="37">
        <v>453.92</v>
      </c>
    </row>
    <row r="211" spans="1:4" x14ac:dyDescent="0.25">
      <c r="A211" s="19">
        <v>100012886</v>
      </c>
      <c r="B211" s="43" t="s">
        <v>328</v>
      </c>
      <c r="C211" s="39"/>
      <c r="D211" s="37">
        <v>454.42666666666702</v>
      </c>
    </row>
    <row r="212" spans="1:4" x14ac:dyDescent="0.25">
      <c r="A212" s="35">
        <v>100012886</v>
      </c>
      <c r="B212" s="44" t="s">
        <v>328</v>
      </c>
      <c r="C212" s="41"/>
      <c r="D212" s="37">
        <v>454.43</v>
      </c>
    </row>
    <row r="213" spans="1:4" x14ac:dyDescent="0.25">
      <c r="A213" s="35"/>
      <c r="B213" s="44"/>
      <c r="C213" s="41"/>
      <c r="D213" s="37"/>
    </row>
    <row r="214" spans="1:4" x14ac:dyDescent="0.25">
      <c r="A214" s="19" t="s">
        <v>714</v>
      </c>
      <c r="B214" s="43" t="s">
        <v>715</v>
      </c>
      <c r="C214" s="39" t="s">
        <v>716</v>
      </c>
      <c r="D214" s="37">
        <v>455.3</v>
      </c>
    </row>
    <row r="215" spans="1:4" x14ac:dyDescent="0.25">
      <c r="A215" s="35">
        <v>100010291</v>
      </c>
      <c r="B215" s="44" t="s">
        <v>528</v>
      </c>
      <c r="C215" s="41"/>
      <c r="D215" s="37">
        <v>462.32</v>
      </c>
    </row>
    <row r="216" spans="1:4" x14ac:dyDescent="0.25">
      <c r="A216" s="19" t="s">
        <v>530</v>
      </c>
      <c r="B216" s="43" t="s">
        <v>531</v>
      </c>
      <c r="C216" s="39"/>
      <c r="D216" s="37">
        <v>462.32333333333298</v>
      </c>
    </row>
    <row r="217" spans="1:4" x14ac:dyDescent="0.25">
      <c r="A217" s="19">
        <v>100010865</v>
      </c>
      <c r="B217" s="43" t="s">
        <v>177</v>
      </c>
      <c r="C217" s="39" t="s">
        <v>178</v>
      </c>
      <c r="D217" s="37">
        <v>474.3</v>
      </c>
    </row>
    <row r="218" spans="1:4" x14ac:dyDescent="0.25">
      <c r="A218" s="35"/>
      <c r="B218" s="44"/>
      <c r="C218" s="41"/>
      <c r="D218" s="37"/>
    </row>
    <row r="219" spans="1:4" x14ac:dyDescent="0.25">
      <c r="A219" s="19">
        <v>100012887</v>
      </c>
      <c r="B219" s="43" t="s">
        <v>329</v>
      </c>
      <c r="C219" s="39"/>
      <c r="D219" s="37">
        <v>474.37666666666701</v>
      </c>
    </row>
    <row r="220" spans="1:4" x14ac:dyDescent="0.25">
      <c r="A220" s="35">
        <v>100012887</v>
      </c>
      <c r="B220" s="44" t="s">
        <v>1049</v>
      </c>
      <c r="C220" s="41"/>
      <c r="D220" s="37">
        <v>474.38</v>
      </c>
    </row>
    <row r="221" spans="1:4" x14ac:dyDescent="0.25">
      <c r="A221" s="19">
        <v>100012903</v>
      </c>
      <c r="B221" s="43" t="s">
        <v>344</v>
      </c>
      <c r="C221" s="51"/>
      <c r="D221" s="37">
        <v>489.19</v>
      </c>
    </row>
    <row r="222" spans="1:4" x14ac:dyDescent="0.25">
      <c r="A222" s="35"/>
      <c r="B222" s="44"/>
      <c r="C222" s="41"/>
      <c r="D222" s="37"/>
    </row>
    <row r="223" spans="1:4" x14ac:dyDescent="0.25">
      <c r="A223" s="35"/>
      <c r="B223" s="44"/>
      <c r="C223" s="41"/>
      <c r="D223" s="37"/>
    </row>
    <row r="224" spans="1:4" x14ac:dyDescent="0.25">
      <c r="A224" s="19" t="s">
        <v>486</v>
      </c>
      <c r="B224" s="43" t="s">
        <v>487</v>
      </c>
      <c r="C224" s="39"/>
      <c r="D224" s="37">
        <v>497.94</v>
      </c>
    </row>
    <row r="225" spans="1:4" x14ac:dyDescent="0.25">
      <c r="A225" s="19" t="s">
        <v>797</v>
      </c>
      <c r="B225" s="43" t="s">
        <v>798</v>
      </c>
      <c r="C225" s="39"/>
      <c r="D225" s="37">
        <v>502.96666666666698</v>
      </c>
    </row>
    <row r="226" spans="1:4" x14ac:dyDescent="0.25">
      <c r="A226" s="35">
        <v>100012597</v>
      </c>
      <c r="B226" s="44" t="s">
        <v>798</v>
      </c>
      <c r="C226" s="41"/>
      <c r="D226" s="37">
        <v>502.97</v>
      </c>
    </row>
    <row r="227" spans="1:4" x14ac:dyDescent="0.25">
      <c r="A227" s="35">
        <v>100002350</v>
      </c>
      <c r="B227" s="44" t="s">
        <v>406</v>
      </c>
      <c r="C227" s="41" t="s">
        <v>407</v>
      </c>
      <c r="D227" s="37">
        <v>513.01</v>
      </c>
    </row>
    <row r="228" spans="1:4" x14ac:dyDescent="0.25">
      <c r="A228" s="19" t="s">
        <v>405</v>
      </c>
      <c r="B228" s="43" t="s">
        <v>406</v>
      </c>
      <c r="C228" s="39" t="s">
        <v>407</v>
      </c>
      <c r="D228" s="37">
        <v>513.01333333333298</v>
      </c>
    </row>
    <row r="229" spans="1:4" x14ac:dyDescent="0.25">
      <c r="A229" s="19" t="s">
        <v>742</v>
      </c>
      <c r="B229" s="43" t="s">
        <v>732</v>
      </c>
      <c r="C229" s="39" t="s">
        <v>743</v>
      </c>
      <c r="D229" s="37">
        <v>520.47666666666703</v>
      </c>
    </row>
    <row r="230" spans="1:4" x14ac:dyDescent="0.25">
      <c r="A230" s="35">
        <v>100012465</v>
      </c>
      <c r="B230" s="44" t="s">
        <v>732</v>
      </c>
      <c r="C230" s="41" t="s">
        <v>743</v>
      </c>
      <c r="D230" s="37">
        <v>520.48</v>
      </c>
    </row>
    <row r="231" spans="1:4" x14ac:dyDescent="0.25">
      <c r="A231" s="19">
        <v>100012005</v>
      </c>
      <c r="B231" s="43" t="s">
        <v>195</v>
      </c>
      <c r="C231" s="39"/>
      <c r="D231" s="37">
        <v>521.26666666666699</v>
      </c>
    </row>
    <row r="232" spans="1:4" x14ac:dyDescent="0.25">
      <c r="A232" s="35">
        <v>100012005</v>
      </c>
      <c r="B232" s="44" t="s">
        <v>1050</v>
      </c>
      <c r="C232" s="41"/>
      <c r="D232" s="37">
        <v>521.27</v>
      </c>
    </row>
    <row r="233" spans="1:4" x14ac:dyDescent="0.25">
      <c r="A233" s="35">
        <v>100012554</v>
      </c>
      <c r="B233" s="44" t="s">
        <v>788</v>
      </c>
      <c r="C233" s="41" t="s">
        <v>789</v>
      </c>
      <c r="D233" s="37">
        <v>529.29999999999995</v>
      </c>
    </row>
    <row r="234" spans="1:4" x14ac:dyDescent="0.25">
      <c r="A234" s="19" t="s">
        <v>787</v>
      </c>
      <c r="B234" s="43" t="s">
        <v>788</v>
      </c>
      <c r="C234" s="67" t="s">
        <v>789</v>
      </c>
      <c r="D234" s="37">
        <v>529.30333333333294</v>
      </c>
    </row>
    <row r="235" spans="1:4" x14ac:dyDescent="0.25">
      <c r="A235" s="19">
        <v>100012655</v>
      </c>
      <c r="B235" s="43" t="s">
        <v>268</v>
      </c>
      <c r="C235" s="39"/>
      <c r="D235" s="37">
        <v>536.98666666666702</v>
      </c>
    </row>
    <row r="236" spans="1:4" x14ac:dyDescent="0.25">
      <c r="A236" s="35">
        <v>100012655</v>
      </c>
      <c r="B236" s="44" t="s">
        <v>268</v>
      </c>
      <c r="C236" s="41"/>
      <c r="D236" s="37">
        <v>536.99</v>
      </c>
    </row>
    <row r="237" spans="1:4" x14ac:dyDescent="0.25">
      <c r="A237" s="35">
        <v>100013081</v>
      </c>
      <c r="B237" s="44" t="s">
        <v>1051</v>
      </c>
      <c r="C237" s="41" t="s">
        <v>956</v>
      </c>
      <c r="D237" s="37">
        <v>540.5</v>
      </c>
    </row>
    <row r="238" spans="1:4" x14ac:dyDescent="0.25">
      <c r="A238" s="19" t="s">
        <v>955</v>
      </c>
      <c r="B238" s="43" t="s">
        <v>953</v>
      </c>
      <c r="C238" s="39" t="s">
        <v>956</v>
      </c>
      <c r="D238" s="37">
        <v>540.50333333333299</v>
      </c>
    </row>
    <row r="239" spans="1:4" x14ac:dyDescent="0.25">
      <c r="A239" s="35">
        <v>100010277</v>
      </c>
      <c r="B239" s="44" t="s">
        <v>1052</v>
      </c>
      <c r="C239" s="41"/>
      <c r="D239" s="37">
        <v>544.05999999999995</v>
      </c>
    </row>
    <row r="240" spans="1:4" x14ac:dyDescent="0.25">
      <c r="A240" s="19">
        <v>100012911</v>
      </c>
      <c r="B240" s="43" t="s">
        <v>347</v>
      </c>
      <c r="C240" s="39"/>
      <c r="D240" s="37">
        <v>547.96666666666704</v>
      </c>
    </row>
    <row r="241" spans="1:4" x14ac:dyDescent="0.25">
      <c r="A241" s="35">
        <v>100012911</v>
      </c>
      <c r="B241" s="44" t="s">
        <v>347</v>
      </c>
      <c r="C241" s="41"/>
      <c r="D241" s="37">
        <v>547.97</v>
      </c>
    </row>
    <row r="242" spans="1:4" x14ac:dyDescent="0.25">
      <c r="A242" s="19" t="s">
        <v>886</v>
      </c>
      <c r="B242" s="43" t="s">
        <v>884</v>
      </c>
      <c r="C242" s="39" t="s">
        <v>887</v>
      </c>
      <c r="D242" s="37">
        <v>554.77666666666698</v>
      </c>
    </row>
    <row r="243" spans="1:4" x14ac:dyDescent="0.25">
      <c r="A243" s="35">
        <v>100012796</v>
      </c>
      <c r="B243" s="44" t="s">
        <v>884</v>
      </c>
      <c r="C243" s="41" t="s">
        <v>887</v>
      </c>
      <c r="D243" s="37">
        <v>554.78</v>
      </c>
    </row>
    <row r="244" spans="1:4" x14ac:dyDescent="0.25">
      <c r="A244" s="19" t="s">
        <v>987</v>
      </c>
      <c r="B244" s="43" t="s">
        <v>988</v>
      </c>
      <c r="C244" s="39"/>
      <c r="D244" s="37">
        <v>555.66666666666697</v>
      </c>
    </row>
    <row r="245" spans="1:4" x14ac:dyDescent="0.25">
      <c r="A245" s="35">
        <v>100013096</v>
      </c>
      <c r="B245" s="44" t="s">
        <v>1053</v>
      </c>
      <c r="C245" s="41"/>
      <c r="D245" s="37">
        <v>555.66999999999996</v>
      </c>
    </row>
    <row r="246" spans="1:4" x14ac:dyDescent="0.25">
      <c r="A246" s="19">
        <v>100010771</v>
      </c>
      <c r="B246" s="43" t="s">
        <v>162</v>
      </c>
      <c r="C246" s="39"/>
      <c r="D246" s="37">
        <v>558.66999999999996</v>
      </c>
    </row>
    <row r="247" spans="1:4" x14ac:dyDescent="0.25">
      <c r="A247" s="35"/>
      <c r="B247" s="44"/>
      <c r="C247" s="41"/>
      <c r="D247" s="37"/>
    </row>
    <row r="248" spans="1:4" x14ac:dyDescent="0.25">
      <c r="A248" s="19">
        <v>100010105</v>
      </c>
      <c r="B248" s="43" t="s">
        <v>121</v>
      </c>
      <c r="C248" s="39"/>
      <c r="D248" s="37">
        <v>559.66666666666697</v>
      </c>
    </row>
    <row r="249" spans="1:4" x14ac:dyDescent="0.25">
      <c r="A249" s="35">
        <v>100010105</v>
      </c>
      <c r="B249" s="44" t="s">
        <v>121</v>
      </c>
      <c r="C249" s="41"/>
      <c r="D249" s="37">
        <v>559.66999999999996</v>
      </c>
    </row>
    <row r="250" spans="1:4" x14ac:dyDescent="0.25">
      <c r="A250" s="35"/>
      <c r="B250" s="44"/>
      <c r="C250" s="41"/>
      <c r="D250" s="37"/>
    </row>
    <row r="251" spans="1:4" x14ac:dyDescent="0.25">
      <c r="A251" s="19" t="s">
        <v>912</v>
      </c>
      <c r="B251" s="43" t="s">
        <v>913</v>
      </c>
      <c r="C251" s="39" t="s">
        <v>914</v>
      </c>
      <c r="D251" s="37">
        <v>560.46</v>
      </c>
    </row>
    <row r="252" spans="1:4" x14ac:dyDescent="0.25">
      <c r="A252" s="35">
        <v>100012554</v>
      </c>
      <c r="B252" s="44" t="s">
        <v>1054</v>
      </c>
      <c r="C252" s="41"/>
      <c r="D252" s="37">
        <v>560.47</v>
      </c>
    </row>
    <row r="253" spans="1:4" x14ac:dyDescent="0.25">
      <c r="A253" s="35">
        <v>100011724</v>
      </c>
      <c r="B253" s="44" t="s">
        <v>185</v>
      </c>
      <c r="C253" s="41"/>
      <c r="D253" s="37">
        <v>562.77</v>
      </c>
    </row>
    <row r="254" spans="1:4" x14ac:dyDescent="0.25">
      <c r="A254" s="35"/>
      <c r="B254" s="44"/>
      <c r="C254" s="41"/>
      <c r="D254" s="37"/>
    </row>
    <row r="255" spans="1:4" x14ac:dyDescent="0.25">
      <c r="A255" s="19"/>
      <c r="B255" s="52"/>
      <c r="C255" s="39"/>
      <c r="D255" s="37"/>
    </row>
    <row r="256" spans="1:4" x14ac:dyDescent="0.25">
      <c r="A256" s="35">
        <v>100013096</v>
      </c>
      <c r="B256" s="44" t="s">
        <v>1053</v>
      </c>
      <c r="C256" s="41"/>
      <c r="D256" s="37">
        <v>564.15</v>
      </c>
    </row>
    <row r="257" spans="1:4" x14ac:dyDescent="0.25">
      <c r="A257" s="19" t="s">
        <v>989</v>
      </c>
      <c r="B257" s="43" t="s">
        <v>990</v>
      </c>
      <c r="C257" s="51"/>
      <c r="D257" s="37">
        <v>564.15333333333297</v>
      </c>
    </row>
    <row r="258" spans="1:4" x14ac:dyDescent="0.25">
      <c r="A258" s="35">
        <v>100010849</v>
      </c>
      <c r="B258" s="44" t="s">
        <v>239</v>
      </c>
      <c r="C258" s="41" t="s">
        <v>619</v>
      </c>
      <c r="D258" s="37">
        <v>566.47</v>
      </c>
    </row>
    <row r="259" spans="1:4" x14ac:dyDescent="0.25">
      <c r="A259" s="19" t="s">
        <v>618</v>
      </c>
      <c r="B259" s="43" t="s">
        <v>237</v>
      </c>
      <c r="C259" s="39" t="s">
        <v>619</v>
      </c>
      <c r="D259" s="37">
        <v>566.47333333333302</v>
      </c>
    </row>
    <row r="260" spans="1:4" x14ac:dyDescent="0.25">
      <c r="A260" s="19">
        <v>100012877</v>
      </c>
      <c r="B260" s="43" t="s">
        <v>321</v>
      </c>
      <c r="C260" s="39"/>
      <c r="D260" s="37">
        <v>570.92999999999995</v>
      </c>
    </row>
    <row r="261" spans="1:4" x14ac:dyDescent="0.25">
      <c r="A261" s="35"/>
      <c r="B261" s="44"/>
      <c r="C261" s="41"/>
      <c r="D261" s="37"/>
    </row>
    <row r="262" spans="1:4" x14ac:dyDescent="0.25">
      <c r="A262" s="19" t="s">
        <v>894</v>
      </c>
      <c r="B262" s="43" t="s">
        <v>895</v>
      </c>
      <c r="C262" s="39" t="s">
        <v>896</v>
      </c>
      <c r="D262" s="37">
        <v>571.73</v>
      </c>
    </row>
    <row r="263" spans="1:4" x14ac:dyDescent="0.25">
      <c r="A263" s="35"/>
      <c r="B263" s="44"/>
      <c r="C263" s="41"/>
      <c r="D263" s="37"/>
    </row>
    <row r="264" spans="1:4" x14ac:dyDescent="0.25">
      <c r="A264" s="19" t="s">
        <v>899</v>
      </c>
      <c r="B264" s="43" t="s">
        <v>900</v>
      </c>
      <c r="C264" s="39" t="s">
        <v>901</v>
      </c>
      <c r="D264" s="37">
        <v>574.20000000000005</v>
      </c>
    </row>
    <row r="265" spans="1:4" x14ac:dyDescent="0.25">
      <c r="A265" s="35"/>
      <c r="B265" s="44"/>
      <c r="C265" s="41"/>
      <c r="D265" s="37"/>
    </row>
    <row r="266" spans="1:4" x14ac:dyDescent="0.25">
      <c r="A266" s="35">
        <v>100010138</v>
      </c>
      <c r="B266" s="44" t="s">
        <v>447</v>
      </c>
      <c r="C266" s="41" t="s">
        <v>463</v>
      </c>
      <c r="D266" s="37">
        <v>575.97</v>
      </c>
    </row>
    <row r="267" spans="1:4" x14ac:dyDescent="0.25">
      <c r="A267" s="19" t="s">
        <v>462</v>
      </c>
      <c r="B267" s="43" t="s">
        <v>456</v>
      </c>
      <c r="C267" s="39" t="s">
        <v>463</v>
      </c>
      <c r="D267" s="37">
        <v>575.97333333333302</v>
      </c>
    </row>
    <row r="268" spans="1:4" x14ac:dyDescent="0.25">
      <c r="A268" s="35">
        <v>100012737</v>
      </c>
      <c r="B268" s="44" t="s">
        <v>870</v>
      </c>
      <c r="C268" s="41" t="s">
        <v>873</v>
      </c>
      <c r="D268" s="37">
        <v>593.16</v>
      </c>
    </row>
    <row r="269" spans="1:4" x14ac:dyDescent="0.25">
      <c r="A269" s="19" t="s">
        <v>872</v>
      </c>
      <c r="B269" s="43" t="s">
        <v>870</v>
      </c>
      <c r="C269" s="39" t="s">
        <v>873</v>
      </c>
      <c r="D269" s="37">
        <v>593.16333333333296</v>
      </c>
    </row>
    <row r="270" spans="1:4" x14ac:dyDescent="0.25">
      <c r="A270" s="35">
        <v>100012612</v>
      </c>
      <c r="B270" s="72" t="s">
        <v>1055</v>
      </c>
      <c r="C270" s="41"/>
      <c r="D270" s="37">
        <v>598.20000000000005</v>
      </c>
    </row>
    <row r="271" spans="1:4" x14ac:dyDescent="0.25">
      <c r="A271" s="19">
        <v>100012612</v>
      </c>
      <c r="B271" s="43" t="s">
        <v>257</v>
      </c>
      <c r="C271" s="39"/>
      <c r="D271" s="37">
        <v>598.20333333333303</v>
      </c>
    </row>
    <row r="272" spans="1:4" x14ac:dyDescent="0.25">
      <c r="A272" s="19" t="s">
        <v>790</v>
      </c>
      <c r="B272" s="43" t="s">
        <v>788</v>
      </c>
      <c r="C272" s="39" t="s">
        <v>791</v>
      </c>
      <c r="D272" s="37">
        <v>603.80666666666696</v>
      </c>
    </row>
    <row r="273" spans="1:4" x14ac:dyDescent="0.25">
      <c r="A273" s="35">
        <v>100012554</v>
      </c>
      <c r="B273" s="44" t="s">
        <v>788</v>
      </c>
      <c r="C273" s="41" t="s">
        <v>791</v>
      </c>
      <c r="D273" s="37">
        <v>603.80999999999995</v>
      </c>
    </row>
    <row r="274" spans="1:4" x14ac:dyDescent="0.25">
      <c r="A274" s="35">
        <v>100012465</v>
      </c>
      <c r="B274" s="44" t="s">
        <v>732</v>
      </c>
      <c r="C274" s="41" t="s">
        <v>739</v>
      </c>
      <c r="D274" s="37">
        <v>604.46</v>
      </c>
    </row>
    <row r="275" spans="1:4" x14ac:dyDescent="0.25">
      <c r="A275" s="19" t="s">
        <v>738</v>
      </c>
      <c r="B275" s="43" t="s">
        <v>732</v>
      </c>
      <c r="C275" s="39" t="s">
        <v>739</v>
      </c>
      <c r="D275" s="37">
        <v>604.46333333333303</v>
      </c>
    </row>
    <row r="276" spans="1:4" x14ac:dyDescent="0.25">
      <c r="A276" s="35">
        <v>100012760</v>
      </c>
      <c r="B276" s="44" t="s">
        <v>1056</v>
      </c>
      <c r="C276" s="41" t="s">
        <v>1057</v>
      </c>
      <c r="D276" s="37">
        <v>624.83000000000004</v>
      </c>
    </row>
    <row r="277" spans="1:4" x14ac:dyDescent="0.25">
      <c r="A277" s="19">
        <v>100012907</v>
      </c>
      <c r="B277" s="43" t="s">
        <v>346</v>
      </c>
      <c r="C277" s="39"/>
      <c r="D277" s="37">
        <v>634.22666666666703</v>
      </c>
    </row>
    <row r="278" spans="1:4" x14ac:dyDescent="0.25">
      <c r="A278" s="35">
        <v>100012907</v>
      </c>
      <c r="B278" s="44" t="s">
        <v>346</v>
      </c>
      <c r="C278" s="41"/>
      <c r="D278" s="37">
        <v>634.23</v>
      </c>
    </row>
    <row r="279" spans="1:4" x14ac:dyDescent="0.25">
      <c r="A279" s="35">
        <v>100010101</v>
      </c>
      <c r="B279" s="44" t="s">
        <v>1058</v>
      </c>
      <c r="C279" s="41" t="s">
        <v>1059</v>
      </c>
      <c r="D279" s="37">
        <v>634.59</v>
      </c>
    </row>
    <row r="280" spans="1:4" x14ac:dyDescent="0.25">
      <c r="A280" s="19" t="s">
        <v>431</v>
      </c>
      <c r="B280" s="43" t="s">
        <v>430</v>
      </c>
      <c r="C280" s="39"/>
      <c r="D280" s="37">
        <v>635.99666666666701</v>
      </c>
    </row>
    <row r="281" spans="1:4" x14ac:dyDescent="0.25">
      <c r="A281" s="35">
        <v>100010123</v>
      </c>
      <c r="B281" s="44" t="s">
        <v>430</v>
      </c>
      <c r="C281" s="41"/>
      <c r="D281" s="37">
        <v>636</v>
      </c>
    </row>
    <row r="282" spans="1:4" x14ac:dyDescent="0.25">
      <c r="A282" s="35"/>
      <c r="B282" s="44"/>
      <c r="C282" s="41"/>
      <c r="D282" s="37"/>
    </row>
    <row r="283" spans="1:4" x14ac:dyDescent="0.25">
      <c r="A283" s="19" t="s">
        <v>746</v>
      </c>
      <c r="B283" s="43" t="s">
        <v>732</v>
      </c>
      <c r="C283" s="39" t="s">
        <v>747</v>
      </c>
      <c r="D283" s="37">
        <v>639.1</v>
      </c>
    </row>
    <row r="284" spans="1:4" x14ac:dyDescent="0.25">
      <c r="A284" s="35">
        <v>100012606</v>
      </c>
      <c r="B284" s="44" t="s">
        <v>810</v>
      </c>
      <c r="C284" s="41" t="s">
        <v>811</v>
      </c>
      <c r="D284" s="37">
        <v>642.01</v>
      </c>
    </row>
    <row r="285" spans="1:4" x14ac:dyDescent="0.25">
      <c r="A285" s="19" t="s">
        <v>809</v>
      </c>
      <c r="B285" s="43" t="s">
        <v>810</v>
      </c>
      <c r="C285" s="39" t="s">
        <v>811</v>
      </c>
      <c r="D285" s="37">
        <v>642.01333333333298</v>
      </c>
    </row>
    <row r="286" spans="1:4" x14ac:dyDescent="0.25">
      <c r="A286" s="35">
        <v>100012554</v>
      </c>
      <c r="B286" s="44" t="s">
        <v>1060</v>
      </c>
      <c r="C286" s="41"/>
      <c r="D286" s="37">
        <v>644.29999999999995</v>
      </c>
    </row>
    <row r="287" spans="1:4" x14ac:dyDescent="0.25">
      <c r="A287" s="19">
        <v>100011988</v>
      </c>
      <c r="B287" s="43" t="s">
        <v>684</v>
      </c>
      <c r="C287" s="39" t="s">
        <v>685</v>
      </c>
      <c r="D287" s="37">
        <v>649.96</v>
      </c>
    </row>
    <row r="288" spans="1:4" x14ac:dyDescent="0.25">
      <c r="A288" s="35"/>
      <c r="B288" s="44"/>
      <c r="C288" s="41"/>
      <c r="D288" s="37"/>
    </row>
    <row r="289" spans="1:4" x14ac:dyDescent="0.25">
      <c r="A289" s="35">
        <v>100010138</v>
      </c>
      <c r="B289" s="44" t="s">
        <v>447</v>
      </c>
      <c r="C289" s="41" t="s">
        <v>452</v>
      </c>
      <c r="D289" s="37">
        <v>658.26</v>
      </c>
    </row>
    <row r="290" spans="1:4" x14ac:dyDescent="0.25">
      <c r="A290" s="19" t="s">
        <v>451</v>
      </c>
      <c r="B290" s="43" t="s">
        <v>447</v>
      </c>
      <c r="C290" s="39" t="s">
        <v>452</v>
      </c>
      <c r="D290" s="37">
        <v>658.26333333333298</v>
      </c>
    </row>
    <row r="291" spans="1:4" x14ac:dyDescent="0.25">
      <c r="A291" s="35">
        <v>100013092</v>
      </c>
      <c r="B291" s="44" t="s">
        <v>1061</v>
      </c>
      <c r="C291" s="41"/>
      <c r="D291" s="37">
        <v>660.96</v>
      </c>
    </row>
    <row r="292" spans="1:4" x14ac:dyDescent="0.25">
      <c r="A292" s="35">
        <v>100012554</v>
      </c>
      <c r="B292" s="44" t="s">
        <v>1062</v>
      </c>
      <c r="C292" s="41"/>
      <c r="D292" s="37">
        <v>663.41</v>
      </c>
    </row>
    <row r="293" spans="1:4" x14ac:dyDescent="0.25">
      <c r="A293" s="19">
        <v>100010808</v>
      </c>
      <c r="B293" s="43" t="s">
        <v>167</v>
      </c>
      <c r="C293" s="39"/>
      <c r="D293" s="37">
        <v>674.636666666667</v>
      </c>
    </row>
    <row r="294" spans="1:4" x14ac:dyDescent="0.25">
      <c r="A294" s="35">
        <v>100010808</v>
      </c>
      <c r="B294" s="44" t="s">
        <v>167</v>
      </c>
      <c r="C294" s="41"/>
      <c r="D294" s="37">
        <v>674.64</v>
      </c>
    </row>
    <row r="295" spans="1:4" x14ac:dyDescent="0.25">
      <c r="A295" s="35">
        <v>100010138</v>
      </c>
      <c r="B295" s="44" t="s">
        <v>447</v>
      </c>
      <c r="C295" s="41" t="s">
        <v>1063</v>
      </c>
      <c r="D295" s="37">
        <v>675.35</v>
      </c>
    </row>
    <row r="296" spans="1:4" x14ac:dyDescent="0.25">
      <c r="A296" s="35">
        <v>100010219</v>
      </c>
      <c r="B296" s="44" t="s">
        <v>1064</v>
      </c>
      <c r="C296" s="41"/>
      <c r="D296" s="37">
        <v>676.55</v>
      </c>
    </row>
    <row r="297" spans="1:4" x14ac:dyDescent="0.25">
      <c r="A297" s="19" t="s">
        <v>508</v>
      </c>
      <c r="B297" s="43" t="s">
        <v>509</v>
      </c>
      <c r="C297" s="39"/>
      <c r="D297" s="37">
        <v>676.55333333333294</v>
      </c>
    </row>
    <row r="298" spans="1:4" x14ac:dyDescent="0.25">
      <c r="A298" s="19" t="s">
        <v>982</v>
      </c>
      <c r="B298" s="43" t="s">
        <v>983</v>
      </c>
      <c r="C298" s="39"/>
      <c r="D298" s="37">
        <v>677.26666666666699</v>
      </c>
    </row>
    <row r="299" spans="1:4" x14ac:dyDescent="0.25">
      <c r="A299" s="35">
        <v>100011698</v>
      </c>
      <c r="B299" s="44" t="s">
        <v>644</v>
      </c>
      <c r="C299" s="41" t="s">
        <v>647</v>
      </c>
      <c r="D299" s="37">
        <v>679.84</v>
      </c>
    </row>
    <row r="300" spans="1:4" x14ac:dyDescent="0.25">
      <c r="A300" s="19" t="s">
        <v>645</v>
      </c>
      <c r="B300" s="43" t="s">
        <v>646</v>
      </c>
      <c r="C300" s="39" t="s">
        <v>647</v>
      </c>
      <c r="D300" s="37">
        <v>679.84333333333302</v>
      </c>
    </row>
    <row r="301" spans="1:4" x14ac:dyDescent="0.25">
      <c r="A301" s="35">
        <v>100010197</v>
      </c>
      <c r="B301" s="44" t="s">
        <v>128</v>
      </c>
      <c r="C301" s="41" t="s">
        <v>129</v>
      </c>
      <c r="D301" s="37">
        <v>682.33</v>
      </c>
    </row>
    <row r="302" spans="1:4" x14ac:dyDescent="0.25">
      <c r="A302" s="19">
        <v>100010197</v>
      </c>
      <c r="B302" s="43" t="s">
        <v>128</v>
      </c>
      <c r="C302" s="39" t="s">
        <v>129</v>
      </c>
      <c r="D302" s="37">
        <v>682.33333333333303</v>
      </c>
    </row>
    <row r="303" spans="1:4" x14ac:dyDescent="0.25">
      <c r="A303" s="35">
        <v>100010138</v>
      </c>
      <c r="B303" s="44" t="s">
        <v>447</v>
      </c>
      <c r="C303" s="41" t="s">
        <v>1065</v>
      </c>
      <c r="D303" s="37">
        <v>688.16</v>
      </c>
    </row>
    <row r="304" spans="1:4" x14ac:dyDescent="0.25">
      <c r="A304" s="19" t="s">
        <v>460</v>
      </c>
      <c r="B304" s="43" t="s">
        <v>456</v>
      </c>
      <c r="C304" s="39" t="s">
        <v>461</v>
      </c>
      <c r="D304" s="37">
        <v>688.16333333333296</v>
      </c>
    </row>
    <row r="305" spans="1:4" x14ac:dyDescent="0.25">
      <c r="A305" s="35">
        <v>100012554</v>
      </c>
      <c r="B305" s="44" t="s">
        <v>1066</v>
      </c>
      <c r="C305" s="41"/>
      <c r="D305" s="37">
        <v>688.3</v>
      </c>
    </row>
    <row r="306" spans="1:4" x14ac:dyDescent="0.25">
      <c r="A306" s="19" t="s">
        <v>763</v>
      </c>
      <c r="B306" s="43" t="s">
        <v>764</v>
      </c>
      <c r="C306" s="39" t="s">
        <v>765</v>
      </c>
      <c r="D306" s="37">
        <v>694.84666666666703</v>
      </c>
    </row>
    <row r="307" spans="1:4" x14ac:dyDescent="0.25">
      <c r="A307" s="35">
        <v>100012529</v>
      </c>
      <c r="B307" s="44" t="s">
        <v>1067</v>
      </c>
      <c r="C307" s="41" t="s">
        <v>765</v>
      </c>
      <c r="D307" s="37">
        <v>694.85</v>
      </c>
    </row>
    <row r="308" spans="1:4" x14ac:dyDescent="0.25">
      <c r="A308" s="19" t="s">
        <v>458</v>
      </c>
      <c r="B308" s="43" t="s">
        <v>456</v>
      </c>
      <c r="C308" s="39" t="s">
        <v>459</v>
      </c>
      <c r="D308" s="37">
        <v>696.7</v>
      </c>
    </row>
    <row r="309" spans="1:4" x14ac:dyDescent="0.25">
      <c r="A309" s="35"/>
      <c r="B309" s="44"/>
      <c r="C309" s="41"/>
      <c r="D309" s="37"/>
    </row>
    <row r="310" spans="1:4" x14ac:dyDescent="0.25">
      <c r="A310" s="35"/>
      <c r="B310" s="44"/>
      <c r="C310" s="41"/>
      <c r="D310" s="37"/>
    </row>
    <row r="311" spans="1:4" x14ac:dyDescent="0.25">
      <c r="A311" s="19" t="s">
        <v>984</v>
      </c>
      <c r="B311" s="43" t="s">
        <v>985</v>
      </c>
      <c r="C311" s="39" t="s">
        <v>986</v>
      </c>
      <c r="D311" s="37">
        <v>697.66</v>
      </c>
    </row>
    <row r="312" spans="1:4" x14ac:dyDescent="0.25">
      <c r="A312" s="19">
        <v>100011987</v>
      </c>
      <c r="B312" s="43" t="s">
        <v>1068</v>
      </c>
      <c r="C312" s="39"/>
      <c r="D312" s="37">
        <v>700.78666666666697</v>
      </c>
    </row>
    <row r="313" spans="1:4" x14ac:dyDescent="0.25">
      <c r="A313" s="35">
        <v>100011987</v>
      </c>
      <c r="B313" s="44" t="s">
        <v>1069</v>
      </c>
      <c r="C313" s="41"/>
      <c r="D313" s="37">
        <v>700.79</v>
      </c>
    </row>
    <row r="314" spans="1:4" x14ac:dyDescent="0.25">
      <c r="A314" s="35">
        <v>100012601</v>
      </c>
      <c r="B314" s="44" t="s">
        <v>800</v>
      </c>
      <c r="C314" s="41" t="s">
        <v>803</v>
      </c>
      <c r="D314" s="37">
        <v>702.07</v>
      </c>
    </row>
    <row r="315" spans="1:4" x14ac:dyDescent="0.25">
      <c r="A315" s="19" t="s">
        <v>802</v>
      </c>
      <c r="B315" s="43" t="s">
        <v>800</v>
      </c>
      <c r="C315" s="39" t="s">
        <v>803</v>
      </c>
      <c r="D315" s="37">
        <v>702.07333333333304</v>
      </c>
    </row>
    <row r="316" spans="1:4" x14ac:dyDescent="0.25">
      <c r="A316" s="19">
        <v>100012613</v>
      </c>
      <c r="B316" s="43" t="s">
        <v>258</v>
      </c>
      <c r="C316" s="39"/>
      <c r="D316" s="37">
        <v>704.51666666666699</v>
      </c>
    </row>
    <row r="317" spans="1:4" x14ac:dyDescent="0.25">
      <c r="A317" s="35">
        <v>100012613</v>
      </c>
      <c r="B317" s="44" t="s">
        <v>258</v>
      </c>
      <c r="C317" s="41"/>
      <c r="D317" s="37">
        <v>704.52</v>
      </c>
    </row>
    <row r="318" spans="1:4" x14ac:dyDescent="0.25">
      <c r="A318" s="35">
        <v>100010773</v>
      </c>
      <c r="B318" s="44" t="s">
        <v>1070</v>
      </c>
      <c r="C318" s="41" t="s">
        <v>1071</v>
      </c>
      <c r="D318" s="37">
        <v>706.33</v>
      </c>
    </row>
    <row r="319" spans="1:4" x14ac:dyDescent="0.25">
      <c r="A319" s="19" t="s">
        <v>596</v>
      </c>
      <c r="B319" s="43" t="s">
        <v>597</v>
      </c>
      <c r="C319" s="39" t="s">
        <v>598</v>
      </c>
      <c r="D319" s="37">
        <v>706.33333333333303</v>
      </c>
    </row>
    <row r="320" spans="1:4" x14ac:dyDescent="0.25">
      <c r="A320" s="19" t="s">
        <v>414</v>
      </c>
      <c r="B320" s="43" t="s">
        <v>415</v>
      </c>
      <c r="C320" s="39" t="s">
        <v>416</v>
      </c>
      <c r="D320" s="37">
        <v>710.96666666666704</v>
      </c>
    </row>
    <row r="321" spans="1:4" x14ac:dyDescent="0.25">
      <c r="A321" s="35">
        <v>100010073</v>
      </c>
      <c r="B321" s="44" t="s">
        <v>1020</v>
      </c>
      <c r="C321" s="41" t="s">
        <v>416</v>
      </c>
      <c r="D321" s="37">
        <v>710.97</v>
      </c>
    </row>
    <row r="322" spans="1:4" x14ac:dyDescent="0.25">
      <c r="A322" s="19">
        <v>100011313</v>
      </c>
      <c r="B322" s="43" t="s">
        <v>180</v>
      </c>
      <c r="C322" s="39"/>
      <c r="D322" s="37">
        <v>721.76666666666699</v>
      </c>
    </row>
    <row r="323" spans="1:4" x14ac:dyDescent="0.25">
      <c r="A323" s="35">
        <v>100011313</v>
      </c>
      <c r="B323" s="44" t="s">
        <v>180</v>
      </c>
      <c r="C323" s="41"/>
      <c r="D323" s="37">
        <v>721.77</v>
      </c>
    </row>
    <row r="324" spans="1:4" x14ac:dyDescent="0.25">
      <c r="A324" s="35">
        <v>100012476</v>
      </c>
      <c r="B324" s="44" t="s">
        <v>759</v>
      </c>
      <c r="C324" s="41"/>
      <c r="D324" s="37">
        <v>724.18</v>
      </c>
    </row>
    <row r="325" spans="1:4" x14ac:dyDescent="0.25">
      <c r="A325" s="35"/>
      <c r="B325" s="44"/>
      <c r="C325" s="41"/>
      <c r="D325" s="37"/>
    </row>
    <row r="326" spans="1:4" x14ac:dyDescent="0.25">
      <c r="A326" s="19" t="s">
        <v>758</v>
      </c>
      <c r="B326" s="43" t="s">
        <v>759</v>
      </c>
      <c r="C326" s="39"/>
      <c r="D326" s="37">
        <v>724.18333333333305</v>
      </c>
    </row>
    <row r="327" spans="1:4" x14ac:dyDescent="0.25">
      <c r="A327" s="19" t="s">
        <v>760</v>
      </c>
      <c r="B327" s="43" t="s">
        <v>761</v>
      </c>
      <c r="C327" s="39" t="s">
        <v>762</v>
      </c>
      <c r="D327" s="37">
        <v>724.18333333333305</v>
      </c>
    </row>
    <row r="328" spans="1:4" x14ac:dyDescent="0.25">
      <c r="A328" s="35">
        <v>100010242</v>
      </c>
      <c r="B328" s="44" t="s">
        <v>1072</v>
      </c>
      <c r="C328" s="41"/>
      <c r="D328" s="37">
        <v>730.26</v>
      </c>
    </row>
    <row r="329" spans="1:4" x14ac:dyDescent="0.25">
      <c r="A329" s="35"/>
      <c r="B329" s="44"/>
      <c r="C329" s="41"/>
      <c r="D329" s="37"/>
    </row>
    <row r="330" spans="1:4" x14ac:dyDescent="0.25">
      <c r="A330" s="19" t="s">
        <v>952</v>
      </c>
      <c r="B330" s="43" t="s">
        <v>953</v>
      </c>
      <c r="C330" s="39" t="s">
        <v>954</v>
      </c>
      <c r="D330" s="37">
        <v>733.3</v>
      </c>
    </row>
    <row r="331" spans="1:4" x14ac:dyDescent="0.25">
      <c r="A331" s="35">
        <v>100010146</v>
      </c>
      <c r="B331" s="44" t="s">
        <v>491</v>
      </c>
      <c r="C331" s="41"/>
      <c r="D331" s="37">
        <v>739</v>
      </c>
    </row>
    <row r="332" spans="1:4" x14ac:dyDescent="0.25">
      <c r="A332" s="19" t="s">
        <v>490</v>
      </c>
      <c r="B332" s="43" t="s">
        <v>491</v>
      </c>
      <c r="C332" s="39"/>
      <c r="D332" s="37">
        <v>739</v>
      </c>
    </row>
    <row r="333" spans="1:4" x14ac:dyDescent="0.25">
      <c r="A333" s="35">
        <v>100002345</v>
      </c>
      <c r="B333" s="44" t="s">
        <v>104</v>
      </c>
      <c r="C333" s="41"/>
      <c r="D333" s="37">
        <v>742.11</v>
      </c>
    </row>
    <row r="334" spans="1:4" x14ac:dyDescent="0.25">
      <c r="A334" s="19"/>
      <c r="B334" s="43"/>
      <c r="C334" s="39"/>
      <c r="D334" s="37"/>
    </row>
    <row r="335" spans="1:4" x14ac:dyDescent="0.25">
      <c r="A335" s="19" t="s">
        <v>441</v>
      </c>
      <c r="B335" s="43" t="s">
        <v>442</v>
      </c>
      <c r="C335" s="39" t="s">
        <v>443</v>
      </c>
      <c r="D335" s="37">
        <v>742.19</v>
      </c>
    </row>
    <row r="336" spans="1:4" x14ac:dyDescent="0.25">
      <c r="A336" s="35"/>
      <c r="B336" s="44"/>
      <c r="C336" s="73"/>
      <c r="D336" s="37"/>
    </row>
    <row r="337" spans="1:4" x14ac:dyDescent="0.25">
      <c r="A337" s="19">
        <v>100010734</v>
      </c>
      <c r="B337" s="43" t="s">
        <v>161</v>
      </c>
      <c r="C337" s="39"/>
      <c r="D337" s="37">
        <v>765.19</v>
      </c>
    </row>
    <row r="338" spans="1:4" x14ac:dyDescent="0.25">
      <c r="A338" s="19">
        <v>100010070</v>
      </c>
      <c r="B338" s="43" t="s">
        <v>117</v>
      </c>
      <c r="C338" s="39" t="s">
        <v>118</v>
      </c>
      <c r="D338" s="37">
        <v>783.41</v>
      </c>
    </row>
    <row r="339" spans="1:4" x14ac:dyDescent="0.25">
      <c r="A339" s="35"/>
      <c r="B339" s="44"/>
      <c r="C339" s="41"/>
      <c r="D339" s="37"/>
    </row>
    <row r="340" spans="1:4" x14ac:dyDescent="0.25">
      <c r="A340" s="35">
        <v>100010154</v>
      </c>
      <c r="B340" s="44" t="s">
        <v>1073</v>
      </c>
      <c r="C340" s="41"/>
      <c r="D340" s="37">
        <v>796.3</v>
      </c>
    </row>
    <row r="341" spans="1:4" ht="30" x14ac:dyDescent="0.25">
      <c r="A341" s="19">
        <v>100002272</v>
      </c>
      <c r="B341" s="54" t="s">
        <v>85</v>
      </c>
      <c r="C341" s="39"/>
      <c r="D341" s="40">
        <v>798</v>
      </c>
    </row>
    <row r="342" spans="1:4" x14ac:dyDescent="0.25">
      <c r="A342" s="35"/>
      <c r="B342" s="44"/>
      <c r="C342" s="41"/>
      <c r="D342" s="37"/>
    </row>
    <row r="343" spans="1:4" x14ac:dyDescent="0.25">
      <c r="A343" s="35">
        <v>100010127</v>
      </c>
      <c r="B343" s="44" t="s">
        <v>442</v>
      </c>
      <c r="C343" s="41" t="s">
        <v>1074</v>
      </c>
      <c r="D343" s="37">
        <v>798.43</v>
      </c>
    </row>
    <row r="344" spans="1:4" x14ac:dyDescent="0.25">
      <c r="A344" s="19" t="s">
        <v>444</v>
      </c>
      <c r="B344" s="43" t="s">
        <v>442</v>
      </c>
      <c r="C344" s="39" t="s">
        <v>445</v>
      </c>
      <c r="D344" s="37">
        <v>798.43333333333305</v>
      </c>
    </row>
    <row r="345" spans="1:4" x14ac:dyDescent="0.25">
      <c r="A345" s="35"/>
      <c r="B345" s="44"/>
      <c r="C345" s="41"/>
      <c r="D345" s="37"/>
    </row>
    <row r="346" spans="1:4" x14ac:dyDescent="0.25">
      <c r="A346" s="19" t="s">
        <v>848</v>
      </c>
      <c r="B346" s="43" t="s">
        <v>849</v>
      </c>
      <c r="C346" s="39" t="s">
        <v>850</v>
      </c>
      <c r="D346" s="37">
        <v>799.99</v>
      </c>
    </row>
    <row r="347" spans="1:4" x14ac:dyDescent="0.25">
      <c r="A347" s="19"/>
      <c r="B347" s="43"/>
      <c r="C347" s="39"/>
      <c r="D347" s="37"/>
    </row>
    <row r="348" spans="1:4" x14ac:dyDescent="0.25">
      <c r="A348" s="35">
        <v>100012748</v>
      </c>
      <c r="B348" s="44" t="s">
        <v>278</v>
      </c>
      <c r="C348" s="41"/>
      <c r="D348" s="37">
        <v>801.27</v>
      </c>
    </row>
    <row r="349" spans="1:4" x14ac:dyDescent="0.25">
      <c r="A349" s="19" t="s">
        <v>723</v>
      </c>
      <c r="B349" s="43" t="s">
        <v>715</v>
      </c>
      <c r="C349" s="39" t="s">
        <v>724</v>
      </c>
      <c r="D349" s="37">
        <v>804.07</v>
      </c>
    </row>
    <row r="350" spans="1:4" x14ac:dyDescent="0.25">
      <c r="A350" s="35"/>
      <c r="B350" s="44"/>
      <c r="C350" s="41"/>
      <c r="D350" s="37"/>
    </row>
    <row r="351" spans="1:4" x14ac:dyDescent="0.25">
      <c r="A351" s="19">
        <v>100012813</v>
      </c>
      <c r="B351" s="43" t="s">
        <v>299</v>
      </c>
      <c r="C351" s="39"/>
      <c r="D351" s="37">
        <v>804.72</v>
      </c>
    </row>
    <row r="352" spans="1:4" x14ac:dyDescent="0.25">
      <c r="A352" s="35"/>
      <c r="B352" s="44"/>
      <c r="C352" s="41"/>
      <c r="D352" s="37"/>
    </row>
    <row r="353" spans="1:4" x14ac:dyDescent="0.25">
      <c r="A353" s="19" t="s">
        <v>957</v>
      </c>
      <c r="B353" s="43" t="s">
        <v>953</v>
      </c>
      <c r="C353" s="39" t="s">
        <v>958</v>
      </c>
      <c r="D353" s="37">
        <v>814.06</v>
      </c>
    </row>
    <row r="354" spans="1:4" x14ac:dyDescent="0.25">
      <c r="A354" s="35"/>
      <c r="B354" s="44"/>
      <c r="C354" s="41"/>
      <c r="D354" s="37"/>
    </row>
    <row r="355" spans="1:4" x14ac:dyDescent="0.25">
      <c r="A355" s="19" t="s">
        <v>518</v>
      </c>
      <c r="B355" s="43" t="s">
        <v>519</v>
      </c>
      <c r="C355" s="39" t="s">
        <v>520</v>
      </c>
      <c r="D355" s="37">
        <v>849.47</v>
      </c>
    </row>
    <row r="356" spans="1:4" x14ac:dyDescent="0.25">
      <c r="A356" s="35"/>
      <c r="B356" s="44"/>
      <c r="C356" s="41"/>
      <c r="D356" s="37"/>
    </row>
    <row r="357" spans="1:4" x14ac:dyDescent="0.25">
      <c r="A357" s="19" t="s">
        <v>514</v>
      </c>
      <c r="B357" s="43" t="s">
        <v>515</v>
      </c>
      <c r="C357" s="39"/>
      <c r="D357" s="37">
        <v>854.33</v>
      </c>
    </row>
    <row r="358" spans="1:4" x14ac:dyDescent="0.25">
      <c r="A358" s="19">
        <v>100012271</v>
      </c>
      <c r="B358" s="43" t="s">
        <v>207</v>
      </c>
      <c r="C358" s="39" t="s">
        <v>208</v>
      </c>
      <c r="D358" s="37">
        <v>854.47</v>
      </c>
    </row>
    <row r="359" spans="1:4" x14ac:dyDescent="0.25">
      <c r="A359" s="35"/>
      <c r="B359" s="44"/>
      <c r="C359" s="41"/>
      <c r="D359" s="37"/>
    </row>
    <row r="360" spans="1:4" x14ac:dyDescent="0.25">
      <c r="A360" s="19">
        <v>100012487</v>
      </c>
      <c r="B360" s="43" t="s">
        <v>228</v>
      </c>
      <c r="C360" s="51"/>
      <c r="D360" s="37">
        <v>856.63</v>
      </c>
    </row>
    <row r="361" spans="1:4" x14ac:dyDescent="0.25">
      <c r="A361" s="35"/>
      <c r="B361" s="44"/>
      <c r="C361" s="41"/>
      <c r="D361" s="37"/>
    </row>
    <row r="362" spans="1:4" x14ac:dyDescent="0.25">
      <c r="A362" s="35">
        <v>100012554</v>
      </c>
      <c r="B362" s="44" t="s">
        <v>1075</v>
      </c>
      <c r="C362" s="41" t="s">
        <v>1076</v>
      </c>
      <c r="D362" s="37">
        <v>868.91</v>
      </c>
    </row>
    <row r="363" spans="1:4" x14ac:dyDescent="0.25">
      <c r="A363" s="19">
        <v>100012635</v>
      </c>
      <c r="B363" s="56" t="s">
        <v>261</v>
      </c>
      <c r="C363" s="39"/>
      <c r="D363" s="37">
        <v>881.52</v>
      </c>
    </row>
    <row r="364" spans="1:4" x14ac:dyDescent="0.25">
      <c r="A364" s="35"/>
      <c r="B364" s="44"/>
      <c r="C364" s="41"/>
      <c r="D364" s="37"/>
    </row>
    <row r="365" spans="1:4" x14ac:dyDescent="0.25">
      <c r="A365" s="19">
        <v>100012804</v>
      </c>
      <c r="B365" s="43" t="s">
        <v>295</v>
      </c>
      <c r="C365" s="39" t="s">
        <v>296</v>
      </c>
      <c r="D365" s="37">
        <v>884.04</v>
      </c>
    </row>
    <row r="366" spans="1:4" x14ac:dyDescent="0.25">
      <c r="A366" s="35"/>
      <c r="B366" s="44"/>
      <c r="C366" s="41"/>
      <c r="D366" s="37"/>
    </row>
    <row r="367" spans="1:4" x14ac:dyDescent="0.25">
      <c r="A367" s="19">
        <v>100010851</v>
      </c>
      <c r="B367" s="43" t="s">
        <v>175</v>
      </c>
      <c r="C367" s="39"/>
      <c r="D367" s="37">
        <v>885.33</v>
      </c>
    </row>
    <row r="368" spans="1:4" x14ac:dyDescent="0.25">
      <c r="A368" s="19"/>
      <c r="B368" s="43"/>
      <c r="C368" s="39"/>
      <c r="D368" s="37"/>
    </row>
    <row r="369" spans="1:4" x14ac:dyDescent="0.25">
      <c r="A369" s="35"/>
      <c r="B369" s="44"/>
      <c r="C369" s="41"/>
      <c r="D369" s="37"/>
    </row>
    <row r="370" spans="1:4" x14ac:dyDescent="0.25">
      <c r="A370" s="35">
        <v>100012553</v>
      </c>
      <c r="B370" s="44" t="s">
        <v>245</v>
      </c>
      <c r="C370" s="41"/>
      <c r="D370" s="37">
        <v>885.33</v>
      </c>
    </row>
    <row r="371" spans="1:4" x14ac:dyDescent="0.25">
      <c r="A371" s="35">
        <v>100012534</v>
      </c>
      <c r="B371" s="44" t="s">
        <v>239</v>
      </c>
      <c r="C371" s="41" t="s">
        <v>240</v>
      </c>
      <c r="D371" s="37">
        <v>886.83</v>
      </c>
    </row>
    <row r="372" spans="1:4" x14ac:dyDescent="0.25">
      <c r="A372" s="19"/>
      <c r="B372" s="43"/>
      <c r="C372" s="39"/>
      <c r="D372" s="37"/>
    </row>
    <row r="373" spans="1:4" x14ac:dyDescent="0.25">
      <c r="A373" s="35">
        <v>100012356</v>
      </c>
      <c r="B373" s="44" t="s">
        <v>1077</v>
      </c>
      <c r="C373" s="41"/>
      <c r="D373" s="37">
        <v>887</v>
      </c>
    </row>
    <row r="374" spans="1:4" x14ac:dyDescent="0.25">
      <c r="A374" s="19"/>
      <c r="B374" s="43"/>
      <c r="C374" s="39"/>
      <c r="D374" s="37"/>
    </row>
    <row r="375" spans="1:4" x14ac:dyDescent="0.25">
      <c r="A375" s="35"/>
      <c r="B375" s="44"/>
      <c r="C375" s="41"/>
      <c r="D375" s="37"/>
    </row>
    <row r="376" spans="1:4" x14ac:dyDescent="0.25">
      <c r="A376" s="19" t="s">
        <v>532</v>
      </c>
      <c r="B376" s="43" t="s">
        <v>533</v>
      </c>
      <c r="C376" s="39" t="s">
        <v>534</v>
      </c>
      <c r="D376" s="37">
        <v>893.62</v>
      </c>
    </row>
    <row r="377" spans="1:4" x14ac:dyDescent="0.25">
      <c r="A377" s="35"/>
      <c r="B377" s="44"/>
      <c r="C377" s="41"/>
      <c r="D377" s="37"/>
    </row>
    <row r="378" spans="1:4" x14ac:dyDescent="0.25">
      <c r="A378" s="19" t="s">
        <v>750</v>
      </c>
      <c r="B378" s="43" t="s">
        <v>732</v>
      </c>
      <c r="C378" s="39" t="s">
        <v>751</v>
      </c>
      <c r="D378" s="37">
        <v>895.13</v>
      </c>
    </row>
    <row r="379" spans="1:4" x14ac:dyDescent="0.25">
      <c r="A379" s="19" t="s">
        <v>925</v>
      </c>
      <c r="B379" s="43" t="s">
        <v>926</v>
      </c>
      <c r="C379" s="39">
        <v>1</v>
      </c>
      <c r="D379" s="37">
        <v>895.72</v>
      </c>
    </row>
    <row r="380" spans="1:4" x14ac:dyDescent="0.25">
      <c r="A380" s="35"/>
      <c r="B380" s="44"/>
      <c r="C380" s="41"/>
      <c r="D380" s="37"/>
    </row>
    <row r="381" spans="1:4" x14ac:dyDescent="0.25">
      <c r="A381" s="35">
        <v>100012811</v>
      </c>
      <c r="B381" s="44" t="s">
        <v>298</v>
      </c>
      <c r="C381" s="41"/>
      <c r="D381" s="37">
        <v>897.19</v>
      </c>
    </row>
    <row r="382" spans="1:4" x14ac:dyDescent="0.25">
      <c r="A382" s="19"/>
      <c r="B382" s="43"/>
      <c r="C382" s="39"/>
      <c r="D382" s="37"/>
    </row>
    <row r="383" spans="1:4" x14ac:dyDescent="0.25">
      <c r="A383" s="35">
        <v>100012554</v>
      </c>
      <c r="B383" s="44" t="s">
        <v>1078</v>
      </c>
      <c r="C383" s="41"/>
      <c r="D383" s="37">
        <v>898.05</v>
      </c>
    </row>
    <row r="384" spans="1:4" x14ac:dyDescent="0.25">
      <c r="A384" s="35"/>
      <c r="B384" s="44"/>
      <c r="C384" s="41"/>
      <c r="D384" s="37"/>
    </row>
    <row r="385" spans="1:4" x14ac:dyDescent="0.25">
      <c r="A385" s="19" t="s">
        <v>1079</v>
      </c>
      <c r="B385" s="43" t="s">
        <v>1080</v>
      </c>
      <c r="C385" s="39" t="s">
        <v>1081</v>
      </c>
      <c r="D385" s="37">
        <v>909.63</v>
      </c>
    </row>
    <row r="386" spans="1:4" x14ac:dyDescent="0.25">
      <c r="A386" s="35"/>
      <c r="B386" s="72"/>
      <c r="C386" s="41"/>
      <c r="D386" s="37"/>
    </row>
    <row r="387" spans="1:4" x14ac:dyDescent="0.25">
      <c r="A387" s="35"/>
      <c r="B387" s="44"/>
      <c r="C387" s="41"/>
      <c r="D387" s="37"/>
    </row>
    <row r="388" spans="1:4" x14ac:dyDescent="0.25">
      <c r="A388" s="19" t="s">
        <v>432</v>
      </c>
      <c r="B388" s="43" t="s">
        <v>123</v>
      </c>
      <c r="C388" s="39" t="s">
        <v>433</v>
      </c>
      <c r="D388" s="37">
        <v>913.95</v>
      </c>
    </row>
    <row r="389" spans="1:4" x14ac:dyDescent="0.25">
      <c r="A389" s="19">
        <v>100012802</v>
      </c>
      <c r="B389" s="43" t="s">
        <v>293</v>
      </c>
      <c r="C389" s="39" t="s">
        <v>294</v>
      </c>
      <c r="D389" s="37">
        <v>915.72</v>
      </c>
    </row>
    <row r="390" spans="1:4" x14ac:dyDescent="0.25">
      <c r="A390" s="35"/>
      <c r="B390" s="44"/>
      <c r="C390" s="41"/>
      <c r="D390" s="37"/>
    </row>
    <row r="391" spans="1:4" x14ac:dyDescent="0.25">
      <c r="A391" s="19">
        <v>100012540</v>
      </c>
      <c r="B391" s="43" t="s">
        <v>242</v>
      </c>
      <c r="C391" s="39"/>
      <c r="D391" s="37">
        <v>922.76</v>
      </c>
    </row>
    <row r="392" spans="1:4" x14ac:dyDescent="0.25">
      <c r="A392" s="35"/>
      <c r="B392" s="44"/>
      <c r="C392" s="41"/>
      <c r="D392" s="37"/>
    </row>
    <row r="393" spans="1:4" x14ac:dyDescent="0.25">
      <c r="A393" s="35"/>
      <c r="B393" s="44"/>
      <c r="C393" s="41"/>
      <c r="D393" s="37"/>
    </row>
    <row r="394" spans="1:4" x14ac:dyDescent="0.25">
      <c r="A394" s="19" t="s">
        <v>823</v>
      </c>
      <c r="B394" s="43" t="s">
        <v>824</v>
      </c>
      <c r="C394" s="39" t="s">
        <v>825</v>
      </c>
      <c r="D394" s="37">
        <v>932.28</v>
      </c>
    </row>
    <row r="395" spans="1:4" x14ac:dyDescent="0.25">
      <c r="A395" s="19"/>
      <c r="B395" s="43"/>
      <c r="C395" s="39"/>
      <c r="D395" s="37"/>
    </row>
    <row r="396" spans="1:4" x14ac:dyDescent="0.25">
      <c r="A396" s="35">
        <v>100012610</v>
      </c>
      <c r="B396" s="44" t="s">
        <v>256</v>
      </c>
      <c r="C396" s="41"/>
      <c r="D396" s="37">
        <v>953.33</v>
      </c>
    </row>
    <row r="397" spans="1:4" x14ac:dyDescent="0.25">
      <c r="A397" s="19"/>
      <c r="B397" s="43"/>
      <c r="C397" s="39"/>
      <c r="D397" s="37"/>
    </row>
    <row r="398" spans="1:4" x14ac:dyDescent="0.25">
      <c r="A398" s="35">
        <v>100012354</v>
      </c>
      <c r="B398" s="44" t="s">
        <v>1082</v>
      </c>
      <c r="C398" s="41"/>
      <c r="D398" s="37">
        <v>954.3</v>
      </c>
    </row>
    <row r="399" spans="1:4" x14ac:dyDescent="0.25">
      <c r="A399" s="19" t="s">
        <v>1083</v>
      </c>
      <c r="B399" s="43" t="s">
        <v>332</v>
      </c>
      <c r="C399" s="39"/>
      <c r="D399" s="37">
        <v>955.33</v>
      </c>
    </row>
    <row r="400" spans="1:4" x14ac:dyDescent="0.25">
      <c r="A400" s="19" t="s">
        <v>396</v>
      </c>
      <c r="B400" s="43" t="s">
        <v>397</v>
      </c>
      <c r="C400" s="49" t="s">
        <v>1084</v>
      </c>
      <c r="D400" s="37">
        <v>956.81</v>
      </c>
    </row>
    <row r="401" spans="1:4" x14ac:dyDescent="0.25">
      <c r="A401" s="35"/>
      <c r="B401" s="44"/>
      <c r="C401" s="41"/>
      <c r="D401" s="37"/>
    </row>
    <row r="402" spans="1:4" x14ac:dyDescent="0.25">
      <c r="A402" s="19" t="s">
        <v>537</v>
      </c>
      <c r="B402" s="43" t="s">
        <v>533</v>
      </c>
      <c r="C402" s="39" t="s">
        <v>538</v>
      </c>
      <c r="D402" s="37">
        <v>956.99</v>
      </c>
    </row>
    <row r="403" spans="1:4" x14ac:dyDescent="0.25">
      <c r="A403" s="35"/>
      <c r="B403" s="44"/>
      <c r="C403" s="41"/>
      <c r="D403" s="37"/>
    </row>
    <row r="404" spans="1:4" x14ac:dyDescent="0.25">
      <c r="A404" s="19" t="s">
        <v>839</v>
      </c>
      <c r="B404" s="43" t="s">
        <v>840</v>
      </c>
      <c r="C404" s="39" t="s">
        <v>841</v>
      </c>
      <c r="D404" s="37">
        <v>958.49</v>
      </c>
    </row>
    <row r="405" spans="1:4" x14ac:dyDescent="0.25">
      <c r="A405" s="35"/>
      <c r="B405" s="44"/>
      <c r="C405" s="41"/>
      <c r="D405" s="37"/>
    </row>
    <row r="406" spans="1:4" x14ac:dyDescent="0.25">
      <c r="A406" s="35">
        <v>100010060</v>
      </c>
      <c r="B406" s="44" t="s">
        <v>115</v>
      </c>
      <c r="C406" s="41" t="s">
        <v>116</v>
      </c>
      <c r="D406" s="37">
        <v>959.14</v>
      </c>
    </row>
    <row r="407" spans="1:4" x14ac:dyDescent="0.25">
      <c r="A407" s="19"/>
      <c r="B407" s="43"/>
      <c r="C407" s="39"/>
      <c r="D407" s="37"/>
    </row>
    <row r="408" spans="1:4" x14ac:dyDescent="0.25">
      <c r="A408" s="35">
        <v>100012490</v>
      </c>
      <c r="B408" s="44" t="s">
        <v>1085</v>
      </c>
      <c r="C408" s="41"/>
      <c r="D408" s="55">
        <v>964.41</v>
      </c>
    </row>
    <row r="409" spans="1:4" x14ac:dyDescent="0.25">
      <c r="A409" s="19"/>
      <c r="B409" s="43"/>
      <c r="C409" s="39"/>
      <c r="D409" s="55"/>
    </row>
    <row r="410" spans="1:4" x14ac:dyDescent="0.25">
      <c r="A410" s="35">
        <v>100012501</v>
      </c>
      <c r="B410" s="44" t="s">
        <v>1086</v>
      </c>
      <c r="C410" s="41" t="s">
        <v>1087</v>
      </c>
      <c r="D410" s="37">
        <v>969.5</v>
      </c>
    </row>
    <row r="411" spans="1:4" x14ac:dyDescent="0.25">
      <c r="A411" s="35">
        <v>100010140</v>
      </c>
      <c r="B411" s="44" t="s">
        <v>1086</v>
      </c>
      <c r="C411" s="41" t="s">
        <v>1088</v>
      </c>
      <c r="D411" s="37">
        <v>974.99</v>
      </c>
    </row>
    <row r="412" spans="1:4" x14ac:dyDescent="0.25">
      <c r="A412" s="19" t="s">
        <v>466</v>
      </c>
      <c r="B412" s="43" t="s">
        <v>467</v>
      </c>
      <c r="C412" s="39" t="s">
        <v>468</v>
      </c>
      <c r="D412" s="37">
        <v>974.993333333333</v>
      </c>
    </row>
    <row r="413" spans="1:4" x14ac:dyDescent="0.25">
      <c r="A413" s="35">
        <v>100012770</v>
      </c>
      <c r="B413" s="44" t="s">
        <v>282</v>
      </c>
      <c r="C413" s="41" t="s">
        <v>283</v>
      </c>
      <c r="D413" s="37">
        <v>991.8</v>
      </c>
    </row>
    <row r="414" spans="1:4" x14ac:dyDescent="0.25">
      <c r="A414" s="19">
        <v>100012770</v>
      </c>
      <c r="B414" s="43" t="s">
        <v>282</v>
      </c>
      <c r="C414" s="39" t="s">
        <v>283</v>
      </c>
      <c r="D414" s="37">
        <v>991.80333333333294</v>
      </c>
    </row>
    <row r="415" spans="1:4" x14ac:dyDescent="0.25">
      <c r="A415" s="35">
        <v>100010272</v>
      </c>
      <c r="B415" s="44" t="s">
        <v>1089</v>
      </c>
      <c r="C415" s="41"/>
      <c r="D415" s="37">
        <v>1005.9</v>
      </c>
    </row>
    <row r="416" spans="1:4" x14ac:dyDescent="0.25">
      <c r="A416" s="19" t="s">
        <v>708</v>
      </c>
      <c r="B416" s="43" t="s">
        <v>707</v>
      </c>
      <c r="C416" s="62"/>
      <c r="D416" s="37">
        <v>1006.42</v>
      </c>
    </row>
    <row r="417" spans="1:4" x14ac:dyDescent="0.25">
      <c r="A417" s="35"/>
      <c r="B417" s="44"/>
      <c r="C417" s="41"/>
      <c r="D417" s="37"/>
    </row>
    <row r="418" spans="1:4" x14ac:dyDescent="0.25">
      <c r="A418" s="35">
        <v>100010628</v>
      </c>
      <c r="B418" s="44" t="s">
        <v>153</v>
      </c>
      <c r="C418" s="41"/>
      <c r="D418" s="37">
        <v>1007.2</v>
      </c>
    </row>
    <row r="419" spans="1:4" x14ac:dyDescent="0.25">
      <c r="A419" s="19"/>
      <c r="B419" s="43"/>
      <c r="C419" s="39"/>
      <c r="D419" s="37"/>
    </row>
    <row r="420" spans="1:4" x14ac:dyDescent="0.25">
      <c r="A420" s="35"/>
      <c r="B420" s="44"/>
      <c r="C420" s="41"/>
      <c r="D420" s="37"/>
    </row>
    <row r="421" spans="1:4" x14ac:dyDescent="0.25">
      <c r="A421" s="19" t="s">
        <v>744</v>
      </c>
      <c r="B421" s="43" t="s">
        <v>732</v>
      </c>
      <c r="C421" s="39" t="s">
        <v>745</v>
      </c>
      <c r="D421" s="37">
        <v>1008.57</v>
      </c>
    </row>
    <row r="422" spans="1:4" x14ac:dyDescent="0.25">
      <c r="A422" s="35"/>
      <c r="B422" s="44"/>
      <c r="C422" s="41"/>
      <c r="D422" s="37"/>
    </row>
    <row r="423" spans="1:4" x14ac:dyDescent="0.25">
      <c r="A423" s="19" t="s">
        <v>961</v>
      </c>
      <c r="B423" s="43" t="s">
        <v>962</v>
      </c>
      <c r="C423" s="39" t="s">
        <v>963</v>
      </c>
      <c r="D423" s="37">
        <v>1014</v>
      </c>
    </row>
    <row r="424" spans="1:4" x14ac:dyDescent="0.25">
      <c r="A424" s="19" t="s">
        <v>455</v>
      </c>
      <c r="B424" s="43" t="s">
        <v>456</v>
      </c>
      <c r="C424" s="39" t="s">
        <v>457</v>
      </c>
      <c r="D424" s="37">
        <v>1015.9</v>
      </c>
    </row>
    <row r="425" spans="1:4" x14ac:dyDescent="0.25">
      <c r="A425" s="19">
        <v>100013114</v>
      </c>
      <c r="B425" s="43" t="s">
        <v>364</v>
      </c>
      <c r="C425" s="39"/>
      <c r="D425" s="37">
        <v>1021.6466666666699</v>
      </c>
    </row>
    <row r="426" spans="1:4" x14ac:dyDescent="0.25">
      <c r="A426" s="35">
        <v>100013114</v>
      </c>
      <c r="B426" s="44" t="s">
        <v>364</v>
      </c>
      <c r="C426" s="41"/>
      <c r="D426" s="37">
        <v>1021.65</v>
      </c>
    </row>
    <row r="427" spans="1:4" x14ac:dyDescent="0.25">
      <c r="A427" s="35">
        <v>100010140</v>
      </c>
      <c r="B427" s="44" t="s">
        <v>1090</v>
      </c>
      <c r="C427" s="41" t="s">
        <v>470</v>
      </c>
      <c r="D427" s="37">
        <v>1022.58</v>
      </c>
    </row>
    <row r="428" spans="1:4" x14ac:dyDescent="0.25">
      <c r="A428" s="19" t="s">
        <v>469</v>
      </c>
      <c r="B428" s="43" t="s">
        <v>467</v>
      </c>
      <c r="C428" s="39" t="s">
        <v>470</v>
      </c>
      <c r="D428" s="37">
        <v>1022.58333333333</v>
      </c>
    </row>
    <row r="429" spans="1:4" x14ac:dyDescent="0.25">
      <c r="A429" s="19" t="s">
        <v>814</v>
      </c>
      <c r="B429" s="43" t="s">
        <v>815</v>
      </c>
      <c r="C429" s="39"/>
      <c r="D429" s="37">
        <v>1044.79666666667</v>
      </c>
    </row>
    <row r="430" spans="1:4" x14ac:dyDescent="0.25">
      <c r="A430" s="35">
        <v>100012607</v>
      </c>
      <c r="B430" s="44" t="s">
        <v>815</v>
      </c>
      <c r="C430" s="41"/>
      <c r="D430" s="37">
        <v>1044.8</v>
      </c>
    </row>
    <row r="431" spans="1:4" x14ac:dyDescent="0.25">
      <c r="A431" s="19" t="s">
        <v>446</v>
      </c>
      <c r="B431" s="43" t="s">
        <v>447</v>
      </c>
      <c r="C431" s="39" t="s">
        <v>448</v>
      </c>
      <c r="D431" s="37">
        <v>1045.88666666667</v>
      </c>
    </row>
    <row r="432" spans="1:4" x14ac:dyDescent="0.25">
      <c r="A432" s="35">
        <v>100010138</v>
      </c>
      <c r="B432" s="44" t="s">
        <v>447</v>
      </c>
      <c r="C432" s="41" t="s">
        <v>448</v>
      </c>
      <c r="D432" s="37">
        <v>1045.8900000000001</v>
      </c>
    </row>
    <row r="433" spans="1:4" x14ac:dyDescent="0.25">
      <c r="A433" s="35">
        <v>100012653</v>
      </c>
      <c r="B433" s="44" t="s">
        <v>1091</v>
      </c>
      <c r="C433" s="41"/>
      <c r="D433" s="37">
        <v>1048.4000000000001</v>
      </c>
    </row>
    <row r="434" spans="1:4" x14ac:dyDescent="0.25">
      <c r="A434" s="35"/>
      <c r="B434" s="44"/>
      <c r="C434" s="41"/>
      <c r="D434" s="37"/>
    </row>
    <row r="435" spans="1:4" x14ac:dyDescent="0.25">
      <c r="A435" s="19" t="s">
        <v>473</v>
      </c>
      <c r="B435" s="43" t="s">
        <v>467</v>
      </c>
      <c r="C435" s="39" t="s">
        <v>474</v>
      </c>
      <c r="D435" s="37">
        <v>1052.45</v>
      </c>
    </row>
    <row r="436" spans="1:4" x14ac:dyDescent="0.25">
      <c r="A436" s="19" t="s">
        <v>429</v>
      </c>
      <c r="B436" s="43" t="s">
        <v>430</v>
      </c>
      <c r="C436" s="39"/>
      <c r="D436" s="37">
        <v>1054.85666666667</v>
      </c>
    </row>
    <row r="437" spans="1:4" x14ac:dyDescent="0.25">
      <c r="A437" s="35">
        <v>100010123</v>
      </c>
      <c r="B437" s="44" t="s">
        <v>430</v>
      </c>
      <c r="C437" s="41"/>
      <c r="D437" s="37">
        <v>1054.8599999999999</v>
      </c>
    </row>
    <row r="438" spans="1:4" x14ac:dyDescent="0.25">
      <c r="A438" s="19">
        <v>100002315</v>
      </c>
      <c r="B438" s="43" t="s">
        <v>92</v>
      </c>
      <c r="C438" s="39"/>
      <c r="D438" s="40">
        <v>1066.9000000000001</v>
      </c>
    </row>
    <row r="439" spans="1:4" x14ac:dyDescent="0.25">
      <c r="A439" s="35"/>
      <c r="B439" s="44"/>
      <c r="C439" s="41"/>
      <c r="D439" s="37"/>
    </row>
    <row r="440" spans="1:4" x14ac:dyDescent="0.25">
      <c r="A440" s="35">
        <v>100010734</v>
      </c>
      <c r="B440" s="44" t="s">
        <v>1092</v>
      </c>
      <c r="C440" s="41"/>
      <c r="D440" s="37">
        <v>1077.3800000000001</v>
      </c>
    </row>
    <row r="441" spans="1:4" x14ac:dyDescent="0.25">
      <c r="A441" s="35">
        <v>100013063</v>
      </c>
      <c r="B441" s="44" t="s">
        <v>942</v>
      </c>
      <c r="C441" s="41" t="s">
        <v>1093</v>
      </c>
      <c r="D441" s="37">
        <v>1087.96</v>
      </c>
    </row>
    <row r="442" spans="1:4" x14ac:dyDescent="0.25">
      <c r="A442" s="19" t="s">
        <v>941</v>
      </c>
      <c r="B442" s="43" t="s">
        <v>942</v>
      </c>
      <c r="C442" s="39" t="s">
        <v>943</v>
      </c>
      <c r="D442" s="37">
        <v>1087.96333333333</v>
      </c>
    </row>
    <row r="443" spans="1:4" x14ac:dyDescent="0.25">
      <c r="A443" s="35">
        <v>100010291</v>
      </c>
      <c r="B443" s="44" t="s">
        <v>528</v>
      </c>
      <c r="C443" s="41" t="s">
        <v>529</v>
      </c>
      <c r="D443" s="37">
        <v>1089.5999999999999</v>
      </c>
    </row>
    <row r="444" spans="1:4" x14ac:dyDescent="0.25">
      <c r="A444" s="19" t="s">
        <v>527</v>
      </c>
      <c r="B444" s="43" t="s">
        <v>528</v>
      </c>
      <c r="C444" s="39" t="s">
        <v>529</v>
      </c>
      <c r="D444" s="37">
        <v>1089.5999999999999</v>
      </c>
    </row>
    <row r="445" spans="1:4" x14ac:dyDescent="0.25">
      <c r="A445" s="19">
        <v>100010828</v>
      </c>
      <c r="B445" s="43" t="s">
        <v>169</v>
      </c>
      <c r="C445" s="39"/>
      <c r="D445" s="37">
        <v>1092.99</v>
      </c>
    </row>
    <row r="446" spans="1:4" x14ac:dyDescent="0.25">
      <c r="A446" s="35">
        <v>100010828</v>
      </c>
      <c r="B446" s="44" t="s">
        <v>169</v>
      </c>
      <c r="C446" s="41"/>
      <c r="D446" s="37">
        <v>1092.99</v>
      </c>
    </row>
    <row r="447" spans="1:4" x14ac:dyDescent="0.25">
      <c r="A447" s="35">
        <v>100013081</v>
      </c>
      <c r="B447" s="44" t="s">
        <v>1051</v>
      </c>
      <c r="C447" s="41" t="s">
        <v>1094</v>
      </c>
      <c r="D447" s="37">
        <v>1093.31</v>
      </c>
    </row>
    <row r="448" spans="1:4" x14ac:dyDescent="0.25">
      <c r="A448" s="19" t="s">
        <v>959</v>
      </c>
      <c r="B448" s="43" t="s">
        <v>953</v>
      </c>
      <c r="C448" s="39" t="s">
        <v>960</v>
      </c>
      <c r="D448" s="37">
        <v>1093.31</v>
      </c>
    </row>
    <row r="449" spans="1:4" x14ac:dyDescent="0.25">
      <c r="A449" s="19" t="s">
        <v>477</v>
      </c>
      <c r="B449" s="43" t="s">
        <v>478</v>
      </c>
      <c r="C449" s="39"/>
      <c r="D449" s="37">
        <v>1095.7466666666701</v>
      </c>
    </row>
    <row r="450" spans="1:4" x14ac:dyDescent="0.25">
      <c r="A450" s="35">
        <v>100010140</v>
      </c>
      <c r="B450" s="44" t="s">
        <v>1095</v>
      </c>
      <c r="C450" s="41"/>
      <c r="D450" s="37">
        <v>1095.75</v>
      </c>
    </row>
    <row r="451" spans="1:4" x14ac:dyDescent="0.25">
      <c r="A451" s="19">
        <v>100010149</v>
      </c>
      <c r="B451" s="38" t="s">
        <v>126</v>
      </c>
      <c r="C451" s="39"/>
      <c r="D451" s="37">
        <v>1097.04666666667</v>
      </c>
    </row>
    <row r="452" spans="1:4" x14ac:dyDescent="0.25">
      <c r="A452" s="35">
        <v>100010149</v>
      </c>
      <c r="B452" s="44" t="s">
        <v>1096</v>
      </c>
      <c r="C452" s="41"/>
      <c r="D452" s="37">
        <v>1097.05</v>
      </c>
    </row>
    <row r="453" spans="1:4" x14ac:dyDescent="0.25">
      <c r="A453" s="19">
        <v>100012599</v>
      </c>
      <c r="B453" s="43" t="s">
        <v>252</v>
      </c>
      <c r="C453" s="39"/>
      <c r="D453" s="37">
        <v>1101</v>
      </c>
    </row>
    <row r="454" spans="1:4" x14ac:dyDescent="0.25">
      <c r="A454" s="35">
        <v>100012599</v>
      </c>
      <c r="B454" s="29" t="s">
        <v>252</v>
      </c>
      <c r="C454" s="41"/>
      <c r="D454" s="37">
        <v>1101</v>
      </c>
    </row>
    <row r="455" spans="1:4" x14ac:dyDescent="0.25">
      <c r="A455" s="35">
        <v>100010140</v>
      </c>
      <c r="B455" s="29" t="s">
        <v>1097</v>
      </c>
      <c r="C455" s="41"/>
      <c r="D455" s="37">
        <v>1113.29</v>
      </c>
    </row>
    <row r="456" spans="1:4" x14ac:dyDescent="0.25">
      <c r="A456" s="19" t="s">
        <v>479</v>
      </c>
      <c r="B456" s="38" t="s">
        <v>480</v>
      </c>
      <c r="C456" s="39"/>
      <c r="D456" s="37">
        <v>1113.2933333333301</v>
      </c>
    </row>
    <row r="457" spans="1:4" x14ac:dyDescent="0.25">
      <c r="A457" s="19">
        <v>100012751</v>
      </c>
      <c r="B457" s="38" t="s">
        <v>279</v>
      </c>
      <c r="C457" s="39"/>
      <c r="D457" s="37">
        <v>1123.63666666667</v>
      </c>
    </row>
    <row r="458" spans="1:4" x14ac:dyDescent="0.25">
      <c r="A458" s="35">
        <v>100012751</v>
      </c>
      <c r="B458" s="29" t="s">
        <v>1098</v>
      </c>
      <c r="C458" s="41"/>
      <c r="D458" s="37">
        <v>1123.6400000000001</v>
      </c>
    </row>
    <row r="459" spans="1:4" x14ac:dyDescent="0.25">
      <c r="A459" s="35">
        <v>100012262</v>
      </c>
      <c r="B459" s="44" t="s">
        <v>1099</v>
      </c>
      <c r="C459" s="41"/>
      <c r="D459" s="37">
        <v>1132.93</v>
      </c>
    </row>
    <row r="460" spans="1:4" x14ac:dyDescent="0.25">
      <c r="A460" s="19">
        <v>100012262</v>
      </c>
      <c r="B460" s="43" t="s">
        <v>206</v>
      </c>
      <c r="C460" s="39"/>
      <c r="D460" s="37">
        <v>1132.93333333333</v>
      </c>
    </row>
    <row r="461" spans="1:4" x14ac:dyDescent="0.25">
      <c r="A461" s="35">
        <v>100010846</v>
      </c>
      <c r="B461" s="44" t="s">
        <v>173</v>
      </c>
      <c r="C461" s="41" t="s">
        <v>174</v>
      </c>
      <c r="D461" s="37">
        <v>1136.93</v>
      </c>
    </row>
    <row r="462" spans="1:4" x14ac:dyDescent="0.25">
      <c r="A462" s="19">
        <v>100010846</v>
      </c>
      <c r="B462" s="43" t="s">
        <v>173</v>
      </c>
      <c r="C462" s="39" t="s">
        <v>174</v>
      </c>
      <c r="D462" s="37">
        <v>1136.93333333333</v>
      </c>
    </row>
    <row r="463" spans="1:4" x14ac:dyDescent="0.25">
      <c r="A463" s="35">
        <v>100012829</v>
      </c>
      <c r="B463" s="44" t="s">
        <v>1100</v>
      </c>
      <c r="C463" s="41"/>
      <c r="D463" s="37">
        <v>1139.32</v>
      </c>
    </row>
    <row r="464" spans="1:4" x14ac:dyDescent="0.25">
      <c r="A464" s="19">
        <v>100012829</v>
      </c>
      <c r="B464" s="38" t="s">
        <v>302</v>
      </c>
      <c r="C464" s="39"/>
      <c r="D464" s="37">
        <v>1139.3233333333301</v>
      </c>
    </row>
    <row r="465" spans="1:4" x14ac:dyDescent="0.25">
      <c r="A465" s="19" t="s">
        <v>902</v>
      </c>
      <c r="B465" s="43" t="s">
        <v>903</v>
      </c>
      <c r="C465" s="39" t="s">
        <v>904</v>
      </c>
      <c r="D465" s="37">
        <v>1143.03666666667</v>
      </c>
    </row>
    <row r="466" spans="1:4" x14ac:dyDescent="0.25">
      <c r="A466" s="35">
        <v>100012799</v>
      </c>
      <c r="B466" s="44" t="s">
        <v>903</v>
      </c>
      <c r="C466" s="41" t="s">
        <v>904</v>
      </c>
      <c r="D466" s="37">
        <v>1143.04</v>
      </c>
    </row>
    <row r="467" spans="1:4" x14ac:dyDescent="0.25">
      <c r="A467" s="35">
        <v>100010813</v>
      </c>
      <c r="B467" s="44" t="s">
        <v>612</v>
      </c>
      <c r="C467" s="41" t="s">
        <v>1101</v>
      </c>
      <c r="D467" s="37">
        <v>1144.02</v>
      </c>
    </row>
    <row r="468" spans="1:4" x14ac:dyDescent="0.25">
      <c r="A468" s="19" t="s">
        <v>616</v>
      </c>
      <c r="B468" s="43" t="s">
        <v>612</v>
      </c>
      <c r="C468" s="39" t="s">
        <v>617</v>
      </c>
      <c r="D468" s="37">
        <v>1144.0233333333299</v>
      </c>
    </row>
    <row r="469" spans="1:4" x14ac:dyDescent="0.25">
      <c r="A469" s="35"/>
      <c r="B469" s="44"/>
      <c r="C469" s="41"/>
      <c r="D469" s="37"/>
    </row>
    <row r="470" spans="1:4" x14ac:dyDescent="0.25">
      <c r="A470" s="19" t="s">
        <v>475</v>
      </c>
      <c r="B470" s="43" t="s">
        <v>476</v>
      </c>
      <c r="C470" s="39"/>
      <c r="D470" s="37">
        <v>1157.23</v>
      </c>
    </row>
    <row r="471" spans="1:4" x14ac:dyDescent="0.25">
      <c r="A471" s="35"/>
      <c r="B471" s="44"/>
      <c r="C471" s="41"/>
      <c r="D471" s="37"/>
    </row>
    <row r="472" spans="1:4" x14ac:dyDescent="0.25">
      <c r="A472" s="19" t="s">
        <v>930</v>
      </c>
      <c r="B472" s="43" t="s">
        <v>931</v>
      </c>
      <c r="C472" s="39"/>
      <c r="D472" s="37">
        <v>1157.33</v>
      </c>
    </row>
    <row r="473" spans="1:4" x14ac:dyDescent="0.25">
      <c r="A473" s="19" t="s">
        <v>977</v>
      </c>
      <c r="B473" s="43" t="s">
        <v>978</v>
      </c>
      <c r="C473" s="39" t="s">
        <v>979</v>
      </c>
      <c r="D473" s="37">
        <v>1174.57</v>
      </c>
    </row>
    <row r="474" spans="1:4" x14ac:dyDescent="0.25">
      <c r="A474" s="35"/>
      <c r="B474" s="44"/>
      <c r="C474" s="41"/>
      <c r="D474" s="37"/>
    </row>
    <row r="475" spans="1:4" x14ac:dyDescent="0.25">
      <c r="A475" s="35"/>
      <c r="B475" s="44"/>
      <c r="C475" s="41"/>
      <c r="D475" s="37"/>
    </row>
    <row r="476" spans="1:4" x14ac:dyDescent="0.25">
      <c r="A476" s="19" t="s">
        <v>571</v>
      </c>
      <c r="B476" s="43" t="s">
        <v>572</v>
      </c>
      <c r="C476" s="39" t="s">
        <v>135</v>
      </c>
      <c r="D476" s="37">
        <v>1181.93</v>
      </c>
    </row>
    <row r="477" spans="1:4" x14ac:dyDescent="0.25">
      <c r="A477" s="19" t="s">
        <v>499</v>
      </c>
      <c r="B477" s="43" t="s">
        <v>500</v>
      </c>
      <c r="C477" s="39"/>
      <c r="D477" s="37">
        <v>1192.67</v>
      </c>
    </row>
    <row r="478" spans="1:4" x14ac:dyDescent="0.25">
      <c r="A478" s="35"/>
      <c r="B478" s="44"/>
      <c r="C478" s="41"/>
      <c r="D478" s="37"/>
    </row>
    <row r="479" spans="1:4" x14ac:dyDescent="0.25">
      <c r="A479" s="19" t="s">
        <v>994</v>
      </c>
      <c r="B479" s="43" t="s">
        <v>992</v>
      </c>
      <c r="C479" s="39" t="s">
        <v>995</v>
      </c>
      <c r="D479" s="37">
        <v>1196.9000000000001</v>
      </c>
    </row>
    <row r="480" spans="1:4" x14ac:dyDescent="0.25">
      <c r="A480" s="35"/>
      <c r="B480" s="44"/>
      <c r="C480" s="41"/>
      <c r="D480" s="37"/>
    </row>
    <row r="481" spans="1:4" x14ac:dyDescent="0.25">
      <c r="A481" s="19">
        <v>100010780</v>
      </c>
      <c r="B481" s="43" t="s">
        <v>163</v>
      </c>
      <c r="C481" s="39" t="s">
        <v>164</v>
      </c>
      <c r="D481" s="37">
        <v>1199.6300000000001</v>
      </c>
    </row>
    <row r="482" spans="1:4" x14ac:dyDescent="0.25">
      <c r="A482" s="35"/>
      <c r="B482" s="44"/>
      <c r="C482" s="41"/>
      <c r="D482" s="37"/>
    </row>
    <row r="483" spans="1:4" x14ac:dyDescent="0.25">
      <c r="A483" s="19" t="s">
        <v>860</v>
      </c>
      <c r="B483" s="43" t="s">
        <v>861</v>
      </c>
      <c r="C483" s="39" t="s">
        <v>862</v>
      </c>
      <c r="D483" s="37">
        <v>1210.3800000000001</v>
      </c>
    </row>
    <row r="484" spans="1:4" x14ac:dyDescent="0.25">
      <c r="A484" s="35"/>
      <c r="B484" s="44"/>
      <c r="C484" s="41"/>
      <c r="D484" s="37"/>
    </row>
    <row r="485" spans="1:4" x14ac:dyDescent="0.25">
      <c r="A485" s="19" t="s">
        <v>836</v>
      </c>
      <c r="B485" s="43" t="s">
        <v>837</v>
      </c>
      <c r="C485" s="39" t="s">
        <v>838</v>
      </c>
      <c r="D485" s="48">
        <v>1233</v>
      </c>
    </row>
    <row r="486" spans="1:4" x14ac:dyDescent="0.25">
      <c r="A486" s="59"/>
      <c r="B486" s="61"/>
      <c r="C486" s="60"/>
      <c r="D486" s="48"/>
    </row>
    <row r="487" spans="1:4" x14ac:dyDescent="0.25">
      <c r="A487" s="59">
        <v>100010721</v>
      </c>
      <c r="B487" s="61" t="s">
        <v>159</v>
      </c>
      <c r="C487" s="60" t="s">
        <v>160</v>
      </c>
      <c r="D487" s="48">
        <v>1248.23</v>
      </c>
    </row>
    <row r="488" spans="1:4" x14ac:dyDescent="0.25">
      <c r="A488" s="46"/>
      <c r="B488" s="47"/>
      <c r="C488" s="66"/>
      <c r="D488" s="48"/>
    </row>
    <row r="489" spans="1:4" x14ac:dyDescent="0.25">
      <c r="A489" s="59">
        <v>100010219</v>
      </c>
      <c r="B489" s="61" t="s">
        <v>1047</v>
      </c>
      <c r="C489" s="60" t="s">
        <v>507</v>
      </c>
      <c r="D489" s="48">
        <v>1255.3</v>
      </c>
    </row>
    <row r="490" spans="1:4" x14ac:dyDescent="0.25">
      <c r="A490" s="59"/>
      <c r="B490" s="61"/>
      <c r="C490" s="60"/>
      <c r="D490" s="48"/>
    </row>
    <row r="491" spans="1:4" x14ac:dyDescent="0.25">
      <c r="A491" s="46" t="s">
        <v>506</v>
      </c>
      <c r="B491" s="47" t="s">
        <v>502</v>
      </c>
      <c r="C491" s="66" t="s">
        <v>507</v>
      </c>
      <c r="D491" s="48">
        <v>1255.3</v>
      </c>
    </row>
    <row r="492" spans="1:4" x14ac:dyDescent="0.25">
      <c r="A492" s="46" t="s">
        <v>512</v>
      </c>
      <c r="B492" s="47" t="s">
        <v>513</v>
      </c>
      <c r="C492" s="66"/>
      <c r="D492" s="48">
        <v>1255.3</v>
      </c>
    </row>
    <row r="493" spans="1:4" x14ac:dyDescent="0.25">
      <c r="A493" s="59">
        <v>100012861</v>
      </c>
      <c r="B493" s="61" t="s">
        <v>913</v>
      </c>
      <c r="C493" s="60" t="s">
        <v>916</v>
      </c>
      <c r="D493" s="48">
        <v>1273.5999999999999</v>
      </c>
    </row>
    <row r="494" spans="1:4" x14ac:dyDescent="0.25">
      <c r="A494" s="46" t="s">
        <v>915</v>
      </c>
      <c r="B494" s="47" t="s">
        <v>913</v>
      </c>
      <c r="C494" s="66" t="s">
        <v>916</v>
      </c>
      <c r="D494" s="48">
        <v>1273.5999999999999</v>
      </c>
    </row>
    <row r="495" spans="1:4" x14ac:dyDescent="0.25">
      <c r="A495" s="59">
        <v>100012737</v>
      </c>
      <c r="B495" s="61" t="s">
        <v>870</v>
      </c>
      <c r="C495" s="60" t="s">
        <v>875</v>
      </c>
      <c r="D495" s="48">
        <v>1276.6199999999999</v>
      </c>
    </row>
    <row r="496" spans="1:4" x14ac:dyDescent="0.25">
      <c r="A496" s="46" t="s">
        <v>874</v>
      </c>
      <c r="B496" s="47" t="s">
        <v>870</v>
      </c>
      <c r="C496" s="66" t="s">
        <v>875</v>
      </c>
      <c r="D496" s="48">
        <v>1276.6199999999999</v>
      </c>
    </row>
    <row r="497" spans="1:4" x14ac:dyDescent="0.25">
      <c r="A497" s="46">
        <v>100013119</v>
      </c>
      <c r="B497" s="47" t="s">
        <v>366</v>
      </c>
      <c r="C497" s="66"/>
      <c r="D497" s="48">
        <v>1278.80666666667</v>
      </c>
    </row>
    <row r="498" spans="1:4" x14ac:dyDescent="0.25">
      <c r="A498" s="59">
        <v>100013119</v>
      </c>
      <c r="B498" s="61" t="s">
        <v>366</v>
      </c>
      <c r="C498" s="60"/>
      <c r="D498" s="48">
        <v>1278.81</v>
      </c>
    </row>
    <row r="499" spans="1:4" x14ac:dyDescent="0.25">
      <c r="A499" s="59">
        <v>100012801</v>
      </c>
      <c r="B499" s="61" t="s">
        <v>1102</v>
      </c>
      <c r="C499" s="60" t="s">
        <v>1103</v>
      </c>
      <c r="D499" s="48">
        <v>1280.0899999999999</v>
      </c>
    </row>
    <row r="500" spans="1:4" x14ac:dyDescent="0.25">
      <c r="A500" s="46" t="s">
        <v>879</v>
      </c>
      <c r="B500" s="47" t="s">
        <v>880</v>
      </c>
      <c r="C500" s="66"/>
      <c r="D500" s="48">
        <v>1293.55666666667</v>
      </c>
    </row>
    <row r="501" spans="1:4" x14ac:dyDescent="0.25">
      <c r="A501" s="59">
        <v>100012778</v>
      </c>
      <c r="B501" s="61" t="s">
        <v>1104</v>
      </c>
      <c r="C501" s="60"/>
      <c r="D501" s="48">
        <v>1293.56</v>
      </c>
    </row>
    <row r="502" spans="1:4" x14ac:dyDescent="0.25">
      <c r="A502" s="59">
        <v>100010841</v>
      </c>
      <c r="B502" s="61" t="s">
        <v>1105</v>
      </c>
      <c r="C502" s="60"/>
      <c r="D502" s="48">
        <v>1300.8</v>
      </c>
    </row>
    <row r="503" spans="1:4" x14ac:dyDescent="0.25">
      <c r="A503" s="46">
        <v>100010841</v>
      </c>
      <c r="B503" s="47" t="s">
        <v>172</v>
      </c>
      <c r="C503" s="66"/>
      <c r="D503" s="48">
        <v>1300.8033333333301</v>
      </c>
    </row>
    <row r="504" spans="1:4" x14ac:dyDescent="0.25">
      <c r="A504" s="59">
        <v>100011316</v>
      </c>
      <c r="B504" s="61" t="s">
        <v>181</v>
      </c>
      <c r="C504" s="60"/>
      <c r="D504" s="48">
        <v>1317.63</v>
      </c>
    </row>
    <row r="505" spans="1:4" x14ac:dyDescent="0.25">
      <c r="A505" s="46">
        <v>100011316</v>
      </c>
      <c r="B505" s="47" t="s">
        <v>181</v>
      </c>
      <c r="C505" s="66"/>
      <c r="D505" s="48">
        <v>1317.63333333333</v>
      </c>
    </row>
    <row r="506" spans="1:4" x14ac:dyDescent="0.25">
      <c r="A506" s="46">
        <v>100012249</v>
      </c>
      <c r="B506" s="47" t="s">
        <v>697</v>
      </c>
      <c r="C506" s="66"/>
      <c r="D506" s="48">
        <v>1318.63</v>
      </c>
    </row>
    <row r="507" spans="1:4" x14ac:dyDescent="0.25">
      <c r="A507" s="59">
        <v>100012249</v>
      </c>
      <c r="B507" s="61" t="s">
        <v>697</v>
      </c>
      <c r="C507" s="60"/>
      <c r="D507" s="48">
        <v>1318.63</v>
      </c>
    </row>
    <row r="508" spans="1:4" x14ac:dyDescent="0.25">
      <c r="A508" s="59">
        <v>100010219</v>
      </c>
      <c r="B508" s="61" t="s">
        <v>1047</v>
      </c>
      <c r="C508" s="60" t="s">
        <v>505</v>
      </c>
      <c r="D508" s="48">
        <v>1325.63</v>
      </c>
    </row>
    <row r="509" spans="1:4" x14ac:dyDescent="0.25">
      <c r="A509" s="46" t="s">
        <v>504</v>
      </c>
      <c r="B509" s="47" t="s">
        <v>502</v>
      </c>
      <c r="C509" s="66" t="s">
        <v>505</v>
      </c>
      <c r="D509" s="48">
        <v>1325.63333333333</v>
      </c>
    </row>
    <row r="510" spans="1:4" x14ac:dyDescent="0.25">
      <c r="A510" s="46">
        <v>100012049</v>
      </c>
      <c r="B510" s="47" t="s">
        <v>196</v>
      </c>
      <c r="C510" s="66" t="s">
        <v>197</v>
      </c>
      <c r="D510" s="48">
        <v>1343</v>
      </c>
    </row>
    <row r="511" spans="1:4" x14ac:dyDescent="0.25">
      <c r="A511" s="59">
        <v>100012049</v>
      </c>
      <c r="B511" s="61" t="s">
        <v>196</v>
      </c>
      <c r="C511" s="60" t="s">
        <v>197</v>
      </c>
      <c r="D511" s="48">
        <v>1343</v>
      </c>
    </row>
    <row r="512" spans="1:4" x14ac:dyDescent="0.25">
      <c r="A512" s="59">
        <v>100002274</v>
      </c>
      <c r="B512" s="61" t="s">
        <v>381</v>
      </c>
      <c r="C512" s="60"/>
      <c r="D512" s="48">
        <v>1353.59</v>
      </c>
    </row>
    <row r="513" spans="1:4" x14ac:dyDescent="0.25">
      <c r="A513" s="46" t="s">
        <v>382</v>
      </c>
      <c r="B513" s="47" t="s">
        <v>383</v>
      </c>
      <c r="C513" s="66"/>
      <c r="D513" s="74">
        <v>1353.59</v>
      </c>
    </row>
    <row r="514" spans="1:4" x14ac:dyDescent="0.25">
      <c r="A514" s="59">
        <v>100013113</v>
      </c>
      <c r="B514" s="61" t="s">
        <v>1106</v>
      </c>
      <c r="C514" s="60" t="s">
        <v>998</v>
      </c>
      <c r="D514" s="48">
        <v>1364.22</v>
      </c>
    </row>
    <row r="515" spans="1:4" x14ac:dyDescent="0.25">
      <c r="A515" s="46" t="s">
        <v>996</v>
      </c>
      <c r="B515" s="47" t="s">
        <v>997</v>
      </c>
      <c r="C515" s="66" t="s">
        <v>998</v>
      </c>
      <c r="D515" s="48">
        <v>1364.2233333333299</v>
      </c>
    </row>
    <row r="516" spans="1:4" x14ac:dyDescent="0.25">
      <c r="A516" s="46" t="s">
        <v>510</v>
      </c>
      <c r="B516" s="47" t="s">
        <v>511</v>
      </c>
      <c r="C516" s="66"/>
      <c r="D516" s="48">
        <v>1373.9666666666701</v>
      </c>
    </row>
    <row r="517" spans="1:4" x14ac:dyDescent="0.25">
      <c r="A517" s="59">
        <v>100010219</v>
      </c>
      <c r="B517" s="61" t="s">
        <v>511</v>
      </c>
      <c r="C517" s="60"/>
      <c r="D517" s="48">
        <v>1373.97</v>
      </c>
    </row>
    <row r="518" spans="1:4" x14ac:dyDescent="0.25">
      <c r="A518" s="46" t="s">
        <v>781</v>
      </c>
      <c r="B518" s="47" t="s">
        <v>779</v>
      </c>
      <c r="C518" s="66" t="s">
        <v>782</v>
      </c>
      <c r="D518" s="48">
        <v>1376.7666666666701</v>
      </c>
    </row>
    <row r="519" spans="1:4" x14ac:dyDescent="0.25">
      <c r="A519" s="59">
        <v>100012551</v>
      </c>
      <c r="B519" s="61" t="s">
        <v>1107</v>
      </c>
      <c r="C519" s="60" t="s">
        <v>782</v>
      </c>
      <c r="D519" s="48">
        <v>1376.77</v>
      </c>
    </row>
    <row r="520" spans="1:4" x14ac:dyDescent="0.25">
      <c r="A520" s="46">
        <v>100012915</v>
      </c>
      <c r="B520" s="47" t="s">
        <v>348</v>
      </c>
      <c r="C520" s="66"/>
      <c r="D520" s="48">
        <v>1386.9566666666699</v>
      </c>
    </row>
    <row r="521" spans="1:4" x14ac:dyDescent="0.25">
      <c r="A521" s="59">
        <v>100012915</v>
      </c>
      <c r="B521" s="61" t="s">
        <v>348</v>
      </c>
      <c r="C521" s="60"/>
      <c r="D521" s="48">
        <v>1386.96</v>
      </c>
    </row>
    <row r="522" spans="1:4" x14ac:dyDescent="0.25">
      <c r="A522" s="59">
        <v>100012392</v>
      </c>
      <c r="B522" s="61" t="s">
        <v>1108</v>
      </c>
      <c r="C522" s="60"/>
      <c r="D522" s="48">
        <v>1416.75</v>
      </c>
    </row>
    <row r="523" spans="1:4" x14ac:dyDescent="0.25">
      <c r="A523" s="59">
        <v>100013086</v>
      </c>
      <c r="B523" s="61" t="s">
        <v>973</v>
      </c>
      <c r="C523" s="60" t="s">
        <v>974</v>
      </c>
      <c r="D523" s="48">
        <v>1418.01</v>
      </c>
    </row>
    <row r="524" spans="1:4" x14ac:dyDescent="0.25">
      <c r="A524" s="46" t="s">
        <v>972</v>
      </c>
      <c r="B524" s="47" t="s">
        <v>973</v>
      </c>
      <c r="C524" s="68" t="s">
        <v>974</v>
      </c>
      <c r="D524" s="48">
        <v>1418.01</v>
      </c>
    </row>
    <row r="525" spans="1:4" x14ac:dyDescent="0.25">
      <c r="A525" s="46" t="s">
        <v>380</v>
      </c>
      <c r="B525" s="47" t="s">
        <v>381</v>
      </c>
      <c r="C525" s="66"/>
      <c r="D525" s="74">
        <v>1439.6666666666699</v>
      </c>
    </row>
    <row r="526" spans="1:4" x14ac:dyDescent="0.25">
      <c r="A526" s="59">
        <v>100002274</v>
      </c>
      <c r="B526" s="61" t="s">
        <v>381</v>
      </c>
      <c r="C526" s="60"/>
      <c r="D526" s="48">
        <v>1439.67</v>
      </c>
    </row>
    <row r="527" spans="1:4" x14ac:dyDescent="0.25">
      <c r="A527" s="59">
        <v>100011373</v>
      </c>
      <c r="B527" s="61" t="s">
        <v>183</v>
      </c>
      <c r="C527" s="60"/>
      <c r="D527" s="48">
        <v>1451.83</v>
      </c>
    </row>
    <row r="528" spans="1:4" x14ac:dyDescent="0.25">
      <c r="A528" s="46">
        <v>100011373</v>
      </c>
      <c r="B528" s="47" t="s">
        <v>183</v>
      </c>
      <c r="C528" s="66"/>
      <c r="D528" s="48">
        <v>1451.8333333333301</v>
      </c>
    </row>
    <row r="529" spans="1:4" x14ac:dyDescent="0.25">
      <c r="A529" s="59">
        <v>100010083</v>
      </c>
      <c r="B529" s="61" t="s">
        <v>1109</v>
      </c>
      <c r="C529" s="60"/>
      <c r="D529" s="48">
        <v>1466.55</v>
      </c>
    </row>
    <row r="530" spans="1:4" x14ac:dyDescent="0.25">
      <c r="A530" s="46">
        <v>100012539</v>
      </c>
      <c r="B530" s="47" t="s">
        <v>241</v>
      </c>
      <c r="C530" s="66"/>
      <c r="D530" s="48">
        <v>1470.9366666666699</v>
      </c>
    </row>
    <row r="531" spans="1:4" x14ac:dyDescent="0.25">
      <c r="A531" s="59">
        <v>100012539</v>
      </c>
      <c r="B531" s="61" t="s">
        <v>241</v>
      </c>
      <c r="C531" s="60"/>
      <c r="D531" s="48">
        <v>1470.94</v>
      </c>
    </row>
    <row r="532" spans="1:4" x14ac:dyDescent="0.25">
      <c r="A532" s="46" t="s">
        <v>826</v>
      </c>
      <c r="B532" s="47" t="s">
        <v>824</v>
      </c>
      <c r="C532" s="66" t="s">
        <v>827</v>
      </c>
      <c r="D532" s="48">
        <v>1471.7766666666701</v>
      </c>
    </row>
    <row r="533" spans="1:4" x14ac:dyDescent="0.25">
      <c r="A533" s="59">
        <v>100012641</v>
      </c>
      <c r="B533" s="61" t="s">
        <v>1110</v>
      </c>
      <c r="C533" s="60" t="s">
        <v>827</v>
      </c>
      <c r="D533" s="48">
        <v>1471.78</v>
      </c>
    </row>
    <row r="534" spans="1:4" x14ac:dyDescent="0.25">
      <c r="A534" s="46">
        <v>100010439</v>
      </c>
      <c r="B534" s="47" t="s">
        <v>134</v>
      </c>
      <c r="C534" s="66" t="s">
        <v>135</v>
      </c>
      <c r="D534" s="48">
        <v>1476.3</v>
      </c>
    </row>
    <row r="535" spans="1:4" x14ac:dyDescent="0.25">
      <c r="A535" s="59">
        <v>100010439</v>
      </c>
      <c r="B535" s="61" t="s">
        <v>134</v>
      </c>
      <c r="C535" s="60" t="s">
        <v>135</v>
      </c>
      <c r="D535" s="48">
        <v>1476.3</v>
      </c>
    </row>
    <row r="536" spans="1:4" x14ac:dyDescent="0.25">
      <c r="A536" s="59">
        <v>100012640</v>
      </c>
      <c r="B536" s="61" t="s">
        <v>265</v>
      </c>
      <c r="C536" s="60"/>
      <c r="D536" s="48">
        <v>1476.99</v>
      </c>
    </row>
    <row r="537" spans="1:4" x14ac:dyDescent="0.25">
      <c r="A537" s="46">
        <v>100012640</v>
      </c>
      <c r="B537" s="47" t="s">
        <v>265</v>
      </c>
      <c r="C537" s="70"/>
      <c r="D537" s="48">
        <v>1476.9933333333299</v>
      </c>
    </row>
    <row r="538" spans="1:4" x14ac:dyDescent="0.25">
      <c r="A538" s="59">
        <v>100002332</v>
      </c>
      <c r="B538" s="61" t="s">
        <v>1111</v>
      </c>
      <c r="C538" s="60"/>
      <c r="D538" s="48">
        <v>1487.23</v>
      </c>
    </row>
    <row r="539" spans="1:4" x14ac:dyDescent="0.25">
      <c r="A539" s="46">
        <v>100002332</v>
      </c>
      <c r="B539" s="47" t="s">
        <v>98</v>
      </c>
      <c r="C539" s="66"/>
      <c r="D539" s="48">
        <v>1487.23</v>
      </c>
    </row>
    <row r="540" spans="1:4" x14ac:dyDescent="0.25">
      <c r="A540" s="59">
        <v>100002286</v>
      </c>
      <c r="B540" s="61" t="s">
        <v>89</v>
      </c>
      <c r="C540" s="60"/>
      <c r="D540" s="48">
        <v>1496.82</v>
      </c>
    </row>
    <row r="541" spans="1:4" x14ac:dyDescent="0.25">
      <c r="A541" s="46">
        <v>100002286</v>
      </c>
      <c r="B541" s="47" t="s">
        <v>89</v>
      </c>
      <c r="C541" s="66"/>
      <c r="D541" s="74">
        <v>1496.8233333333301</v>
      </c>
    </row>
    <row r="542" spans="1:4" x14ac:dyDescent="0.25">
      <c r="A542" s="46" t="s">
        <v>719</v>
      </c>
      <c r="B542" s="47" t="s">
        <v>715</v>
      </c>
      <c r="C542" s="66" t="s">
        <v>720</v>
      </c>
      <c r="D542" s="48">
        <v>1499.0166666666701</v>
      </c>
    </row>
    <row r="543" spans="1:4" x14ac:dyDescent="0.25">
      <c r="A543" s="59">
        <v>100012307</v>
      </c>
      <c r="B543" s="61" t="s">
        <v>715</v>
      </c>
      <c r="C543" s="60" t="s">
        <v>720</v>
      </c>
      <c r="D543" s="48">
        <v>1499.02</v>
      </c>
    </row>
    <row r="544" spans="1:4" x14ac:dyDescent="0.25">
      <c r="A544" s="59">
        <v>100012641</v>
      </c>
      <c r="B544" s="61" t="s">
        <v>1110</v>
      </c>
      <c r="C544" s="60" t="s">
        <v>829</v>
      </c>
      <c r="D544" s="48">
        <v>1500.2</v>
      </c>
    </row>
    <row r="545" spans="1:4" x14ac:dyDescent="0.25">
      <c r="A545" s="46" t="s">
        <v>828</v>
      </c>
      <c r="B545" s="47" t="s">
        <v>824</v>
      </c>
      <c r="C545" s="66" t="s">
        <v>829</v>
      </c>
      <c r="D545" s="48">
        <v>1500.20333333333</v>
      </c>
    </row>
    <row r="546" spans="1:4" x14ac:dyDescent="0.25">
      <c r="A546" s="59">
        <v>100010721</v>
      </c>
      <c r="B546" s="61" t="s">
        <v>1112</v>
      </c>
      <c r="C546" s="60" t="s">
        <v>323</v>
      </c>
      <c r="D546" s="48">
        <v>1500.93</v>
      </c>
    </row>
    <row r="547" spans="1:4" x14ac:dyDescent="0.25">
      <c r="A547" s="46" t="s">
        <v>928</v>
      </c>
      <c r="B547" s="47" t="s">
        <v>929</v>
      </c>
      <c r="C547" s="66"/>
      <c r="D547" s="48">
        <v>1518.55666666667</v>
      </c>
    </row>
    <row r="548" spans="1:4" x14ac:dyDescent="0.25">
      <c r="A548" s="59">
        <v>100012888</v>
      </c>
      <c r="B548" s="61" t="s">
        <v>929</v>
      </c>
      <c r="C548" s="60"/>
      <c r="D548" s="48">
        <v>1518.56</v>
      </c>
    </row>
    <row r="549" spans="1:4" x14ac:dyDescent="0.25">
      <c r="A549" s="59">
        <v>100010395</v>
      </c>
      <c r="B549" s="61" t="s">
        <v>542</v>
      </c>
      <c r="C549" s="60" t="s">
        <v>543</v>
      </c>
      <c r="D549" s="48">
        <v>1521.93</v>
      </c>
    </row>
    <row r="550" spans="1:4" x14ac:dyDescent="0.25">
      <c r="A550" s="46" t="s">
        <v>541</v>
      </c>
      <c r="B550" s="47" t="s">
        <v>542</v>
      </c>
      <c r="C550" s="66" t="s">
        <v>543</v>
      </c>
      <c r="D550" s="48">
        <v>1521.93</v>
      </c>
    </row>
    <row r="551" spans="1:4" x14ac:dyDescent="0.25">
      <c r="A551" s="59">
        <v>100010776</v>
      </c>
      <c r="B551" s="61" t="s">
        <v>1023</v>
      </c>
      <c r="C551" s="60" t="s">
        <v>606</v>
      </c>
      <c r="D551" s="48">
        <v>1548.58</v>
      </c>
    </row>
    <row r="552" spans="1:4" x14ac:dyDescent="0.25">
      <c r="A552" s="46" t="s">
        <v>605</v>
      </c>
      <c r="B552" s="47" t="s">
        <v>603</v>
      </c>
      <c r="C552" s="66" t="s">
        <v>606</v>
      </c>
      <c r="D552" s="48">
        <v>1548.58</v>
      </c>
    </row>
    <row r="553" spans="1:4" x14ac:dyDescent="0.25">
      <c r="A553" s="59">
        <v>100010150</v>
      </c>
      <c r="B553" s="61" t="s">
        <v>493</v>
      </c>
      <c r="C553" s="60" t="s">
        <v>494</v>
      </c>
      <c r="D553" s="48">
        <v>1551.77</v>
      </c>
    </row>
    <row r="554" spans="1:4" x14ac:dyDescent="0.25">
      <c r="A554" s="46" t="s">
        <v>492</v>
      </c>
      <c r="B554" s="47" t="s">
        <v>493</v>
      </c>
      <c r="C554" s="66" t="s">
        <v>494</v>
      </c>
      <c r="D554" s="48">
        <v>1551.7733333333299</v>
      </c>
    </row>
    <row r="555" spans="1:4" x14ac:dyDescent="0.25">
      <c r="A555" s="59">
        <v>100011701</v>
      </c>
      <c r="B555" s="61" t="s">
        <v>1113</v>
      </c>
      <c r="C555" s="60" t="s">
        <v>653</v>
      </c>
      <c r="D555" s="48">
        <v>1556.37</v>
      </c>
    </row>
    <row r="556" spans="1:4" x14ac:dyDescent="0.25">
      <c r="A556" s="46">
        <v>100011701</v>
      </c>
      <c r="B556" s="47" t="s">
        <v>652</v>
      </c>
      <c r="C556" s="66" t="s">
        <v>653</v>
      </c>
      <c r="D556" s="48">
        <v>1556.37</v>
      </c>
    </row>
    <row r="557" spans="1:4" x14ac:dyDescent="0.25">
      <c r="A557" s="59">
        <v>100012747</v>
      </c>
      <c r="B557" s="61" t="s">
        <v>1114</v>
      </c>
      <c r="C557" s="60"/>
      <c r="D557" s="48">
        <v>1557.58</v>
      </c>
    </row>
    <row r="558" spans="1:4" ht="45" x14ac:dyDescent="0.25">
      <c r="A558" s="46" t="s">
        <v>877</v>
      </c>
      <c r="B558" s="75" t="s">
        <v>878</v>
      </c>
      <c r="C558" s="66"/>
      <c r="D558" s="48">
        <v>1557.5833333333301</v>
      </c>
    </row>
    <row r="559" spans="1:4" x14ac:dyDescent="0.25">
      <c r="A559" s="46">
        <v>100012775</v>
      </c>
      <c r="B559" s="47" t="s">
        <v>285</v>
      </c>
      <c r="C559" s="66"/>
      <c r="D559" s="48">
        <v>1561.38</v>
      </c>
    </row>
    <row r="560" spans="1:4" x14ac:dyDescent="0.25">
      <c r="A560" s="59">
        <v>100012775</v>
      </c>
      <c r="B560" s="61" t="s">
        <v>285</v>
      </c>
      <c r="C560" s="60"/>
      <c r="D560" s="48">
        <v>1561.38</v>
      </c>
    </row>
    <row r="561" spans="1:4" x14ac:dyDescent="0.25">
      <c r="A561" s="59">
        <v>100012059</v>
      </c>
      <c r="B561" s="61" t="s">
        <v>199</v>
      </c>
      <c r="C561" s="60" t="s">
        <v>200</v>
      </c>
      <c r="D561" s="48">
        <v>1571.48</v>
      </c>
    </row>
    <row r="562" spans="1:4" x14ac:dyDescent="0.25">
      <c r="A562" s="46">
        <v>100012059</v>
      </c>
      <c r="B562" s="47" t="s">
        <v>199</v>
      </c>
      <c r="C562" s="66" t="s">
        <v>200</v>
      </c>
      <c r="D562" s="48">
        <v>1571.4833333333299</v>
      </c>
    </row>
    <row r="563" spans="1:4" x14ac:dyDescent="0.25">
      <c r="A563" s="46" t="s">
        <v>725</v>
      </c>
      <c r="B563" s="47" t="s">
        <v>726</v>
      </c>
      <c r="C563" s="66" t="s">
        <v>727</v>
      </c>
      <c r="D563" s="48">
        <v>1573.31666666667</v>
      </c>
    </row>
    <row r="564" spans="1:4" x14ac:dyDescent="0.25">
      <c r="A564" s="59">
        <v>100012345</v>
      </c>
      <c r="B564" s="61" t="s">
        <v>726</v>
      </c>
      <c r="C564" s="60" t="s">
        <v>727</v>
      </c>
      <c r="D564" s="48">
        <v>1573.32</v>
      </c>
    </row>
    <row r="565" spans="1:4" x14ac:dyDescent="0.25">
      <c r="A565" s="59">
        <v>100002275</v>
      </c>
      <c r="B565" s="61" t="s">
        <v>1115</v>
      </c>
      <c r="C565" s="60"/>
      <c r="D565" s="48">
        <v>1579.33</v>
      </c>
    </row>
    <row r="566" spans="1:4" x14ac:dyDescent="0.25">
      <c r="A566" s="46">
        <v>100010206</v>
      </c>
      <c r="B566" s="47" t="s">
        <v>130</v>
      </c>
      <c r="C566" s="66"/>
      <c r="D566" s="48">
        <v>1591.83666666667</v>
      </c>
    </row>
    <row r="567" spans="1:4" x14ac:dyDescent="0.25">
      <c r="A567" s="59">
        <v>100010206</v>
      </c>
      <c r="B567" s="61" t="s">
        <v>1116</v>
      </c>
      <c r="C567" s="60"/>
      <c r="D567" s="48">
        <v>1591.84</v>
      </c>
    </row>
    <row r="568" spans="1:4" x14ac:dyDescent="0.25">
      <c r="A568" s="46" t="s">
        <v>573</v>
      </c>
      <c r="B568" s="47" t="s">
        <v>572</v>
      </c>
      <c r="C568" s="66" t="s">
        <v>574</v>
      </c>
      <c r="D568" s="48">
        <v>1609.0066666666701</v>
      </c>
    </row>
    <row r="569" spans="1:4" x14ac:dyDescent="0.25">
      <c r="A569" s="59">
        <v>100010435</v>
      </c>
      <c r="B569" s="61" t="s">
        <v>572</v>
      </c>
      <c r="C569" s="60" t="s">
        <v>1117</v>
      </c>
      <c r="D569" s="48">
        <v>1609.01</v>
      </c>
    </row>
    <row r="570" spans="1:4" x14ac:dyDescent="0.25">
      <c r="A570" s="46" t="s">
        <v>1003</v>
      </c>
      <c r="B570" s="47" t="s">
        <v>1001</v>
      </c>
      <c r="C570" s="66" t="s">
        <v>1004</v>
      </c>
      <c r="D570" s="48">
        <v>1616.1666666666699</v>
      </c>
    </row>
    <row r="571" spans="1:4" x14ac:dyDescent="0.25">
      <c r="A571" s="59">
        <v>100013121</v>
      </c>
      <c r="B571" s="61" t="s">
        <v>1001</v>
      </c>
      <c r="C571" s="60" t="s">
        <v>1004</v>
      </c>
      <c r="D571" s="48">
        <v>1616.17</v>
      </c>
    </row>
    <row r="572" spans="1:4" x14ac:dyDescent="0.25">
      <c r="A572" s="59">
        <v>100013086</v>
      </c>
      <c r="B572" s="61" t="s">
        <v>973</v>
      </c>
      <c r="C572" s="60" t="s">
        <v>981</v>
      </c>
      <c r="D572" s="48">
        <v>1628.93</v>
      </c>
    </row>
    <row r="573" spans="1:4" x14ac:dyDescent="0.25">
      <c r="A573" s="46" t="s">
        <v>980</v>
      </c>
      <c r="B573" s="47" t="s">
        <v>978</v>
      </c>
      <c r="C573" s="66" t="s">
        <v>981</v>
      </c>
      <c r="D573" s="48">
        <v>1628.93333333333</v>
      </c>
    </row>
    <row r="574" spans="1:4" x14ac:dyDescent="0.25">
      <c r="A574" s="46">
        <v>100012533</v>
      </c>
      <c r="B574" s="47" t="s">
        <v>237</v>
      </c>
      <c r="C574" s="66" t="s">
        <v>238</v>
      </c>
      <c r="D574" s="48">
        <v>1629.03666666667</v>
      </c>
    </row>
    <row r="575" spans="1:4" x14ac:dyDescent="0.25">
      <c r="A575" s="59">
        <v>100012533</v>
      </c>
      <c r="B575" s="61" t="s">
        <v>239</v>
      </c>
      <c r="C575" s="60" t="s">
        <v>238</v>
      </c>
      <c r="D575" s="48">
        <v>1629.04</v>
      </c>
    </row>
    <row r="576" spans="1:4" x14ac:dyDescent="0.25">
      <c r="A576" s="59">
        <v>100012529</v>
      </c>
      <c r="B576" s="61" t="s">
        <v>1067</v>
      </c>
      <c r="C576" s="60" t="s">
        <v>767</v>
      </c>
      <c r="D576" s="48">
        <v>1638.88</v>
      </c>
    </row>
    <row r="577" spans="1:4" x14ac:dyDescent="0.25">
      <c r="A577" s="46" t="s">
        <v>766</v>
      </c>
      <c r="B577" s="47" t="s">
        <v>764</v>
      </c>
      <c r="C577" s="68" t="s">
        <v>767</v>
      </c>
      <c r="D577" s="48">
        <v>1638.88</v>
      </c>
    </row>
    <row r="578" spans="1:4" x14ac:dyDescent="0.25">
      <c r="A578" s="59">
        <v>100012551</v>
      </c>
      <c r="B578" s="61" t="s">
        <v>1107</v>
      </c>
      <c r="C578" s="60" t="s">
        <v>780</v>
      </c>
      <c r="D578" s="48">
        <v>1642.96</v>
      </c>
    </row>
    <row r="579" spans="1:4" x14ac:dyDescent="0.25">
      <c r="A579" s="46" t="s">
        <v>778</v>
      </c>
      <c r="B579" s="47" t="s">
        <v>779</v>
      </c>
      <c r="C579" s="70" t="s">
        <v>780</v>
      </c>
      <c r="D579" s="48">
        <v>1642.96333333333</v>
      </c>
    </row>
    <row r="580" spans="1:4" x14ac:dyDescent="0.25">
      <c r="A580" s="46" t="s">
        <v>556</v>
      </c>
      <c r="B580" s="47" t="s">
        <v>557</v>
      </c>
      <c r="C580" s="66" t="s">
        <v>558</v>
      </c>
      <c r="D580" s="48">
        <v>1646.6666666666699</v>
      </c>
    </row>
    <row r="581" spans="1:4" x14ac:dyDescent="0.25">
      <c r="A581" s="59">
        <v>100010395</v>
      </c>
      <c r="B581" s="61" t="s">
        <v>557</v>
      </c>
      <c r="C581" s="60" t="s">
        <v>558</v>
      </c>
      <c r="D581" s="48">
        <v>1646.67</v>
      </c>
    </row>
    <row r="582" spans="1:4" x14ac:dyDescent="0.25">
      <c r="A582" s="46">
        <v>100002279</v>
      </c>
      <c r="B582" s="47" t="s">
        <v>86</v>
      </c>
      <c r="C582" s="66" t="s">
        <v>87</v>
      </c>
      <c r="D582" s="74">
        <v>1677.1966666666699</v>
      </c>
    </row>
    <row r="583" spans="1:4" x14ac:dyDescent="0.25">
      <c r="A583" s="59">
        <v>100002279</v>
      </c>
      <c r="B583" s="61" t="s">
        <v>86</v>
      </c>
      <c r="C583" s="60" t="s">
        <v>87</v>
      </c>
      <c r="D583" s="48">
        <v>1677.2</v>
      </c>
    </row>
    <row r="584" spans="1:4" x14ac:dyDescent="0.25">
      <c r="A584" s="59">
        <v>100012638</v>
      </c>
      <c r="B584" s="61" t="s">
        <v>263</v>
      </c>
      <c r="C584" s="60"/>
      <c r="D584" s="48">
        <v>1689.9</v>
      </c>
    </row>
    <row r="585" spans="1:4" x14ac:dyDescent="0.25">
      <c r="A585" s="46">
        <v>100012638</v>
      </c>
      <c r="B585" s="47" t="s">
        <v>263</v>
      </c>
      <c r="C585" s="66"/>
      <c r="D585" s="48">
        <v>1689.9</v>
      </c>
    </row>
    <row r="586" spans="1:4" x14ac:dyDescent="0.25">
      <c r="A586" s="46">
        <v>100013058</v>
      </c>
      <c r="B586" s="47" t="s">
        <v>356</v>
      </c>
      <c r="C586" s="66"/>
      <c r="D586" s="48">
        <v>1690.32</v>
      </c>
    </row>
    <row r="587" spans="1:4" x14ac:dyDescent="0.25">
      <c r="A587" s="59">
        <v>100013058</v>
      </c>
      <c r="B587" s="61" t="s">
        <v>356</v>
      </c>
      <c r="C587" s="60"/>
      <c r="D587" s="48">
        <v>1690.32</v>
      </c>
    </row>
    <row r="588" spans="1:4" x14ac:dyDescent="0.25">
      <c r="A588" s="46">
        <v>100010436</v>
      </c>
      <c r="B588" s="47" t="s">
        <v>132</v>
      </c>
      <c r="C588" s="66" t="s">
        <v>133</v>
      </c>
      <c r="D588" s="48">
        <v>1723.4066666666699</v>
      </c>
    </row>
    <row r="589" spans="1:4" x14ac:dyDescent="0.25">
      <c r="A589" s="59">
        <v>100010436</v>
      </c>
      <c r="B589" s="61" t="s">
        <v>132</v>
      </c>
      <c r="C589" s="60" t="s">
        <v>133</v>
      </c>
      <c r="D589" s="48">
        <v>1723.41</v>
      </c>
    </row>
    <row r="590" spans="1:4" x14ac:dyDescent="0.25">
      <c r="A590" s="59">
        <v>100012799</v>
      </c>
      <c r="B590" s="61" t="s">
        <v>1118</v>
      </c>
      <c r="C590" s="60" t="s">
        <v>906</v>
      </c>
      <c r="D590" s="48">
        <v>1729</v>
      </c>
    </row>
    <row r="591" spans="1:4" x14ac:dyDescent="0.25">
      <c r="A591" s="46" t="s">
        <v>905</v>
      </c>
      <c r="B591" s="47" t="s">
        <v>900</v>
      </c>
      <c r="C591" s="66" t="s">
        <v>906</v>
      </c>
      <c r="D591" s="48">
        <v>1729</v>
      </c>
    </row>
    <row r="592" spans="1:4" x14ac:dyDescent="0.25">
      <c r="A592" s="46">
        <v>100010485</v>
      </c>
      <c r="B592" s="47" t="s">
        <v>143</v>
      </c>
      <c r="C592" s="66" t="s">
        <v>144</v>
      </c>
      <c r="D592" s="48">
        <v>1779.6566666666699</v>
      </c>
    </row>
    <row r="593" spans="1:4" x14ac:dyDescent="0.25">
      <c r="A593" s="59">
        <v>100010485</v>
      </c>
      <c r="B593" s="61" t="s">
        <v>143</v>
      </c>
      <c r="C593" s="60" t="s">
        <v>144</v>
      </c>
      <c r="D593" s="48">
        <v>1779.66</v>
      </c>
    </row>
    <row r="594" spans="1:4" x14ac:dyDescent="0.25">
      <c r="A594" s="59">
        <v>100002319</v>
      </c>
      <c r="B594" s="61" t="s">
        <v>1119</v>
      </c>
      <c r="C594" s="60" t="s">
        <v>1120</v>
      </c>
      <c r="D594" s="48">
        <v>1780</v>
      </c>
    </row>
    <row r="595" spans="1:4" x14ac:dyDescent="0.25">
      <c r="A595" s="46" t="s">
        <v>384</v>
      </c>
      <c r="B595" s="47" t="s">
        <v>385</v>
      </c>
      <c r="C595" s="66"/>
      <c r="D595" s="48">
        <v>1780</v>
      </c>
    </row>
    <row r="596" spans="1:4" x14ac:dyDescent="0.25">
      <c r="A596" s="46" t="s">
        <v>464</v>
      </c>
      <c r="B596" s="47" t="s">
        <v>456</v>
      </c>
      <c r="C596" s="66" t="s">
        <v>465</v>
      </c>
      <c r="D596" s="48">
        <v>1792.69</v>
      </c>
    </row>
    <row r="597" spans="1:4" x14ac:dyDescent="0.25">
      <c r="A597" s="59">
        <v>100010138</v>
      </c>
      <c r="B597" s="61" t="s">
        <v>447</v>
      </c>
      <c r="C597" s="60" t="s">
        <v>465</v>
      </c>
      <c r="D597" s="48">
        <v>1792.69</v>
      </c>
    </row>
    <row r="598" spans="1:4" x14ac:dyDescent="0.25">
      <c r="A598" s="59">
        <v>100010140</v>
      </c>
      <c r="B598" s="61" t="s">
        <v>1090</v>
      </c>
      <c r="C598" s="60" t="s">
        <v>1121</v>
      </c>
      <c r="D598" s="48">
        <v>1804.99</v>
      </c>
    </row>
    <row r="599" spans="1:4" x14ac:dyDescent="0.25">
      <c r="A599" s="46" t="s">
        <v>471</v>
      </c>
      <c r="B599" s="47" t="s">
        <v>467</v>
      </c>
      <c r="C599" s="66" t="s">
        <v>472</v>
      </c>
      <c r="D599" s="48">
        <v>1804.99</v>
      </c>
    </row>
    <row r="600" spans="1:4" x14ac:dyDescent="0.25">
      <c r="A600" s="46" t="s">
        <v>648</v>
      </c>
      <c r="B600" s="47" t="s">
        <v>649</v>
      </c>
      <c r="C600" s="66" t="s">
        <v>650</v>
      </c>
      <c r="D600" s="48">
        <v>1815.2366666666701</v>
      </c>
    </row>
    <row r="601" spans="1:4" x14ac:dyDescent="0.25">
      <c r="A601" s="59">
        <v>100011698</v>
      </c>
      <c r="B601" s="61" t="s">
        <v>644</v>
      </c>
      <c r="C601" s="60" t="s">
        <v>650</v>
      </c>
      <c r="D601" s="48">
        <v>1815.24</v>
      </c>
    </row>
    <row r="602" spans="1:4" x14ac:dyDescent="0.25">
      <c r="A602" s="46">
        <v>100012832</v>
      </c>
      <c r="B602" s="47" t="s">
        <v>304</v>
      </c>
      <c r="C602" s="66"/>
      <c r="D602" s="48">
        <v>1822.9866666666701</v>
      </c>
    </row>
    <row r="603" spans="1:4" x14ac:dyDescent="0.25">
      <c r="A603" s="59">
        <v>100012832</v>
      </c>
      <c r="B603" s="61" t="s">
        <v>304</v>
      </c>
      <c r="C603" s="60"/>
      <c r="D603" s="48">
        <v>1822.99</v>
      </c>
    </row>
    <row r="604" spans="1:4" x14ac:dyDescent="0.25">
      <c r="A604" s="46">
        <v>100002341</v>
      </c>
      <c r="B604" s="47" t="s">
        <v>102</v>
      </c>
      <c r="C604" s="66"/>
      <c r="D604" s="48">
        <v>1824.49</v>
      </c>
    </row>
    <row r="605" spans="1:4" x14ac:dyDescent="0.25">
      <c r="A605" s="59">
        <v>100002341</v>
      </c>
      <c r="B605" s="61" t="s">
        <v>102</v>
      </c>
      <c r="C605" s="60"/>
      <c r="D605" s="48">
        <v>1824.49</v>
      </c>
    </row>
    <row r="606" spans="1:4" x14ac:dyDescent="0.25">
      <c r="A606" s="59">
        <v>100010152</v>
      </c>
      <c r="B606" s="61" t="s">
        <v>498</v>
      </c>
      <c r="C606" s="60"/>
      <c r="D606" s="48">
        <v>1835.99</v>
      </c>
    </row>
    <row r="607" spans="1:4" x14ac:dyDescent="0.25">
      <c r="A607" s="46" t="s">
        <v>497</v>
      </c>
      <c r="B607" s="47" t="s">
        <v>498</v>
      </c>
      <c r="C607" s="76"/>
      <c r="D607" s="48">
        <v>1835.99</v>
      </c>
    </row>
    <row r="608" spans="1:4" x14ac:dyDescent="0.25">
      <c r="A608" s="46">
        <v>100011723</v>
      </c>
      <c r="B608" s="47" t="s">
        <v>184</v>
      </c>
      <c r="C608" s="66"/>
      <c r="D608" s="48">
        <v>1862.62666666667</v>
      </c>
    </row>
    <row r="609" spans="1:4" x14ac:dyDescent="0.25">
      <c r="A609" s="59">
        <v>100011723</v>
      </c>
      <c r="B609" s="61" t="s">
        <v>184</v>
      </c>
      <c r="C609" s="60"/>
      <c r="D609" s="48">
        <v>1862.63</v>
      </c>
    </row>
    <row r="610" spans="1:4" x14ac:dyDescent="0.25">
      <c r="A610" s="59">
        <v>100010138</v>
      </c>
      <c r="B610" s="61" t="s">
        <v>447</v>
      </c>
      <c r="C610" s="60" t="s">
        <v>1122</v>
      </c>
      <c r="D610" s="48">
        <v>1875.77</v>
      </c>
    </row>
    <row r="611" spans="1:4" x14ac:dyDescent="0.25">
      <c r="A611" s="46">
        <v>100012790</v>
      </c>
      <c r="B611" s="47" t="s">
        <v>291</v>
      </c>
      <c r="C611" s="66"/>
      <c r="D611" s="48">
        <v>1877.6666666666699</v>
      </c>
    </row>
    <row r="612" spans="1:4" x14ac:dyDescent="0.25">
      <c r="A612" s="59">
        <v>100012790</v>
      </c>
      <c r="B612" s="61" t="s">
        <v>1123</v>
      </c>
      <c r="C612" s="60"/>
      <c r="D612" s="48">
        <v>1877.67</v>
      </c>
    </row>
    <row r="613" spans="1:4" x14ac:dyDescent="0.25">
      <c r="A613" s="59">
        <v>100013110</v>
      </c>
      <c r="B613" s="61" t="s">
        <v>1124</v>
      </c>
      <c r="C613" s="60" t="s">
        <v>993</v>
      </c>
      <c r="D613" s="48">
        <v>1877.71</v>
      </c>
    </row>
    <row r="614" spans="1:4" x14ac:dyDescent="0.25">
      <c r="A614" s="46" t="s">
        <v>991</v>
      </c>
      <c r="B614" s="47" t="s">
        <v>992</v>
      </c>
      <c r="C614" s="66" t="s">
        <v>993</v>
      </c>
      <c r="D614" s="48">
        <v>1877.71</v>
      </c>
    </row>
    <row r="615" spans="1:4" x14ac:dyDescent="0.25">
      <c r="A615" s="46" t="s">
        <v>771</v>
      </c>
      <c r="B615" s="47" t="s">
        <v>769</v>
      </c>
      <c r="C615" s="70" t="s">
        <v>772</v>
      </c>
      <c r="D615" s="48">
        <v>1895.7466666666701</v>
      </c>
    </row>
    <row r="616" spans="1:4" x14ac:dyDescent="0.25">
      <c r="A616" s="59">
        <v>100012545</v>
      </c>
      <c r="B616" s="61" t="s">
        <v>769</v>
      </c>
      <c r="C616" s="60" t="s">
        <v>772</v>
      </c>
      <c r="D616" s="48">
        <v>1895.75</v>
      </c>
    </row>
    <row r="617" spans="1:4" x14ac:dyDescent="0.25">
      <c r="A617" s="46" t="s">
        <v>399</v>
      </c>
      <c r="B617" s="47" t="s">
        <v>397</v>
      </c>
      <c r="C617" s="66" t="s">
        <v>338</v>
      </c>
      <c r="D617" s="48">
        <v>1901.27</v>
      </c>
    </row>
    <row r="618" spans="1:4" x14ac:dyDescent="0.25">
      <c r="A618" s="59">
        <v>100002338</v>
      </c>
      <c r="B618" s="61" t="s">
        <v>397</v>
      </c>
      <c r="C618" s="60" t="s">
        <v>338</v>
      </c>
      <c r="D618" s="48">
        <v>1901.27</v>
      </c>
    </row>
    <row r="619" spans="1:4" x14ac:dyDescent="0.25">
      <c r="A619" s="59">
        <v>100013086</v>
      </c>
      <c r="B619" s="61" t="s">
        <v>973</v>
      </c>
      <c r="C619" s="60" t="s">
        <v>976</v>
      </c>
      <c r="D619" s="48">
        <v>1910.43</v>
      </c>
    </row>
    <row r="620" spans="1:4" x14ac:dyDescent="0.25">
      <c r="A620" s="46" t="s">
        <v>975</v>
      </c>
      <c r="B620" s="47" t="s">
        <v>973</v>
      </c>
      <c r="C620" s="66" t="s">
        <v>976</v>
      </c>
      <c r="D620" s="48">
        <v>1910.43333333333</v>
      </c>
    </row>
    <row r="621" spans="1:4" x14ac:dyDescent="0.25">
      <c r="A621" s="59">
        <v>100012268</v>
      </c>
      <c r="B621" s="61" t="s">
        <v>707</v>
      </c>
      <c r="C621" s="60"/>
      <c r="D621" s="48">
        <v>1929.17</v>
      </c>
    </row>
    <row r="622" spans="1:4" x14ac:dyDescent="0.25">
      <c r="A622" s="46" t="s">
        <v>706</v>
      </c>
      <c r="B622" s="47" t="s">
        <v>707</v>
      </c>
      <c r="C622" s="66"/>
      <c r="D622" s="48">
        <v>1929.17</v>
      </c>
    </row>
    <row r="623" spans="1:4" x14ac:dyDescent="0.25">
      <c r="A623" s="59">
        <v>100010395</v>
      </c>
      <c r="B623" s="61" t="s">
        <v>551</v>
      </c>
      <c r="C623" s="60" t="s">
        <v>552</v>
      </c>
      <c r="D623" s="48">
        <v>1937.54</v>
      </c>
    </row>
    <row r="624" spans="1:4" x14ac:dyDescent="0.25">
      <c r="A624" s="46" t="s">
        <v>550</v>
      </c>
      <c r="B624" s="47" t="s">
        <v>551</v>
      </c>
      <c r="C624" s="77" t="s">
        <v>552</v>
      </c>
      <c r="D624" s="48">
        <v>1937.5433333333301</v>
      </c>
    </row>
    <row r="625" spans="1:4" x14ac:dyDescent="0.25">
      <c r="A625" s="46">
        <v>100010474</v>
      </c>
      <c r="B625" s="47" t="s">
        <v>140</v>
      </c>
      <c r="C625" s="66"/>
      <c r="D625" s="48">
        <v>1960.68</v>
      </c>
    </row>
    <row r="626" spans="1:4" x14ac:dyDescent="0.25">
      <c r="A626" s="59">
        <v>100010474</v>
      </c>
      <c r="B626" s="61" t="s">
        <v>140</v>
      </c>
      <c r="C626" s="60"/>
      <c r="D626" s="48">
        <v>1960.68</v>
      </c>
    </row>
    <row r="627" spans="1:4" x14ac:dyDescent="0.25">
      <c r="A627" s="59">
        <v>100012545</v>
      </c>
      <c r="B627" s="61" t="s">
        <v>769</v>
      </c>
      <c r="C627" s="60" t="s">
        <v>770</v>
      </c>
      <c r="D627" s="48">
        <v>1998.63</v>
      </c>
    </row>
    <row r="628" spans="1:4" x14ac:dyDescent="0.25">
      <c r="A628" s="46" t="s">
        <v>768</v>
      </c>
      <c r="B628" s="47" t="s">
        <v>769</v>
      </c>
      <c r="C628" s="70" t="s">
        <v>770</v>
      </c>
      <c r="D628" s="48">
        <v>1998.63333333333</v>
      </c>
    </row>
    <row r="629" spans="1:4" x14ac:dyDescent="0.25">
      <c r="A629" s="59">
        <v>100012507</v>
      </c>
      <c r="B629" s="61" t="s">
        <v>1125</v>
      </c>
      <c r="C629" s="60"/>
      <c r="D629" s="48">
        <v>2005.95</v>
      </c>
    </row>
    <row r="630" spans="1:4" x14ac:dyDescent="0.25">
      <c r="A630" s="59">
        <v>100012898</v>
      </c>
      <c r="B630" s="61" t="s">
        <v>337</v>
      </c>
      <c r="C630" s="60" t="s">
        <v>338</v>
      </c>
      <c r="D630" s="48">
        <v>2007.33</v>
      </c>
    </row>
    <row r="631" spans="1:4" x14ac:dyDescent="0.25">
      <c r="A631" s="46">
        <v>100012898</v>
      </c>
      <c r="B631" s="47" t="s">
        <v>337</v>
      </c>
      <c r="C631" s="66" t="s">
        <v>338</v>
      </c>
      <c r="D631" s="48">
        <v>2007.3333333333301</v>
      </c>
    </row>
    <row r="632" spans="1:4" x14ac:dyDescent="0.25">
      <c r="A632" s="46">
        <v>100012830</v>
      </c>
      <c r="B632" s="47" t="s">
        <v>303</v>
      </c>
      <c r="C632" s="66"/>
      <c r="D632" s="48">
        <v>2024.5066666666701</v>
      </c>
    </row>
    <row r="633" spans="1:4" x14ac:dyDescent="0.25">
      <c r="A633" s="59">
        <v>100012830</v>
      </c>
      <c r="B633" s="61" t="s">
        <v>1126</v>
      </c>
      <c r="C633" s="60"/>
      <c r="D633" s="48">
        <v>2024.51</v>
      </c>
    </row>
    <row r="634" spans="1:4" x14ac:dyDescent="0.25">
      <c r="A634" s="59">
        <v>100012884</v>
      </c>
      <c r="B634" s="61" t="s">
        <v>926</v>
      </c>
      <c r="C634" s="60">
        <v>2</v>
      </c>
      <c r="D634" s="48">
        <v>2037.24</v>
      </c>
    </row>
    <row r="635" spans="1:4" x14ac:dyDescent="0.25">
      <c r="A635" s="46" t="s">
        <v>927</v>
      </c>
      <c r="B635" s="47" t="s">
        <v>926</v>
      </c>
      <c r="C635" s="66">
        <v>2</v>
      </c>
      <c r="D635" s="48">
        <v>2037.24</v>
      </c>
    </row>
    <row r="636" spans="1:4" x14ac:dyDescent="0.25">
      <c r="A636" s="59">
        <v>100012492</v>
      </c>
      <c r="B636" s="61" t="s">
        <v>1127</v>
      </c>
      <c r="C636" s="60"/>
      <c r="D636" s="48">
        <v>2075.1999999999998</v>
      </c>
    </row>
    <row r="637" spans="1:4" x14ac:dyDescent="0.25">
      <c r="A637" s="59">
        <v>100012833</v>
      </c>
      <c r="B637" s="61" t="s">
        <v>1128</v>
      </c>
      <c r="C637" s="60"/>
      <c r="D637" s="48">
        <v>2125.38</v>
      </c>
    </row>
    <row r="638" spans="1:4" x14ac:dyDescent="0.25">
      <c r="A638" s="46">
        <v>100012833</v>
      </c>
      <c r="B638" s="47" t="s">
        <v>305</v>
      </c>
      <c r="C638" s="66"/>
      <c r="D638" s="48">
        <v>2125.38333333333</v>
      </c>
    </row>
    <row r="639" spans="1:4" x14ac:dyDescent="0.25">
      <c r="A639" s="46">
        <v>100012603</v>
      </c>
      <c r="B639" s="47" t="s">
        <v>255</v>
      </c>
      <c r="C639" s="66"/>
      <c r="D639" s="48">
        <v>2131.5300000000002</v>
      </c>
    </row>
    <row r="640" spans="1:4" x14ac:dyDescent="0.25">
      <c r="A640" s="59">
        <v>100012603</v>
      </c>
      <c r="B640" s="61" t="s">
        <v>255</v>
      </c>
      <c r="C640" s="60"/>
      <c r="D640" s="48">
        <v>2131.5300000000002</v>
      </c>
    </row>
    <row r="641" spans="1:4" x14ac:dyDescent="0.25">
      <c r="A641" s="46" t="s">
        <v>627</v>
      </c>
      <c r="B641" s="47" t="s">
        <v>628</v>
      </c>
      <c r="C641" s="66" t="s">
        <v>629</v>
      </c>
      <c r="D641" s="48">
        <v>2135.1066666666702</v>
      </c>
    </row>
    <row r="642" spans="1:4" x14ac:dyDescent="0.25">
      <c r="A642" s="59">
        <v>100010861</v>
      </c>
      <c r="B642" s="61" t="s">
        <v>1129</v>
      </c>
      <c r="C642" s="60" t="s">
        <v>629</v>
      </c>
      <c r="D642" s="48">
        <v>2135.11</v>
      </c>
    </row>
    <row r="643" spans="1:4" x14ac:dyDescent="0.25">
      <c r="A643" s="46" t="s">
        <v>544</v>
      </c>
      <c r="B643" s="47" t="s">
        <v>545</v>
      </c>
      <c r="C643" s="66" t="s">
        <v>546</v>
      </c>
      <c r="D643" s="48">
        <v>2143.11666666667</v>
      </c>
    </row>
    <row r="644" spans="1:4" x14ac:dyDescent="0.25">
      <c r="A644" s="59">
        <v>100010395</v>
      </c>
      <c r="B644" s="61" t="s">
        <v>545</v>
      </c>
      <c r="C644" s="60" t="s">
        <v>546</v>
      </c>
      <c r="D644" s="48">
        <v>2143.12</v>
      </c>
    </row>
    <row r="645" spans="1:4" x14ac:dyDescent="0.25">
      <c r="A645" s="46" t="s">
        <v>386</v>
      </c>
      <c r="B645" s="47" t="s">
        <v>385</v>
      </c>
      <c r="C645" s="66" t="s">
        <v>387</v>
      </c>
      <c r="D645" s="48">
        <v>2209.9699999999998</v>
      </c>
    </row>
    <row r="646" spans="1:4" x14ac:dyDescent="0.25">
      <c r="A646" s="59">
        <v>100012465</v>
      </c>
      <c r="B646" s="61" t="s">
        <v>732</v>
      </c>
      <c r="C646" s="60" t="s">
        <v>753</v>
      </c>
      <c r="D646" s="48">
        <v>2254.14</v>
      </c>
    </row>
    <row r="647" spans="1:4" x14ac:dyDescent="0.25">
      <c r="A647" s="46" t="s">
        <v>752</v>
      </c>
      <c r="B647" s="47" t="s">
        <v>732</v>
      </c>
      <c r="C647" s="77" t="s">
        <v>753</v>
      </c>
      <c r="D647" s="48">
        <v>2254.14</v>
      </c>
    </row>
    <row r="648" spans="1:4" x14ac:dyDescent="0.25">
      <c r="A648" s="46">
        <v>100013053</v>
      </c>
      <c r="B648" s="47" t="s">
        <v>355</v>
      </c>
      <c r="C648" s="66"/>
      <c r="D648" s="48">
        <v>2304.9666666666699</v>
      </c>
    </row>
    <row r="649" spans="1:4" x14ac:dyDescent="0.25">
      <c r="A649" s="59">
        <v>100013053</v>
      </c>
      <c r="B649" s="61" t="s">
        <v>1130</v>
      </c>
      <c r="C649" s="60"/>
      <c r="D649" s="48">
        <v>2304.9699999999998</v>
      </c>
    </row>
    <row r="650" spans="1:4" x14ac:dyDescent="0.25">
      <c r="A650" s="46" t="s">
        <v>1000</v>
      </c>
      <c r="B650" s="47" t="s">
        <v>1001</v>
      </c>
      <c r="C650" s="66" t="s">
        <v>1002</v>
      </c>
      <c r="D650" s="48">
        <v>2310.21</v>
      </c>
    </row>
    <row r="651" spans="1:4" x14ac:dyDescent="0.25">
      <c r="A651" s="59">
        <v>100013121</v>
      </c>
      <c r="B651" s="61" t="s">
        <v>1001</v>
      </c>
      <c r="C651" s="60" t="s">
        <v>1002</v>
      </c>
      <c r="D651" s="48">
        <v>2310.21</v>
      </c>
    </row>
    <row r="652" spans="1:4" x14ac:dyDescent="0.25">
      <c r="A652" s="59">
        <v>100013082</v>
      </c>
      <c r="B652" s="61" t="s">
        <v>962</v>
      </c>
      <c r="C652" s="60" t="s">
        <v>967</v>
      </c>
      <c r="D652" s="48">
        <v>2326.33</v>
      </c>
    </row>
    <row r="653" spans="1:4" x14ac:dyDescent="0.25">
      <c r="A653" s="46" t="s">
        <v>966</v>
      </c>
      <c r="B653" s="47" t="s">
        <v>962</v>
      </c>
      <c r="C653" s="66" t="s">
        <v>967</v>
      </c>
      <c r="D653" s="48">
        <v>2326.3333333333298</v>
      </c>
    </row>
    <row r="654" spans="1:4" x14ac:dyDescent="0.25">
      <c r="A654" s="46" t="s">
        <v>937</v>
      </c>
      <c r="B654" s="47" t="s">
        <v>938</v>
      </c>
      <c r="C654" s="70"/>
      <c r="D654" s="48">
        <v>2328.6666666666702</v>
      </c>
    </row>
    <row r="655" spans="1:4" x14ac:dyDescent="0.25">
      <c r="A655" s="59">
        <v>100012598</v>
      </c>
      <c r="B655" s="61" t="s">
        <v>1131</v>
      </c>
      <c r="C655" s="60" t="s">
        <v>1132</v>
      </c>
      <c r="D655" s="48">
        <v>2341.9899999999998</v>
      </c>
    </row>
    <row r="656" spans="1:4" x14ac:dyDescent="0.25">
      <c r="A656" s="59">
        <v>100012465</v>
      </c>
      <c r="B656" s="61" t="s">
        <v>732</v>
      </c>
      <c r="C656" s="60" t="s">
        <v>749</v>
      </c>
      <c r="D656" s="48">
        <v>2347.9499999999998</v>
      </c>
    </row>
    <row r="657" spans="1:4" x14ac:dyDescent="0.25">
      <c r="A657" s="46" t="s">
        <v>748</v>
      </c>
      <c r="B657" s="47" t="s">
        <v>732</v>
      </c>
      <c r="C657" s="66" t="s">
        <v>749</v>
      </c>
      <c r="D657" s="48">
        <v>2347.9533333333302</v>
      </c>
    </row>
    <row r="658" spans="1:4" x14ac:dyDescent="0.25">
      <c r="A658" s="59">
        <v>100012547</v>
      </c>
      <c r="B658" s="61" t="s">
        <v>777</v>
      </c>
      <c r="C658" s="60"/>
      <c r="D658" s="48">
        <v>2354.0100000000002</v>
      </c>
    </row>
    <row r="659" spans="1:4" x14ac:dyDescent="0.25">
      <c r="A659" s="46" t="s">
        <v>776</v>
      </c>
      <c r="B659" s="47" t="s">
        <v>777</v>
      </c>
      <c r="C659" s="66"/>
      <c r="D659" s="48">
        <v>2354.0133333333301</v>
      </c>
    </row>
    <row r="660" spans="1:4" x14ac:dyDescent="0.25">
      <c r="A660" s="46" t="s">
        <v>854</v>
      </c>
      <c r="B660" s="47" t="s">
        <v>855</v>
      </c>
      <c r="C660" s="66" t="s">
        <v>856</v>
      </c>
      <c r="D660" s="48">
        <v>2396.0166666666701</v>
      </c>
    </row>
    <row r="661" spans="1:4" x14ac:dyDescent="0.25">
      <c r="A661" s="59">
        <v>100012664</v>
      </c>
      <c r="B661" s="61" t="s">
        <v>855</v>
      </c>
      <c r="C661" s="60" t="s">
        <v>856</v>
      </c>
      <c r="D661" s="48">
        <v>2396.02</v>
      </c>
    </row>
    <row r="662" spans="1:4" x14ac:dyDescent="0.25">
      <c r="A662" s="46" t="s">
        <v>785</v>
      </c>
      <c r="B662" s="47" t="s">
        <v>786</v>
      </c>
      <c r="C662" s="66"/>
      <c r="D662" s="48">
        <v>2396.9066666666699</v>
      </c>
    </row>
    <row r="663" spans="1:4" x14ac:dyDescent="0.25">
      <c r="A663" s="59">
        <v>100012552</v>
      </c>
      <c r="B663" s="61" t="s">
        <v>786</v>
      </c>
      <c r="C663" s="60"/>
      <c r="D663" s="48">
        <v>2396.91</v>
      </c>
    </row>
    <row r="664" spans="1:4" x14ac:dyDescent="0.25">
      <c r="A664" s="46">
        <v>100012600</v>
      </c>
      <c r="B664" s="47" t="s">
        <v>253</v>
      </c>
      <c r="C664" s="66"/>
      <c r="D664" s="48">
        <v>2400.4066666666699</v>
      </c>
    </row>
    <row r="665" spans="1:4" x14ac:dyDescent="0.25">
      <c r="A665" s="59">
        <v>100012600</v>
      </c>
      <c r="B665" s="61" t="s">
        <v>1133</v>
      </c>
      <c r="C665" s="60"/>
      <c r="D665" s="48">
        <v>2400.41</v>
      </c>
    </row>
    <row r="666" spans="1:4" x14ac:dyDescent="0.25">
      <c r="A666" s="59">
        <v>100012305</v>
      </c>
      <c r="B666" s="61" t="s">
        <v>1134</v>
      </c>
      <c r="C666" s="60" t="s">
        <v>711</v>
      </c>
      <c r="D666" s="48">
        <v>2402.33</v>
      </c>
    </row>
    <row r="667" spans="1:4" x14ac:dyDescent="0.25">
      <c r="A667" s="46" t="s">
        <v>709</v>
      </c>
      <c r="B667" s="47" t="s">
        <v>710</v>
      </c>
      <c r="C667" s="66" t="s">
        <v>711</v>
      </c>
      <c r="D667" s="48">
        <v>2402.3333333333298</v>
      </c>
    </row>
    <row r="668" spans="1:4" x14ac:dyDescent="0.25">
      <c r="A668" s="46" t="s">
        <v>630</v>
      </c>
      <c r="B668" s="47" t="s">
        <v>631</v>
      </c>
      <c r="C668" s="66" t="s">
        <v>632</v>
      </c>
      <c r="D668" s="48">
        <v>2403.03666666667</v>
      </c>
    </row>
    <row r="669" spans="1:4" x14ac:dyDescent="0.25">
      <c r="A669" s="59">
        <v>100010861</v>
      </c>
      <c r="B669" s="61" t="s">
        <v>1129</v>
      </c>
      <c r="C669" s="60" t="s">
        <v>632</v>
      </c>
      <c r="D669" s="48">
        <v>2403.04</v>
      </c>
    </row>
    <row r="670" spans="1:4" x14ac:dyDescent="0.25">
      <c r="A670" s="59">
        <v>100010849</v>
      </c>
      <c r="B670" s="61" t="s">
        <v>239</v>
      </c>
      <c r="C670" s="60" t="s">
        <v>621</v>
      </c>
      <c r="D670" s="48">
        <v>2403.89</v>
      </c>
    </row>
    <row r="671" spans="1:4" x14ac:dyDescent="0.25">
      <c r="A671" s="46" t="s">
        <v>620</v>
      </c>
      <c r="B671" s="47" t="s">
        <v>237</v>
      </c>
      <c r="C671" s="66" t="s">
        <v>621</v>
      </c>
      <c r="D671" s="48">
        <v>2403.8933333333298</v>
      </c>
    </row>
    <row r="672" spans="1:4" x14ac:dyDescent="0.25">
      <c r="A672" s="46" t="s">
        <v>434</v>
      </c>
      <c r="B672" s="47" t="s">
        <v>123</v>
      </c>
      <c r="C672" s="66" t="s">
        <v>435</v>
      </c>
      <c r="D672" s="48">
        <v>2409.8966666666702</v>
      </c>
    </row>
    <row r="673" spans="1:4" x14ac:dyDescent="0.25">
      <c r="A673" s="59">
        <v>100010124</v>
      </c>
      <c r="B673" s="61" t="s">
        <v>123</v>
      </c>
      <c r="C673" s="60" t="s">
        <v>435</v>
      </c>
      <c r="D673" s="48">
        <v>2409.9</v>
      </c>
    </row>
    <row r="674" spans="1:4" x14ac:dyDescent="0.25">
      <c r="A674" s="59">
        <v>100012342</v>
      </c>
      <c r="B674" s="61" t="s">
        <v>217</v>
      </c>
      <c r="C674" s="60"/>
      <c r="D674" s="48">
        <v>2411.81</v>
      </c>
    </row>
    <row r="675" spans="1:4" x14ac:dyDescent="0.25">
      <c r="A675" s="46">
        <v>100012342</v>
      </c>
      <c r="B675" s="47" t="s">
        <v>217</v>
      </c>
      <c r="C675" s="66"/>
      <c r="D675" s="48">
        <v>2411.8133333333299</v>
      </c>
    </row>
    <row r="676" spans="1:4" x14ac:dyDescent="0.25">
      <c r="A676" s="46" t="s">
        <v>950</v>
      </c>
      <c r="B676" s="47" t="s">
        <v>949</v>
      </c>
      <c r="C676" s="66" t="s">
        <v>951</v>
      </c>
      <c r="D676" s="48">
        <v>2420.5466666666698</v>
      </c>
    </row>
    <row r="677" spans="1:4" x14ac:dyDescent="0.25">
      <c r="A677" s="59">
        <v>100013081</v>
      </c>
      <c r="B677" s="61" t="s">
        <v>1135</v>
      </c>
      <c r="C677" s="60" t="s">
        <v>1136</v>
      </c>
      <c r="D677" s="48">
        <v>2420.5500000000002</v>
      </c>
    </row>
    <row r="678" spans="1:4" x14ac:dyDescent="0.25">
      <c r="A678" s="59">
        <v>100012552</v>
      </c>
      <c r="B678" s="61" t="s">
        <v>784</v>
      </c>
      <c r="C678" s="60"/>
      <c r="D678" s="48">
        <v>2427.21</v>
      </c>
    </row>
    <row r="679" spans="1:4" x14ac:dyDescent="0.25">
      <c r="A679" s="59">
        <v>100012801</v>
      </c>
      <c r="B679" s="61" t="s">
        <v>1102</v>
      </c>
      <c r="C679" s="60" t="s">
        <v>1137</v>
      </c>
      <c r="D679" s="48">
        <v>2436.63</v>
      </c>
    </row>
    <row r="680" spans="1:4" x14ac:dyDescent="0.25">
      <c r="A680" s="59">
        <v>100012646</v>
      </c>
      <c r="B680" s="61" t="s">
        <v>266</v>
      </c>
      <c r="C680" s="60"/>
      <c r="D680" s="48">
        <v>2448.33</v>
      </c>
    </row>
    <row r="681" spans="1:4" x14ac:dyDescent="0.25">
      <c r="A681" s="46">
        <v>100012646</v>
      </c>
      <c r="B681" s="47" t="s">
        <v>266</v>
      </c>
      <c r="C681" s="66"/>
      <c r="D681" s="48">
        <v>2448.3333333333298</v>
      </c>
    </row>
    <row r="682" spans="1:4" x14ac:dyDescent="0.25">
      <c r="A682" s="46" t="s">
        <v>832</v>
      </c>
      <c r="B682" s="47" t="s">
        <v>824</v>
      </c>
      <c r="C682" s="68" t="s">
        <v>833</v>
      </c>
      <c r="D682" s="48">
        <v>2474.3000000000002</v>
      </c>
    </row>
    <row r="683" spans="1:4" x14ac:dyDescent="0.25">
      <c r="A683" s="59">
        <v>100012641</v>
      </c>
      <c r="B683" s="61" t="s">
        <v>1110</v>
      </c>
      <c r="C683" s="60" t="s">
        <v>833</v>
      </c>
      <c r="D683" s="48">
        <v>2474.3000000000002</v>
      </c>
    </row>
    <row r="684" spans="1:4" x14ac:dyDescent="0.25">
      <c r="A684" s="59">
        <v>100013113</v>
      </c>
      <c r="B684" s="61" t="s">
        <v>1106</v>
      </c>
      <c r="C684" s="60"/>
      <c r="D684" s="48">
        <v>2476.33</v>
      </c>
    </row>
    <row r="685" spans="1:4" x14ac:dyDescent="0.25">
      <c r="A685" s="46" t="s">
        <v>999</v>
      </c>
      <c r="B685" s="47" t="s">
        <v>997</v>
      </c>
      <c r="C685" s="70"/>
      <c r="D685" s="48">
        <v>2476.3333333333298</v>
      </c>
    </row>
    <row r="686" spans="1:4" x14ac:dyDescent="0.25">
      <c r="A686" s="46" t="s">
        <v>449</v>
      </c>
      <c r="B686" s="47" t="s">
        <v>447</v>
      </c>
      <c r="C686" s="66" t="s">
        <v>450</v>
      </c>
      <c r="D686" s="48">
        <v>2477.78666666667</v>
      </c>
    </row>
    <row r="687" spans="1:4" x14ac:dyDescent="0.25">
      <c r="A687" s="59">
        <v>100010138</v>
      </c>
      <c r="B687" s="61" t="s">
        <v>447</v>
      </c>
      <c r="C687" s="60" t="s">
        <v>1138</v>
      </c>
      <c r="D687" s="48">
        <v>2477.79</v>
      </c>
    </row>
    <row r="688" spans="1:4" x14ac:dyDescent="0.25">
      <c r="A688" s="46">
        <v>100010398</v>
      </c>
      <c r="B688" s="47" t="s">
        <v>131</v>
      </c>
      <c r="C688" s="66"/>
      <c r="D688" s="48">
        <v>2499.66</v>
      </c>
    </row>
    <row r="689" spans="1:4" x14ac:dyDescent="0.25">
      <c r="A689" s="59">
        <v>100010398</v>
      </c>
      <c r="B689" s="61" t="s">
        <v>131</v>
      </c>
      <c r="C689" s="60"/>
      <c r="D689" s="48">
        <v>2499.66</v>
      </c>
    </row>
    <row r="690" spans="1:4" x14ac:dyDescent="0.25">
      <c r="A690" s="46" t="s">
        <v>495</v>
      </c>
      <c r="B690" s="47" t="s">
        <v>493</v>
      </c>
      <c r="C690" s="66" t="s">
        <v>496</v>
      </c>
      <c r="D690" s="48">
        <v>2531.2566666666698</v>
      </c>
    </row>
    <row r="691" spans="1:4" x14ac:dyDescent="0.25">
      <c r="A691" s="59">
        <v>100010150</v>
      </c>
      <c r="B691" s="61" t="s">
        <v>493</v>
      </c>
      <c r="C691" s="60" t="s">
        <v>496</v>
      </c>
      <c r="D691" s="48">
        <v>2531.2600000000002</v>
      </c>
    </row>
    <row r="692" spans="1:4" x14ac:dyDescent="0.25">
      <c r="A692" s="59">
        <v>100012861</v>
      </c>
      <c r="B692" s="61" t="s">
        <v>913</v>
      </c>
      <c r="C692" s="60" t="s">
        <v>922</v>
      </c>
      <c r="D692" s="48">
        <v>2537.33</v>
      </c>
    </row>
    <row r="693" spans="1:4" x14ac:dyDescent="0.25">
      <c r="A693" s="46" t="s">
        <v>921</v>
      </c>
      <c r="B693" s="47" t="s">
        <v>913</v>
      </c>
      <c r="C693" s="66" t="s">
        <v>922</v>
      </c>
      <c r="D693" s="48">
        <v>2537.33</v>
      </c>
    </row>
    <row r="694" spans="1:4" x14ac:dyDescent="0.25">
      <c r="A694" s="59">
        <v>100010448</v>
      </c>
      <c r="B694" s="61" t="s">
        <v>1139</v>
      </c>
      <c r="C694" s="60" t="s">
        <v>137</v>
      </c>
      <c r="D694" s="48">
        <v>2543.63</v>
      </c>
    </row>
    <row r="695" spans="1:4" x14ac:dyDescent="0.25">
      <c r="A695" s="46">
        <v>100010448</v>
      </c>
      <c r="B695" s="47" t="s">
        <v>136</v>
      </c>
      <c r="C695" s="66" t="s">
        <v>137</v>
      </c>
      <c r="D695" s="48">
        <v>2543.63333333333</v>
      </c>
    </row>
    <row r="696" spans="1:4" x14ac:dyDescent="0.25">
      <c r="A696" s="46">
        <v>100012525</v>
      </c>
      <c r="B696" s="47" t="s">
        <v>236</v>
      </c>
      <c r="C696" s="66"/>
      <c r="D696" s="48">
        <v>2545.9666666666699</v>
      </c>
    </row>
    <row r="697" spans="1:4" x14ac:dyDescent="0.25">
      <c r="A697" s="59">
        <v>100012525</v>
      </c>
      <c r="B697" s="61" t="s">
        <v>236</v>
      </c>
      <c r="C697" s="60"/>
      <c r="D697" s="48">
        <v>2545.9699999999998</v>
      </c>
    </row>
    <row r="698" spans="1:4" x14ac:dyDescent="0.25">
      <c r="A698" s="46" t="s">
        <v>830</v>
      </c>
      <c r="B698" s="47" t="s">
        <v>824</v>
      </c>
      <c r="C698" s="66" t="s">
        <v>831</v>
      </c>
      <c r="D698" s="48">
        <v>2584.7566666666698</v>
      </c>
    </row>
    <row r="699" spans="1:4" x14ac:dyDescent="0.25">
      <c r="A699" s="59">
        <v>100012641</v>
      </c>
      <c r="B699" s="61" t="s">
        <v>1110</v>
      </c>
      <c r="C699" s="60" t="s">
        <v>831</v>
      </c>
      <c r="D699" s="48">
        <v>2584.7600000000002</v>
      </c>
    </row>
    <row r="700" spans="1:4" x14ac:dyDescent="0.25">
      <c r="A700" s="46">
        <v>100012639</v>
      </c>
      <c r="B700" s="47" t="s">
        <v>264</v>
      </c>
      <c r="C700" s="70"/>
      <c r="D700" s="48">
        <v>2588.3000000000002</v>
      </c>
    </row>
    <row r="701" spans="1:4" x14ac:dyDescent="0.25">
      <c r="A701" s="59">
        <v>100012639</v>
      </c>
      <c r="B701" s="61" t="s">
        <v>264</v>
      </c>
      <c r="C701" s="60"/>
      <c r="D701" s="48">
        <v>2588.3000000000002</v>
      </c>
    </row>
    <row r="702" spans="1:4" x14ac:dyDescent="0.25">
      <c r="A702" s="46" t="s">
        <v>439</v>
      </c>
      <c r="B702" s="47" t="s">
        <v>440</v>
      </c>
      <c r="C702" s="66"/>
      <c r="D702" s="48">
        <v>2657.3566666666702</v>
      </c>
    </row>
    <row r="703" spans="1:4" x14ac:dyDescent="0.25">
      <c r="A703" s="59">
        <v>100010125</v>
      </c>
      <c r="B703" s="61" t="s">
        <v>440</v>
      </c>
      <c r="C703" s="60"/>
      <c r="D703" s="48">
        <v>2657.36</v>
      </c>
    </row>
    <row r="704" spans="1:4" x14ac:dyDescent="0.25">
      <c r="A704" s="46" t="s">
        <v>799</v>
      </c>
      <c r="B704" s="47" t="s">
        <v>800</v>
      </c>
      <c r="C704" s="66" t="s">
        <v>801</v>
      </c>
      <c r="D704" s="48">
        <v>2660.3</v>
      </c>
    </row>
    <row r="705" spans="1:4" x14ac:dyDescent="0.25">
      <c r="A705" s="59">
        <v>100012601</v>
      </c>
      <c r="B705" s="61" t="s">
        <v>800</v>
      </c>
      <c r="C705" s="60" t="s">
        <v>801</v>
      </c>
      <c r="D705" s="48">
        <v>2660.3</v>
      </c>
    </row>
    <row r="706" spans="1:4" x14ac:dyDescent="0.25">
      <c r="A706" s="46" t="s">
        <v>816</v>
      </c>
      <c r="B706" s="47" t="s">
        <v>815</v>
      </c>
      <c r="C706" s="66" t="s">
        <v>817</v>
      </c>
      <c r="D706" s="48">
        <v>2665.9966666666701</v>
      </c>
    </row>
    <row r="707" spans="1:4" x14ac:dyDescent="0.25">
      <c r="A707" s="59">
        <v>100012607</v>
      </c>
      <c r="B707" s="61" t="s">
        <v>815</v>
      </c>
      <c r="C707" s="60" t="s">
        <v>817</v>
      </c>
      <c r="D707" s="48">
        <v>2666</v>
      </c>
    </row>
    <row r="708" spans="1:4" x14ac:dyDescent="0.25">
      <c r="A708" s="59">
        <v>100010453</v>
      </c>
      <c r="B708" s="61" t="s">
        <v>1140</v>
      </c>
      <c r="C708" s="60"/>
      <c r="D708" s="48">
        <v>2699.37</v>
      </c>
    </row>
    <row r="709" spans="1:4" x14ac:dyDescent="0.25">
      <c r="A709" s="46">
        <v>100012555</v>
      </c>
      <c r="B709" s="47" t="s">
        <v>246</v>
      </c>
      <c r="C709" s="66" t="s">
        <v>247</v>
      </c>
      <c r="D709" s="48">
        <v>2800.7166666666699</v>
      </c>
    </row>
    <row r="710" spans="1:4" x14ac:dyDescent="0.25">
      <c r="A710" s="59">
        <v>100012555</v>
      </c>
      <c r="B710" s="61" t="s">
        <v>246</v>
      </c>
      <c r="C710" s="60" t="s">
        <v>247</v>
      </c>
      <c r="D710" s="48">
        <v>2800.72</v>
      </c>
    </row>
    <row r="711" spans="1:4" x14ac:dyDescent="0.25">
      <c r="A711" s="59">
        <v>100010717</v>
      </c>
      <c r="B711" s="61" t="s">
        <v>590</v>
      </c>
      <c r="C711" s="60" t="s">
        <v>591</v>
      </c>
      <c r="D711" s="48">
        <v>2807.66</v>
      </c>
    </row>
    <row r="712" spans="1:4" x14ac:dyDescent="0.25">
      <c r="A712" s="46" t="s">
        <v>589</v>
      </c>
      <c r="B712" s="47" t="s">
        <v>590</v>
      </c>
      <c r="C712" s="66" t="s">
        <v>591</v>
      </c>
      <c r="D712" s="74">
        <v>2807.6633333333298</v>
      </c>
    </row>
    <row r="713" spans="1:4" x14ac:dyDescent="0.25">
      <c r="A713" s="46">
        <v>100012742</v>
      </c>
      <c r="B713" s="47" t="s">
        <v>275</v>
      </c>
      <c r="C713" s="66"/>
      <c r="D713" s="48">
        <v>2843.15</v>
      </c>
    </row>
    <row r="714" spans="1:4" x14ac:dyDescent="0.25">
      <c r="A714" s="59">
        <v>100012742</v>
      </c>
      <c r="B714" s="61" t="s">
        <v>275</v>
      </c>
      <c r="C714" s="60"/>
      <c r="D714" s="48">
        <v>2843.15</v>
      </c>
    </row>
    <row r="715" spans="1:4" x14ac:dyDescent="0.25">
      <c r="A715" s="59">
        <v>100013063</v>
      </c>
      <c r="B715" s="61" t="s">
        <v>942</v>
      </c>
      <c r="C715" s="60" t="s">
        <v>945</v>
      </c>
      <c r="D715" s="48">
        <v>2879.21</v>
      </c>
    </row>
    <row r="716" spans="1:4" x14ac:dyDescent="0.25">
      <c r="A716" s="46" t="s">
        <v>944</v>
      </c>
      <c r="B716" s="47" t="s">
        <v>942</v>
      </c>
      <c r="C716" s="66" t="s">
        <v>945</v>
      </c>
      <c r="D716" s="48">
        <v>2879.21</v>
      </c>
    </row>
    <row r="717" spans="1:4" x14ac:dyDescent="0.25">
      <c r="A717" s="46">
        <v>100010011</v>
      </c>
      <c r="B717" s="47" t="s">
        <v>110</v>
      </c>
      <c r="C717" s="66"/>
      <c r="D717" s="48">
        <v>2972.54</v>
      </c>
    </row>
    <row r="718" spans="1:4" x14ac:dyDescent="0.25">
      <c r="A718" s="59">
        <v>100010011</v>
      </c>
      <c r="B718" s="61" t="s">
        <v>1141</v>
      </c>
      <c r="C718" s="60"/>
      <c r="D718" s="48">
        <v>2972.54</v>
      </c>
    </row>
    <row r="719" spans="1:4" x14ac:dyDescent="0.25">
      <c r="A719" s="59">
        <v>100012263</v>
      </c>
      <c r="B719" s="61" t="s">
        <v>1142</v>
      </c>
      <c r="C719" s="60"/>
      <c r="D719" s="48">
        <v>2986.67</v>
      </c>
    </row>
    <row r="720" spans="1:4" x14ac:dyDescent="0.25">
      <c r="A720" s="59">
        <v>100012771</v>
      </c>
      <c r="B720" s="61" t="s">
        <v>284</v>
      </c>
      <c r="C720" s="60"/>
      <c r="D720" s="48">
        <v>2989.36</v>
      </c>
    </row>
    <row r="721" spans="1:4" x14ac:dyDescent="0.25">
      <c r="A721" s="46">
        <v>100012771</v>
      </c>
      <c r="B721" s="47" t="s">
        <v>284</v>
      </c>
      <c r="C721" s="66"/>
      <c r="D721" s="48">
        <v>2989.36333333333</v>
      </c>
    </row>
    <row r="722" spans="1:4" x14ac:dyDescent="0.25">
      <c r="A722" s="59">
        <v>100012641</v>
      </c>
      <c r="B722" s="61" t="s">
        <v>1110</v>
      </c>
      <c r="C722" s="60" t="s">
        <v>835</v>
      </c>
      <c r="D722" s="48">
        <v>3004.57</v>
      </c>
    </row>
    <row r="723" spans="1:4" x14ac:dyDescent="0.25">
      <c r="A723" s="46" t="s">
        <v>834</v>
      </c>
      <c r="B723" s="47" t="s">
        <v>824</v>
      </c>
      <c r="C723" s="66" t="s">
        <v>835</v>
      </c>
      <c r="D723" s="48">
        <v>3004.5733333333301</v>
      </c>
    </row>
    <row r="724" spans="1:4" x14ac:dyDescent="0.25">
      <c r="A724" s="59">
        <v>100002321</v>
      </c>
      <c r="B724" s="61" t="s">
        <v>1143</v>
      </c>
      <c r="C724" s="60" t="s">
        <v>323</v>
      </c>
      <c r="D724" s="48">
        <v>3027.17</v>
      </c>
    </row>
    <row r="725" spans="1:4" x14ac:dyDescent="0.25">
      <c r="A725" s="59">
        <v>100002284</v>
      </c>
      <c r="B725" s="61" t="s">
        <v>1144</v>
      </c>
      <c r="C725" s="60"/>
      <c r="D725" s="48">
        <v>3105.19</v>
      </c>
    </row>
    <row r="726" spans="1:4" x14ac:dyDescent="0.25">
      <c r="A726" s="46">
        <v>100002284</v>
      </c>
      <c r="B726" s="47" t="s">
        <v>88</v>
      </c>
      <c r="C726" s="66"/>
      <c r="D726" s="74">
        <v>3105.19333333333</v>
      </c>
    </row>
    <row r="727" spans="1:4" x14ac:dyDescent="0.25">
      <c r="A727" s="59">
        <v>100010095</v>
      </c>
      <c r="B727" s="61" t="s">
        <v>1145</v>
      </c>
      <c r="C727" s="60" t="s">
        <v>1026</v>
      </c>
      <c r="D727" s="48">
        <v>3313.51</v>
      </c>
    </row>
    <row r="728" spans="1:4" x14ac:dyDescent="0.25">
      <c r="A728" s="46">
        <v>100010864</v>
      </c>
      <c r="B728" s="47" t="s">
        <v>176</v>
      </c>
      <c r="C728" s="66"/>
      <c r="D728" s="48">
        <v>3323.2676666666698</v>
      </c>
    </row>
    <row r="729" spans="1:4" x14ac:dyDescent="0.25">
      <c r="A729" s="59">
        <v>100010864</v>
      </c>
      <c r="B729" s="61" t="s">
        <v>1146</v>
      </c>
      <c r="C729" s="60"/>
      <c r="D729" s="48">
        <v>3323.27</v>
      </c>
    </row>
    <row r="730" spans="1:4" x14ac:dyDescent="0.25">
      <c r="A730" s="59">
        <v>100012464</v>
      </c>
      <c r="B730" s="61" t="s">
        <v>1147</v>
      </c>
      <c r="C730" s="60"/>
      <c r="D730" s="48">
        <v>3335.74</v>
      </c>
    </row>
    <row r="731" spans="1:4" x14ac:dyDescent="0.25">
      <c r="A731" s="46">
        <v>100012464</v>
      </c>
      <c r="B731" s="47" t="s">
        <v>226</v>
      </c>
      <c r="C731" s="66"/>
      <c r="D731" s="48">
        <v>3335.74</v>
      </c>
    </row>
    <row r="732" spans="1:4" x14ac:dyDescent="0.25">
      <c r="A732" s="46" t="s">
        <v>939</v>
      </c>
      <c r="B732" s="47" t="s">
        <v>940</v>
      </c>
      <c r="C732" s="66"/>
      <c r="D732" s="48">
        <v>3457.9966666666701</v>
      </c>
    </row>
    <row r="733" spans="1:4" x14ac:dyDescent="0.25">
      <c r="A733" s="59">
        <v>100012924</v>
      </c>
      <c r="B733" s="61" t="s">
        <v>938</v>
      </c>
      <c r="C733" s="60"/>
      <c r="D733" s="48">
        <v>3458</v>
      </c>
    </row>
    <row r="734" spans="1:4" x14ac:dyDescent="0.25">
      <c r="A734" s="59">
        <v>100012795</v>
      </c>
      <c r="B734" s="61" t="s">
        <v>292</v>
      </c>
      <c r="C734" s="60"/>
      <c r="D734" s="48">
        <v>3484.02</v>
      </c>
    </row>
    <row r="735" spans="1:4" x14ac:dyDescent="0.25">
      <c r="A735" s="46">
        <v>100012795</v>
      </c>
      <c r="B735" s="47" t="s">
        <v>292</v>
      </c>
      <c r="C735" s="66"/>
      <c r="D735" s="48">
        <v>3484.0233333333299</v>
      </c>
    </row>
    <row r="736" spans="1:4" x14ac:dyDescent="0.25">
      <c r="A736" s="59">
        <v>100010686</v>
      </c>
      <c r="B736" s="61" t="s">
        <v>157</v>
      </c>
      <c r="C736" s="60" t="s">
        <v>158</v>
      </c>
      <c r="D736" s="48">
        <v>3540.4</v>
      </c>
    </row>
    <row r="737" spans="1:4" x14ac:dyDescent="0.25">
      <c r="A737" s="46">
        <v>100010686</v>
      </c>
      <c r="B737" s="47" t="s">
        <v>157</v>
      </c>
      <c r="C737" s="66" t="s">
        <v>158</v>
      </c>
      <c r="D737" s="48">
        <v>3540.40333333333</v>
      </c>
    </row>
    <row r="738" spans="1:4" x14ac:dyDescent="0.25">
      <c r="A738" s="46" t="s">
        <v>964</v>
      </c>
      <c r="B738" s="47" t="s">
        <v>962</v>
      </c>
      <c r="C738" s="66" t="s">
        <v>965</v>
      </c>
      <c r="D738" s="48">
        <v>3608.1466666666702</v>
      </c>
    </row>
    <row r="739" spans="1:4" x14ac:dyDescent="0.25">
      <c r="A739" s="59">
        <v>100013082</v>
      </c>
      <c r="B739" s="61" t="s">
        <v>962</v>
      </c>
      <c r="C739" s="60" t="s">
        <v>965</v>
      </c>
      <c r="D739" s="48">
        <v>3608.15</v>
      </c>
    </row>
    <row r="740" spans="1:4" x14ac:dyDescent="0.25">
      <c r="A740" s="46" t="s">
        <v>592</v>
      </c>
      <c r="B740" s="47" t="s">
        <v>590</v>
      </c>
      <c r="C740" s="66" t="s">
        <v>593</v>
      </c>
      <c r="D740" s="74">
        <v>3623.36666666667</v>
      </c>
    </row>
    <row r="741" spans="1:4" x14ac:dyDescent="0.25">
      <c r="A741" s="59">
        <v>100010717</v>
      </c>
      <c r="B741" s="61" t="s">
        <v>590</v>
      </c>
      <c r="C741" s="60" t="s">
        <v>593</v>
      </c>
      <c r="D741" s="48">
        <v>3623.37</v>
      </c>
    </row>
    <row r="742" spans="1:4" x14ac:dyDescent="0.25">
      <c r="A742" s="46">
        <v>100012320</v>
      </c>
      <c r="B742" s="47" t="s">
        <v>213</v>
      </c>
      <c r="C742" s="66" t="s">
        <v>214</v>
      </c>
      <c r="D742" s="48">
        <v>3632.6666666666702</v>
      </c>
    </row>
    <row r="743" spans="1:4" x14ac:dyDescent="0.25">
      <c r="A743" s="59">
        <v>100012320</v>
      </c>
      <c r="B743" s="61" t="s">
        <v>213</v>
      </c>
      <c r="C743" s="60" t="s">
        <v>214</v>
      </c>
      <c r="D743" s="48">
        <v>3632.67</v>
      </c>
    </row>
    <row r="744" spans="1:4" x14ac:dyDescent="0.25">
      <c r="A744" s="59">
        <v>100012305</v>
      </c>
      <c r="B744" s="61" t="s">
        <v>1134</v>
      </c>
      <c r="C744" s="60" t="s">
        <v>713</v>
      </c>
      <c r="D744" s="48">
        <v>3636.09</v>
      </c>
    </row>
    <row r="745" spans="1:4" x14ac:dyDescent="0.25">
      <c r="A745" s="46" t="s">
        <v>712</v>
      </c>
      <c r="B745" s="47" t="s">
        <v>710</v>
      </c>
      <c r="C745" s="66" t="s">
        <v>713</v>
      </c>
      <c r="D745" s="48">
        <v>3636.0933333333301</v>
      </c>
    </row>
    <row r="746" spans="1:4" x14ac:dyDescent="0.25">
      <c r="A746" s="59">
        <v>100012923</v>
      </c>
      <c r="B746" s="61" t="s">
        <v>353</v>
      </c>
      <c r="C746" s="60"/>
      <c r="D746" s="48">
        <v>3677.95</v>
      </c>
    </row>
    <row r="747" spans="1:4" x14ac:dyDescent="0.25">
      <c r="A747" s="46">
        <v>100012923</v>
      </c>
      <c r="B747" s="47" t="s">
        <v>353</v>
      </c>
      <c r="C747" s="70"/>
      <c r="D747" s="48">
        <v>3677.9533333333302</v>
      </c>
    </row>
    <row r="748" spans="1:4" x14ac:dyDescent="0.25">
      <c r="A748" s="59">
        <v>100011731</v>
      </c>
      <c r="B748" s="61" t="s">
        <v>186</v>
      </c>
      <c r="C748" s="60"/>
      <c r="D748" s="48">
        <v>3682.33</v>
      </c>
    </row>
    <row r="749" spans="1:4" x14ac:dyDescent="0.25">
      <c r="A749" s="46">
        <v>100011731</v>
      </c>
      <c r="B749" s="47" t="s">
        <v>186</v>
      </c>
      <c r="C749" s="66"/>
      <c r="D749" s="48">
        <v>3682.3333333333298</v>
      </c>
    </row>
    <row r="750" spans="1:4" x14ac:dyDescent="0.25">
      <c r="A750" s="46" t="s">
        <v>907</v>
      </c>
      <c r="B750" s="47" t="s">
        <v>908</v>
      </c>
      <c r="C750" s="66" t="s">
        <v>909</v>
      </c>
      <c r="D750" s="48">
        <v>3710.13</v>
      </c>
    </row>
    <row r="751" spans="1:4" x14ac:dyDescent="0.25">
      <c r="A751" s="59">
        <v>100012824</v>
      </c>
      <c r="B751" s="61" t="s">
        <v>908</v>
      </c>
      <c r="C751" s="60" t="s">
        <v>1148</v>
      </c>
      <c r="D751" s="48">
        <v>3710.13</v>
      </c>
    </row>
    <row r="752" spans="1:4" x14ac:dyDescent="0.25">
      <c r="A752" s="46" t="s">
        <v>436</v>
      </c>
      <c r="B752" s="47" t="s">
        <v>437</v>
      </c>
      <c r="C752" s="66" t="s">
        <v>438</v>
      </c>
      <c r="D752" s="48">
        <v>3721.7666666666701</v>
      </c>
    </row>
    <row r="753" spans="1:4" x14ac:dyDescent="0.25">
      <c r="A753" s="59">
        <v>100010125</v>
      </c>
      <c r="B753" s="61" t="s">
        <v>1149</v>
      </c>
      <c r="C753" s="60" t="s">
        <v>1150</v>
      </c>
      <c r="D753" s="48">
        <v>3721.77</v>
      </c>
    </row>
    <row r="754" spans="1:4" x14ac:dyDescent="0.25">
      <c r="A754" s="59">
        <v>100012258</v>
      </c>
      <c r="B754" s="61" t="s">
        <v>205</v>
      </c>
      <c r="C754" s="60"/>
      <c r="D754" s="48">
        <v>3788.52</v>
      </c>
    </row>
    <row r="755" spans="1:4" x14ac:dyDescent="0.25">
      <c r="A755" s="46">
        <v>100012258</v>
      </c>
      <c r="B755" s="47" t="s">
        <v>205</v>
      </c>
      <c r="C755" s="66"/>
      <c r="D755" s="48">
        <v>3788.5233333333299</v>
      </c>
    </row>
    <row r="756" spans="1:4" x14ac:dyDescent="0.25">
      <c r="A756" s="46">
        <v>100013107</v>
      </c>
      <c r="B756" s="47" t="s">
        <v>362</v>
      </c>
      <c r="C756" s="66"/>
      <c r="D756" s="48">
        <v>3790.5</v>
      </c>
    </row>
    <row r="757" spans="1:4" x14ac:dyDescent="0.25">
      <c r="A757" s="59">
        <v>100013107</v>
      </c>
      <c r="B757" s="61" t="s">
        <v>362</v>
      </c>
      <c r="C757" s="60"/>
      <c r="D757" s="48">
        <v>3790.5</v>
      </c>
    </row>
    <row r="758" spans="1:4" x14ac:dyDescent="0.25">
      <c r="A758" s="59">
        <v>100002333</v>
      </c>
      <c r="B758" s="61" t="s">
        <v>389</v>
      </c>
      <c r="C758" s="60" t="s">
        <v>1151</v>
      </c>
      <c r="D758" s="48">
        <v>3830</v>
      </c>
    </row>
    <row r="759" spans="1:4" x14ac:dyDescent="0.25">
      <c r="A759" s="46">
        <v>100011995</v>
      </c>
      <c r="B759" s="47" t="s">
        <v>692</v>
      </c>
      <c r="C759" s="66"/>
      <c r="D759" s="48">
        <v>3872.2566666666698</v>
      </c>
    </row>
    <row r="760" spans="1:4" x14ac:dyDescent="0.25">
      <c r="A760" s="59">
        <v>100011995</v>
      </c>
      <c r="B760" s="61" t="s">
        <v>692</v>
      </c>
      <c r="C760" s="60"/>
      <c r="D760" s="48">
        <v>3872.26</v>
      </c>
    </row>
    <row r="761" spans="1:4" x14ac:dyDescent="0.25">
      <c r="A761" s="59">
        <v>100012778</v>
      </c>
      <c r="B761" s="61" t="s">
        <v>882</v>
      </c>
      <c r="C761" s="60"/>
      <c r="D761" s="48">
        <v>3876.02</v>
      </c>
    </row>
    <row r="762" spans="1:4" x14ac:dyDescent="0.25">
      <c r="A762" s="46" t="s">
        <v>881</v>
      </c>
      <c r="B762" s="47" t="s">
        <v>882</v>
      </c>
      <c r="C762" s="66"/>
      <c r="D762" s="48">
        <v>3876.0233333333299</v>
      </c>
    </row>
    <row r="763" spans="1:4" x14ac:dyDescent="0.25">
      <c r="A763" s="46" t="s">
        <v>968</v>
      </c>
      <c r="B763" s="47" t="s">
        <v>962</v>
      </c>
      <c r="C763" s="66" t="s">
        <v>969</v>
      </c>
      <c r="D763" s="48">
        <v>3982.32</v>
      </c>
    </row>
    <row r="764" spans="1:4" x14ac:dyDescent="0.25">
      <c r="A764" s="59">
        <v>100013082</v>
      </c>
      <c r="B764" s="61" t="s">
        <v>962</v>
      </c>
      <c r="C764" s="60" t="s">
        <v>969</v>
      </c>
      <c r="D764" s="48">
        <v>3982.32</v>
      </c>
    </row>
    <row r="765" spans="1:4" x14ac:dyDescent="0.25">
      <c r="A765" s="59">
        <v>100012274</v>
      </c>
      <c r="B765" s="61" t="s">
        <v>1152</v>
      </c>
      <c r="C765" s="60"/>
      <c r="D765" s="48">
        <v>4060.3</v>
      </c>
    </row>
    <row r="766" spans="1:4" x14ac:dyDescent="0.25">
      <c r="A766" s="59">
        <v>100002356</v>
      </c>
      <c r="B766" s="61" t="s">
        <v>107</v>
      </c>
      <c r="C766" s="60"/>
      <c r="D766" s="48">
        <v>4103.68</v>
      </c>
    </row>
    <row r="767" spans="1:4" x14ac:dyDescent="0.25">
      <c r="A767" s="46">
        <v>100002356</v>
      </c>
      <c r="B767" s="47" t="s">
        <v>107</v>
      </c>
      <c r="C767" s="66"/>
      <c r="D767" s="48">
        <v>4103.6833333333298</v>
      </c>
    </row>
    <row r="768" spans="1:4" x14ac:dyDescent="0.25">
      <c r="A768" s="46">
        <v>100012654</v>
      </c>
      <c r="B768" s="47" t="s">
        <v>136</v>
      </c>
      <c r="C768" s="66" t="s">
        <v>267</v>
      </c>
      <c r="D768" s="48">
        <v>4125.0166666666701</v>
      </c>
    </row>
    <row r="769" spans="1:4" x14ac:dyDescent="0.25">
      <c r="A769" s="59">
        <v>100012654</v>
      </c>
      <c r="B769" s="61" t="s">
        <v>1139</v>
      </c>
      <c r="C769" s="60" t="s">
        <v>267</v>
      </c>
      <c r="D769" s="48">
        <v>4125.0200000000004</v>
      </c>
    </row>
    <row r="770" spans="1:4" x14ac:dyDescent="0.25">
      <c r="A770" s="46">
        <v>100012786</v>
      </c>
      <c r="B770" s="47" t="s">
        <v>289</v>
      </c>
      <c r="C770" s="66"/>
      <c r="D770" s="48">
        <v>4182.3333333333303</v>
      </c>
    </row>
    <row r="771" spans="1:4" x14ac:dyDescent="0.25">
      <c r="A771" s="59">
        <v>100012881</v>
      </c>
      <c r="B771" s="61" t="s">
        <v>324</v>
      </c>
      <c r="C771" s="60"/>
      <c r="D771" s="48">
        <v>4365.9399999999996</v>
      </c>
    </row>
    <row r="772" spans="1:4" x14ac:dyDescent="0.25">
      <c r="A772" s="46">
        <v>100012881</v>
      </c>
      <c r="B772" s="47" t="s">
        <v>324</v>
      </c>
      <c r="C772" s="66"/>
      <c r="D772" s="48">
        <v>4365.94333333333</v>
      </c>
    </row>
    <row r="773" spans="1:4" x14ac:dyDescent="0.25">
      <c r="A773" s="59">
        <v>100012345</v>
      </c>
      <c r="B773" s="61" t="s">
        <v>726</v>
      </c>
      <c r="C773" s="60" t="s">
        <v>729</v>
      </c>
      <c r="D773" s="48">
        <v>4721</v>
      </c>
    </row>
    <row r="774" spans="1:4" x14ac:dyDescent="0.25">
      <c r="A774" s="46" t="s">
        <v>728</v>
      </c>
      <c r="B774" s="47" t="s">
        <v>726</v>
      </c>
      <c r="C774" s="66" t="s">
        <v>729</v>
      </c>
      <c r="D774" s="48">
        <v>4721</v>
      </c>
    </row>
    <row r="775" spans="1:4" x14ac:dyDescent="0.25">
      <c r="A775" s="59">
        <v>100012664</v>
      </c>
      <c r="B775" s="61" t="s">
        <v>858</v>
      </c>
      <c r="C775" s="60" t="s">
        <v>859</v>
      </c>
      <c r="D775" s="48">
        <v>4733</v>
      </c>
    </row>
    <row r="776" spans="1:4" x14ac:dyDescent="0.25">
      <c r="A776" s="46" t="s">
        <v>857</v>
      </c>
      <c r="B776" s="47" t="s">
        <v>858</v>
      </c>
      <c r="C776" s="66" t="s">
        <v>859</v>
      </c>
      <c r="D776" s="48">
        <v>4733</v>
      </c>
    </row>
    <row r="777" spans="1:4" x14ac:dyDescent="0.25">
      <c r="A777" s="46">
        <v>100012474</v>
      </c>
      <c r="B777" s="78" t="s">
        <v>227</v>
      </c>
      <c r="C777" s="66"/>
      <c r="D777" s="48">
        <v>4767.93</v>
      </c>
    </row>
    <row r="778" spans="1:4" x14ac:dyDescent="0.25">
      <c r="A778" s="59">
        <v>100012474</v>
      </c>
      <c r="B778" s="61" t="s">
        <v>1153</v>
      </c>
      <c r="C778" s="60"/>
      <c r="D778" s="48">
        <v>4767.93</v>
      </c>
    </row>
    <row r="779" spans="1:4" x14ac:dyDescent="0.25">
      <c r="A779" s="59">
        <v>100002305</v>
      </c>
      <c r="B779" s="61" t="s">
        <v>91</v>
      </c>
      <c r="C779" s="60"/>
      <c r="D779" s="48">
        <v>4770.82</v>
      </c>
    </row>
    <row r="780" spans="1:4" x14ac:dyDescent="0.25">
      <c r="A780" s="46">
        <v>100002305</v>
      </c>
      <c r="B780" s="47" t="s">
        <v>91</v>
      </c>
      <c r="C780" s="66"/>
      <c r="D780" s="74">
        <v>4770.8233333333301</v>
      </c>
    </row>
    <row r="781" spans="1:4" x14ac:dyDescent="0.25">
      <c r="A781" s="59">
        <v>100012664</v>
      </c>
      <c r="B781" s="61" t="s">
        <v>864</v>
      </c>
      <c r="C781" s="60" t="s">
        <v>865</v>
      </c>
      <c r="D781" s="48">
        <v>4777.33</v>
      </c>
    </row>
    <row r="782" spans="1:4" x14ac:dyDescent="0.25">
      <c r="A782" s="46" t="s">
        <v>863</v>
      </c>
      <c r="B782" s="47" t="s">
        <v>864</v>
      </c>
      <c r="C782" s="66" t="s">
        <v>865</v>
      </c>
      <c r="D782" s="48">
        <v>4777.3333333333303</v>
      </c>
    </row>
    <row r="783" spans="1:4" x14ac:dyDescent="0.25">
      <c r="A783" s="59">
        <v>100002343</v>
      </c>
      <c r="B783" s="61" t="s">
        <v>1154</v>
      </c>
      <c r="C783" s="60"/>
      <c r="D783" s="48">
        <v>4790.0200000000004</v>
      </c>
    </row>
    <row r="784" spans="1:4" x14ac:dyDescent="0.25">
      <c r="A784" s="46">
        <v>100002343</v>
      </c>
      <c r="B784" s="47" t="s">
        <v>103</v>
      </c>
      <c r="C784" s="66"/>
      <c r="D784" s="48">
        <v>4790.0233333333299</v>
      </c>
    </row>
    <row r="785" spans="1:4" x14ac:dyDescent="0.25">
      <c r="A785" s="46">
        <v>100012902</v>
      </c>
      <c r="B785" s="47" t="s">
        <v>343</v>
      </c>
      <c r="C785" s="66"/>
      <c r="D785" s="48">
        <v>4836.2700000000004</v>
      </c>
    </row>
    <row r="786" spans="1:4" x14ac:dyDescent="0.25">
      <c r="A786" s="59">
        <v>100012902</v>
      </c>
      <c r="B786" s="61" t="s">
        <v>343</v>
      </c>
      <c r="C786" s="60"/>
      <c r="D786" s="48">
        <v>4836.2700000000004</v>
      </c>
    </row>
    <row r="787" spans="1:4" x14ac:dyDescent="0.25">
      <c r="A787" s="59">
        <v>100012737</v>
      </c>
      <c r="B787" s="61" t="s">
        <v>870</v>
      </c>
      <c r="C787" s="60" t="s">
        <v>871</v>
      </c>
      <c r="D787" s="48">
        <v>4867.5</v>
      </c>
    </row>
    <row r="788" spans="1:4" x14ac:dyDescent="0.25">
      <c r="A788" s="46" t="s">
        <v>869</v>
      </c>
      <c r="B788" s="47" t="s">
        <v>870</v>
      </c>
      <c r="C788" s="77" t="s">
        <v>871</v>
      </c>
      <c r="D788" s="48">
        <v>4867.5033333333304</v>
      </c>
    </row>
    <row r="789" spans="1:4" x14ac:dyDescent="0.25">
      <c r="A789" s="59">
        <v>100013081</v>
      </c>
      <c r="B789" s="61" t="s">
        <v>1135</v>
      </c>
      <c r="C789" s="60">
        <v>5638</v>
      </c>
      <c r="D789" s="48">
        <v>4885.8100000000004</v>
      </c>
    </row>
    <row r="790" spans="1:4" x14ac:dyDescent="0.25">
      <c r="A790" s="46" t="s">
        <v>948</v>
      </c>
      <c r="B790" s="47" t="s">
        <v>949</v>
      </c>
      <c r="C790" s="66">
        <v>5638</v>
      </c>
      <c r="D790" s="48">
        <v>4885.8133333333299</v>
      </c>
    </row>
    <row r="791" spans="1:4" x14ac:dyDescent="0.25">
      <c r="A791" s="46" t="s">
        <v>559</v>
      </c>
      <c r="B791" s="47" t="s">
        <v>560</v>
      </c>
      <c r="C791" s="66" t="s">
        <v>561</v>
      </c>
      <c r="D791" s="48">
        <v>4894.6666666666697</v>
      </c>
    </row>
    <row r="792" spans="1:4" x14ac:dyDescent="0.25">
      <c r="A792" s="59">
        <v>100010395</v>
      </c>
      <c r="B792" s="61" t="s">
        <v>560</v>
      </c>
      <c r="C792" s="60" t="s">
        <v>561</v>
      </c>
      <c r="D792" s="48">
        <v>4894.67</v>
      </c>
    </row>
    <row r="793" spans="1:4" x14ac:dyDescent="0.25">
      <c r="A793" s="59">
        <v>100010413</v>
      </c>
      <c r="B793" s="61" t="s">
        <v>563</v>
      </c>
      <c r="C793" s="60" t="s">
        <v>564</v>
      </c>
      <c r="D793" s="48">
        <v>4901.3</v>
      </c>
    </row>
    <row r="794" spans="1:4" x14ac:dyDescent="0.25">
      <c r="A794" s="46" t="s">
        <v>562</v>
      </c>
      <c r="B794" s="47" t="s">
        <v>563</v>
      </c>
      <c r="C794" s="66" t="s">
        <v>564</v>
      </c>
      <c r="D794" s="48">
        <v>4901.3033333333296</v>
      </c>
    </row>
    <row r="795" spans="1:4" x14ac:dyDescent="0.25">
      <c r="A795" s="59">
        <v>100010413</v>
      </c>
      <c r="B795" s="61" t="s">
        <v>569</v>
      </c>
      <c r="C795" s="60" t="s">
        <v>570</v>
      </c>
      <c r="D795" s="48">
        <v>4943</v>
      </c>
    </row>
    <row r="796" spans="1:4" x14ac:dyDescent="0.25">
      <c r="A796" s="46" t="s">
        <v>568</v>
      </c>
      <c r="B796" s="47" t="s">
        <v>569</v>
      </c>
      <c r="C796" s="66" t="s">
        <v>570</v>
      </c>
      <c r="D796" s="48">
        <v>4943</v>
      </c>
    </row>
    <row r="797" spans="1:4" x14ac:dyDescent="0.25">
      <c r="A797" s="59">
        <v>100002328</v>
      </c>
      <c r="B797" s="61" t="s">
        <v>1155</v>
      </c>
      <c r="C797" s="60" t="s">
        <v>1026</v>
      </c>
      <c r="D797" s="48">
        <v>5009.9799999999996</v>
      </c>
    </row>
    <row r="798" spans="1:4" x14ac:dyDescent="0.25">
      <c r="A798" s="59">
        <v>100012861</v>
      </c>
      <c r="B798" s="61" t="s">
        <v>913</v>
      </c>
      <c r="C798" s="60" t="s">
        <v>918</v>
      </c>
      <c r="D798" s="48">
        <v>5027.46</v>
      </c>
    </row>
    <row r="799" spans="1:4" x14ac:dyDescent="0.25">
      <c r="A799" s="46" t="s">
        <v>917</v>
      </c>
      <c r="B799" s="47" t="s">
        <v>913</v>
      </c>
      <c r="C799" s="66" t="s">
        <v>918</v>
      </c>
      <c r="D799" s="48">
        <v>5027.4633333333304</v>
      </c>
    </row>
    <row r="800" spans="1:4" x14ac:dyDescent="0.25">
      <c r="A800" s="46">
        <v>100010595</v>
      </c>
      <c r="B800" s="47" t="s">
        <v>151</v>
      </c>
      <c r="C800" s="66"/>
      <c r="D800" s="48">
        <v>5052.5666666666702</v>
      </c>
    </row>
    <row r="801" spans="1:4" x14ac:dyDescent="0.25">
      <c r="A801" s="59">
        <v>100010595</v>
      </c>
      <c r="B801" s="61" t="s">
        <v>151</v>
      </c>
      <c r="C801" s="60"/>
      <c r="D801" s="48">
        <v>5052.57</v>
      </c>
    </row>
    <row r="802" spans="1:4" x14ac:dyDescent="0.25">
      <c r="A802" s="46">
        <v>100002337</v>
      </c>
      <c r="B802" s="47" t="s">
        <v>101</v>
      </c>
      <c r="C802" s="66"/>
      <c r="D802" s="48">
        <v>5303.36</v>
      </c>
    </row>
    <row r="803" spans="1:4" x14ac:dyDescent="0.25">
      <c r="A803" s="59">
        <v>100002337</v>
      </c>
      <c r="B803" s="61" t="s">
        <v>101</v>
      </c>
      <c r="C803" s="60"/>
      <c r="D803" s="48">
        <v>5303.36</v>
      </c>
    </row>
    <row r="804" spans="1:4" x14ac:dyDescent="0.25">
      <c r="A804" s="59">
        <v>100010849</v>
      </c>
      <c r="B804" s="61" t="s">
        <v>239</v>
      </c>
      <c r="C804" s="60" t="s">
        <v>623</v>
      </c>
      <c r="D804" s="48">
        <v>5363.5</v>
      </c>
    </row>
    <row r="805" spans="1:4" x14ac:dyDescent="0.25">
      <c r="A805" s="46" t="s">
        <v>622</v>
      </c>
      <c r="B805" s="47" t="s">
        <v>237</v>
      </c>
      <c r="C805" s="66" t="s">
        <v>623</v>
      </c>
      <c r="D805" s="48">
        <v>5363.5</v>
      </c>
    </row>
    <row r="806" spans="1:4" x14ac:dyDescent="0.25">
      <c r="A806" s="59">
        <v>100010453</v>
      </c>
      <c r="B806" s="61" t="s">
        <v>1156</v>
      </c>
      <c r="C806" s="60"/>
      <c r="D806" s="48">
        <v>5497.7</v>
      </c>
    </row>
    <row r="807" spans="1:4" x14ac:dyDescent="0.25">
      <c r="A807" s="59">
        <v>100002250</v>
      </c>
      <c r="B807" s="61" t="s">
        <v>378</v>
      </c>
      <c r="C807" s="60" t="s">
        <v>591</v>
      </c>
      <c r="D807" s="48">
        <v>5500.33</v>
      </c>
    </row>
    <row r="808" spans="1:4" x14ac:dyDescent="0.25">
      <c r="A808" s="46" t="s">
        <v>377</v>
      </c>
      <c r="B808" s="47" t="s">
        <v>378</v>
      </c>
      <c r="C808" s="66" t="s">
        <v>379</v>
      </c>
      <c r="D808" s="74">
        <v>5500.3333333333303</v>
      </c>
    </row>
    <row r="809" spans="1:4" x14ac:dyDescent="0.25">
      <c r="A809" s="59">
        <v>100013052</v>
      </c>
      <c r="B809" s="61" t="s">
        <v>1157</v>
      </c>
      <c r="C809" s="60"/>
      <c r="D809" s="48">
        <v>5584.7</v>
      </c>
    </row>
    <row r="810" spans="1:4" x14ac:dyDescent="0.25">
      <c r="A810" s="46">
        <v>100013052</v>
      </c>
      <c r="B810" s="47" t="s">
        <v>354</v>
      </c>
      <c r="C810" s="66"/>
      <c r="D810" s="48">
        <v>5584.7033333333302</v>
      </c>
    </row>
    <row r="811" spans="1:4" x14ac:dyDescent="0.25">
      <c r="A811" s="59">
        <v>100012465</v>
      </c>
      <c r="B811" s="61" t="s">
        <v>732</v>
      </c>
      <c r="C811" s="60" t="s">
        <v>735</v>
      </c>
      <c r="D811" s="48">
        <v>5626.33</v>
      </c>
    </row>
    <row r="812" spans="1:4" x14ac:dyDescent="0.25">
      <c r="A812" s="46" t="s">
        <v>734</v>
      </c>
      <c r="B812" s="47" t="s">
        <v>732</v>
      </c>
      <c r="C812" s="66" t="s">
        <v>735</v>
      </c>
      <c r="D812" s="48">
        <v>5626.3333333333303</v>
      </c>
    </row>
    <row r="813" spans="1:4" x14ac:dyDescent="0.25">
      <c r="A813" s="59">
        <v>100013063</v>
      </c>
      <c r="B813" s="61" t="s">
        <v>942</v>
      </c>
      <c r="C813" s="60" t="s">
        <v>947</v>
      </c>
      <c r="D813" s="48">
        <v>5653.06</v>
      </c>
    </row>
    <row r="814" spans="1:4" x14ac:dyDescent="0.25">
      <c r="A814" s="46" t="s">
        <v>946</v>
      </c>
      <c r="B814" s="47" t="s">
        <v>942</v>
      </c>
      <c r="C814" s="66" t="s">
        <v>947</v>
      </c>
      <c r="D814" s="48">
        <v>5653.06</v>
      </c>
    </row>
    <row r="815" spans="1:4" x14ac:dyDescent="0.25">
      <c r="A815" s="59">
        <v>100012767</v>
      </c>
      <c r="B815" s="61" t="s">
        <v>281</v>
      </c>
      <c r="C815" s="60"/>
      <c r="D815" s="48">
        <v>5695.98</v>
      </c>
    </row>
    <row r="816" spans="1:4" x14ac:dyDescent="0.25">
      <c r="A816" s="46">
        <v>100012767</v>
      </c>
      <c r="B816" s="47" t="s">
        <v>281</v>
      </c>
      <c r="C816" s="66"/>
      <c r="D816" s="48">
        <v>5695.9833333333299</v>
      </c>
    </row>
    <row r="817" spans="1:4" x14ac:dyDescent="0.25">
      <c r="A817" s="46">
        <v>100012900</v>
      </c>
      <c r="B817" s="47" t="s">
        <v>193</v>
      </c>
      <c r="C817" s="66" t="s">
        <v>341</v>
      </c>
      <c r="D817" s="48">
        <v>5717.61</v>
      </c>
    </row>
    <row r="818" spans="1:4" x14ac:dyDescent="0.25">
      <c r="A818" s="59">
        <v>100012900</v>
      </c>
      <c r="B818" s="61" t="s">
        <v>193</v>
      </c>
      <c r="C818" s="60" t="s">
        <v>341</v>
      </c>
      <c r="D818" s="48">
        <v>5717.61</v>
      </c>
    </row>
    <row r="819" spans="1:4" x14ac:dyDescent="0.25">
      <c r="A819" s="46" t="s">
        <v>736</v>
      </c>
      <c r="B819" s="47" t="s">
        <v>732</v>
      </c>
      <c r="C819" s="66" t="s">
        <v>737</v>
      </c>
      <c r="D819" s="48">
        <v>5752.05666666667</v>
      </c>
    </row>
    <row r="820" spans="1:4" x14ac:dyDescent="0.25">
      <c r="A820" s="59">
        <v>100012465</v>
      </c>
      <c r="B820" s="61" t="s">
        <v>732</v>
      </c>
      <c r="C820" s="60" t="s">
        <v>737</v>
      </c>
      <c r="D820" s="48">
        <v>5752.06</v>
      </c>
    </row>
    <row r="821" spans="1:4" x14ac:dyDescent="0.25">
      <c r="A821" s="59">
        <v>100013116</v>
      </c>
      <c r="B821" s="61" t="s">
        <v>1158</v>
      </c>
      <c r="C821" s="60" t="s">
        <v>323</v>
      </c>
      <c r="D821" s="48">
        <v>5839.75</v>
      </c>
    </row>
    <row r="822" spans="1:4" x14ac:dyDescent="0.25">
      <c r="A822" s="46" t="s">
        <v>639</v>
      </c>
      <c r="B822" s="47" t="s">
        <v>640</v>
      </c>
      <c r="C822" s="66"/>
      <c r="D822" s="48">
        <v>5879.2866666666696</v>
      </c>
    </row>
    <row r="823" spans="1:4" x14ac:dyDescent="0.25">
      <c r="A823" s="59">
        <v>100011317</v>
      </c>
      <c r="B823" s="61" t="s">
        <v>640</v>
      </c>
      <c r="C823" s="60"/>
      <c r="D823" s="48">
        <v>5879.29</v>
      </c>
    </row>
    <row r="824" spans="1:4" x14ac:dyDescent="0.25">
      <c r="A824" s="46" t="s">
        <v>970</v>
      </c>
      <c r="B824" s="47" t="s">
        <v>962</v>
      </c>
      <c r="C824" s="66" t="s">
        <v>971</v>
      </c>
      <c r="D824" s="48">
        <v>5933.3333333333303</v>
      </c>
    </row>
    <row r="825" spans="1:4" x14ac:dyDescent="0.25">
      <c r="A825" s="59">
        <v>100010095</v>
      </c>
      <c r="B825" s="61" t="s">
        <v>1159</v>
      </c>
      <c r="C825" s="60" t="s">
        <v>1026</v>
      </c>
      <c r="D825" s="48">
        <v>6007.17</v>
      </c>
    </row>
    <row r="826" spans="1:4" x14ac:dyDescent="0.25">
      <c r="A826" s="46" t="s">
        <v>754</v>
      </c>
      <c r="B826" s="47" t="s">
        <v>755</v>
      </c>
      <c r="C826" s="66"/>
      <c r="D826" s="48">
        <v>6182.9266666666699</v>
      </c>
    </row>
    <row r="827" spans="1:4" x14ac:dyDescent="0.25">
      <c r="A827" s="59">
        <v>100012468</v>
      </c>
      <c r="B827" s="61" t="s">
        <v>757</v>
      </c>
      <c r="C827" s="60"/>
      <c r="D827" s="48">
        <v>6182.93</v>
      </c>
    </row>
    <row r="828" spans="1:4" x14ac:dyDescent="0.25">
      <c r="A828" s="59">
        <v>100012819</v>
      </c>
      <c r="B828" s="61" t="s">
        <v>1160</v>
      </c>
      <c r="C828" s="60"/>
      <c r="D828" s="48">
        <v>6255.12</v>
      </c>
    </row>
    <row r="829" spans="1:4" x14ac:dyDescent="0.25">
      <c r="A829" s="46">
        <v>100012819</v>
      </c>
      <c r="B829" s="47" t="s">
        <v>301</v>
      </c>
      <c r="C829" s="66"/>
      <c r="D829" s="48">
        <v>6255.1233333333303</v>
      </c>
    </row>
    <row r="830" spans="1:4" x14ac:dyDescent="0.25">
      <c r="A830" s="59">
        <v>100010813</v>
      </c>
      <c r="B830" s="61" t="s">
        <v>612</v>
      </c>
      <c r="C830" s="60" t="s">
        <v>615</v>
      </c>
      <c r="D830" s="48">
        <v>6305.38</v>
      </c>
    </row>
    <row r="831" spans="1:4" x14ac:dyDescent="0.25">
      <c r="A831" s="46" t="s">
        <v>614</v>
      </c>
      <c r="B831" s="47" t="s">
        <v>612</v>
      </c>
      <c r="C831" s="66" t="s">
        <v>615</v>
      </c>
      <c r="D831" s="48">
        <v>6305.38</v>
      </c>
    </row>
    <row r="832" spans="1:4" x14ac:dyDescent="0.25">
      <c r="A832" s="59">
        <v>100012861</v>
      </c>
      <c r="B832" s="61" t="s">
        <v>913</v>
      </c>
      <c r="C832" s="60" t="s">
        <v>920</v>
      </c>
      <c r="D832" s="48">
        <v>6559.42</v>
      </c>
    </row>
    <row r="833" spans="1:4" x14ac:dyDescent="0.25">
      <c r="A833" s="46" t="s">
        <v>919</v>
      </c>
      <c r="B833" s="47" t="s">
        <v>913</v>
      </c>
      <c r="C833" s="66" t="s">
        <v>920</v>
      </c>
      <c r="D833" s="48">
        <v>6559.42</v>
      </c>
    </row>
    <row r="834" spans="1:4" x14ac:dyDescent="0.25">
      <c r="A834" s="59">
        <v>100012861</v>
      </c>
      <c r="B834" s="61" t="s">
        <v>1161</v>
      </c>
      <c r="C834" s="60" t="s">
        <v>1162</v>
      </c>
      <c r="D834" s="48">
        <v>6759.99</v>
      </c>
    </row>
    <row r="835" spans="1:4" x14ac:dyDescent="0.25">
      <c r="A835" s="46" t="s">
        <v>923</v>
      </c>
      <c r="B835" s="47" t="s">
        <v>913</v>
      </c>
      <c r="C835" s="66" t="s">
        <v>924</v>
      </c>
      <c r="D835" s="79">
        <v>6759.99</v>
      </c>
    </row>
    <row r="836" spans="1:4" x14ac:dyDescent="0.25">
      <c r="A836" s="59">
        <v>100010677</v>
      </c>
      <c r="B836" s="61" t="s">
        <v>576</v>
      </c>
      <c r="C836" s="60" t="s">
        <v>1163</v>
      </c>
      <c r="D836" s="48">
        <v>6906.68</v>
      </c>
    </row>
    <row r="837" spans="1:4" x14ac:dyDescent="0.25">
      <c r="A837" s="46" t="s">
        <v>578</v>
      </c>
      <c r="B837" s="47" t="s">
        <v>576</v>
      </c>
      <c r="C837" s="66" t="s">
        <v>579</v>
      </c>
      <c r="D837" s="79">
        <v>6906.68</v>
      </c>
    </row>
    <row r="838" spans="1:4" x14ac:dyDescent="0.25">
      <c r="A838" s="59">
        <v>100012776</v>
      </c>
      <c r="B838" s="61" t="s">
        <v>286</v>
      </c>
      <c r="C838" s="60"/>
      <c r="D838" s="48">
        <v>6950.27</v>
      </c>
    </row>
    <row r="839" spans="1:4" x14ac:dyDescent="0.25">
      <c r="A839" s="46">
        <v>100012776</v>
      </c>
      <c r="B839" s="47" t="s">
        <v>286</v>
      </c>
      <c r="C839" s="66"/>
      <c r="D839" s="48">
        <v>6950.2733333333299</v>
      </c>
    </row>
    <row r="840" spans="1:4" x14ac:dyDescent="0.25">
      <c r="A840" s="59">
        <v>100002277</v>
      </c>
      <c r="B840" s="61" t="s">
        <v>1164</v>
      </c>
      <c r="C840" s="60" t="s">
        <v>323</v>
      </c>
      <c r="D840" s="48">
        <v>7115.24</v>
      </c>
    </row>
    <row r="841" spans="1:4" x14ac:dyDescent="0.25">
      <c r="A841" s="59">
        <v>100012616</v>
      </c>
      <c r="B841" s="61" t="s">
        <v>1165</v>
      </c>
      <c r="C841" s="60"/>
      <c r="D841" s="48">
        <v>7115.86</v>
      </c>
    </row>
    <row r="842" spans="1:4" x14ac:dyDescent="0.25">
      <c r="A842" s="46">
        <v>100012616</v>
      </c>
      <c r="B842" s="47" t="s">
        <v>259</v>
      </c>
      <c r="C842" s="66"/>
      <c r="D842" s="48">
        <v>7115.86</v>
      </c>
    </row>
    <row r="843" spans="1:4" x14ac:dyDescent="0.25">
      <c r="A843" s="46">
        <v>100012582</v>
      </c>
      <c r="B843" s="47" t="s">
        <v>248</v>
      </c>
      <c r="C843" s="66"/>
      <c r="D843" s="48">
        <v>7206.56</v>
      </c>
    </row>
    <row r="844" spans="1:4" x14ac:dyDescent="0.25">
      <c r="A844" s="59">
        <v>100012582</v>
      </c>
      <c r="B844" s="61" t="s">
        <v>248</v>
      </c>
      <c r="C844" s="60"/>
      <c r="D844" s="48">
        <v>7206.56</v>
      </c>
    </row>
    <row r="845" spans="1:4" x14ac:dyDescent="0.25">
      <c r="A845" s="59">
        <v>100002354</v>
      </c>
      <c r="B845" s="61" t="s">
        <v>106</v>
      </c>
      <c r="C845" s="60"/>
      <c r="D845" s="48">
        <v>7248.13</v>
      </c>
    </row>
    <row r="846" spans="1:4" x14ac:dyDescent="0.25">
      <c r="A846" s="46">
        <v>100002354</v>
      </c>
      <c r="B846" s="47" t="s">
        <v>106</v>
      </c>
      <c r="C846" s="66"/>
      <c r="D846" s="48">
        <v>7248.1333333333296</v>
      </c>
    </row>
    <row r="847" spans="1:4" x14ac:dyDescent="0.25">
      <c r="A847" s="59">
        <v>100012901</v>
      </c>
      <c r="B847" s="61" t="s">
        <v>1166</v>
      </c>
      <c r="C847" s="60"/>
      <c r="D847" s="48">
        <v>7253.26</v>
      </c>
    </row>
    <row r="848" spans="1:4" x14ac:dyDescent="0.25">
      <c r="A848" s="46">
        <v>100012844</v>
      </c>
      <c r="B848" s="47" t="s">
        <v>309</v>
      </c>
      <c r="C848" s="66"/>
      <c r="D848" s="48">
        <v>7436.3966666666702</v>
      </c>
    </row>
    <row r="849" spans="1:4" x14ac:dyDescent="0.25">
      <c r="A849" s="59">
        <v>100012844</v>
      </c>
      <c r="B849" s="61" t="s">
        <v>309</v>
      </c>
      <c r="C849" s="60"/>
      <c r="D849" s="48">
        <v>7436.4</v>
      </c>
    </row>
    <row r="850" spans="1:4" x14ac:dyDescent="0.25">
      <c r="A850" s="46" t="s">
        <v>624</v>
      </c>
      <c r="B850" s="47" t="s">
        <v>625</v>
      </c>
      <c r="C850" s="66" t="s">
        <v>626</v>
      </c>
      <c r="D850" s="48">
        <v>7545.15</v>
      </c>
    </row>
    <row r="851" spans="1:4" x14ac:dyDescent="0.25">
      <c r="A851" s="59">
        <v>100010861</v>
      </c>
      <c r="B851" s="61" t="s">
        <v>1129</v>
      </c>
      <c r="C851" s="60" t="s">
        <v>626</v>
      </c>
      <c r="D851" s="48">
        <v>7545.15</v>
      </c>
    </row>
    <row r="852" spans="1:4" x14ac:dyDescent="0.25">
      <c r="A852" s="59">
        <v>100012472</v>
      </c>
      <c r="B852" s="61" t="s">
        <v>1167</v>
      </c>
      <c r="C852" s="60"/>
      <c r="D852" s="48">
        <v>7595.15</v>
      </c>
    </row>
    <row r="853" spans="1:4" x14ac:dyDescent="0.25">
      <c r="A853" s="59">
        <v>100012880</v>
      </c>
      <c r="B853" s="61" t="s">
        <v>322</v>
      </c>
      <c r="C853" s="60" t="s">
        <v>323</v>
      </c>
      <c r="D853" s="48">
        <v>7674.62</v>
      </c>
    </row>
    <row r="854" spans="1:4" x14ac:dyDescent="0.25">
      <c r="A854" s="59">
        <v>100012880</v>
      </c>
      <c r="B854" s="61" t="s">
        <v>322</v>
      </c>
      <c r="C854" s="60" t="s">
        <v>323</v>
      </c>
      <c r="D854" s="48">
        <v>7674.62</v>
      </c>
    </row>
    <row r="855" spans="1:4" x14ac:dyDescent="0.25">
      <c r="A855" s="46">
        <v>100012592</v>
      </c>
      <c r="B855" s="47" t="s">
        <v>250</v>
      </c>
      <c r="C855" s="66"/>
      <c r="D855" s="48">
        <v>7814.02</v>
      </c>
    </row>
    <row r="856" spans="1:4" x14ac:dyDescent="0.25">
      <c r="A856" s="59">
        <v>100012592</v>
      </c>
      <c r="B856" s="61" t="s">
        <v>250</v>
      </c>
      <c r="C856" s="60"/>
      <c r="D856" s="48">
        <v>7814.02</v>
      </c>
    </row>
    <row r="857" spans="1:4" x14ac:dyDescent="0.25">
      <c r="A857" s="59">
        <v>100012781</v>
      </c>
      <c r="B857" s="61" t="s">
        <v>1168</v>
      </c>
      <c r="C857" s="60"/>
      <c r="D857" s="48">
        <v>7824.33</v>
      </c>
    </row>
    <row r="858" spans="1:4" x14ac:dyDescent="0.25">
      <c r="A858" s="46">
        <v>100012882</v>
      </c>
      <c r="B858" s="47" t="s">
        <v>325</v>
      </c>
      <c r="C858" s="66"/>
      <c r="D858" s="48">
        <v>8285.1666666666697</v>
      </c>
    </row>
    <row r="859" spans="1:4" x14ac:dyDescent="0.25">
      <c r="A859" s="59">
        <v>100012882</v>
      </c>
      <c r="B859" s="61" t="s">
        <v>325</v>
      </c>
      <c r="C859" s="60"/>
      <c r="D859" s="48">
        <v>8285.17</v>
      </c>
    </row>
    <row r="860" spans="1:4" x14ac:dyDescent="0.25">
      <c r="A860" s="46">
        <v>100012860</v>
      </c>
      <c r="B860" s="47" t="s">
        <v>319</v>
      </c>
      <c r="C860" s="66"/>
      <c r="D860" s="48">
        <v>8645</v>
      </c>
    </row>
    <row r="861" spans="1:4" x14ac:dyDescent="0.25">
      <c r="A861" s="59">
        <v>100012860</v>
      </c>
      <c r="B861" s="61" t="s">
        <v>319</v>
      </c>
      <c r="C861" s="60"/>
      <c r="D861" s="48">
        <v>8645</v>
      </c>
    </row>
    <row r="862" spans="1:4" x14ac:dyDescent="0.25">
      <c r="A862" s="59">
        <v>100010773</v>
      </c>
      <c r="B862" s="61" t="s">
        <v>1169</v>
      </c>
      <c r="C862" s="60" t="s">
        <v>601</v>
      </c>
      <c r="D862" s="48">
        <v>8875.4</v>
      </c>
    </row>
    <row r="863" spans="1:4" x14ac:dyDescent="0.25">
      <c r="A863" s="46" t="s">
        <v>599</v>
      </c>
      <c r="B863" s="47" t="s">
        <v>600</v>
      </c>
      <c r="C863" s="66" t="s">
        <v>601</v>
      </c>
      <c r="D863" s="48">
        <v>8875.40333333333</v>
      </c>
    </row>
    <row r="864" spans="1:4" x14ac:dyDescent="0.25">
      <c r="A864" s="59">
        <v>100013082</v>
      </c>
      <c r="B864" s="61" t="s">
        <v>962</v>
      </c>
      <c r="C864" s="60" t="s">
        <v>971</v>
      </c>
      <c r="D864" s="48">
        <v>9130</v>
      </c>
    </row>
    <row r="865" spans="1:4" x14ac:dyDescent="0.25">
      <c r="A865" s="59"/>
      <c r="B865" s="61"/>
      <c r="C865" s="60"/>
      <c r="D865" s="48">
        <v>9137.4699999999993</v>
      </c>
    </row>
    <row r="866" spans="1:4" x14ac:dyDescent="0.25">
      <c r="A866" s="59">
        <v>100012825</v>
      </c>
      <c r="B866" s="61" t="s">
        <v>1170</v>
      </c>
      <c r="C866" s="60"/>
      <c r="D866" s="48">
        <v>9246.83</v>
      </c>
    </row>
    <row r="867" spans="1:4" x14ac:dyDescent="0.25">
      <c r="A867" s="46">
        <v>100012661</v>
      </c>
      <c r="B867" s="47" t="s">
        <v>273</v>
      </c>
      <c r="C867" s="66"/>
      <c r="D867" s="48">
        <v>9253.01</v>
      </c>
    </row>
    <row r="868" spans="1:4" x14ac:dyDescent="0.25">
      <c r="A868" s="59">
        <v>100012661</v>
      </c>
      <c r="B868" s="61" t="s">
        <v>273</v>
      </c>
      <c r="C868" s="60"/>
      <c r="D868" s="48">
        <v>9253.01</v>
      </c>
    </row>
    <row r="869" spans="1:4" x14ac:dyDescent="0.25">
      <c r="A869" s="46">
        <v>100012371</v>
      </c>
      <c r="B869" s="47" t="s">
        <v>220</v>
      </c>
      <c r="C869" s="66"/>
      <c r="D869" s="48">
        <v>9361.8666666666704</v>
      </c>
    </row>
    <row r="870" spans="1:4" x14ac:dyDescent="0.25">
      <c r="A870" s="59">
        <v>100012371</v>
      </c>
      <c r="B870" s="61" t="s">
        <v>220</v>
      </c>
      <c r="C870" s="60"/>
      <c r="D870" s="48">
        <v>9361.8700000000008</v>
      </c>
    </row>
    <row r="871" spans="1:4" x14ac:dyDescent="0.25">
      <c r="A871" s="46">
        <v>100013123</v>
      </c>
      <c r="B871" s="47" t="s">
        <v>368</v>
      </c>
      <c r="C871" s="66"/>
      <c r="D871" s="48">
        <v>9597.7066666666706</v>
      </c>
    </row>
    <row r="872" spans="1:4" x14ac:dyDescent="0.25">
      <c r="A872" s="59">
        <v>100013123</v>
      </c>
      <c r="B872" s="61" t="s">
        <v>1171</v>
      </c>
      <c r="C872" s="60"/>
      <c r="D872" s="48">
        <v>9597.7099999999991</v>
      </c>
    </row>
    <row r="873" spans="1:4" x14ac:dyDescent="0.25">
      <c r="A873" s="59">
        <v>100010455</v>
      </c>
      <c r="B873" s="61" t="s">
        <v>1172</v>
      </c>
      <c r="C873" s="60"/>
      <c r="D873" s="48">
        <v>9739.2199999999993</v>
      </c>
    </row>
    <row r="874" spans="1:4" x14ac:dyDescent="0.25">
      <c r="A874" s="59">
        <v>100012841</v>
      </c>
      <c r="B874" s="61" t="s">
        <v>1173</v>
      </c>
      <c r="C874" s="60"/>
      <c r="D874" s="48">
        <v>9843.6299999999992</v>
      </c>
    </row>
    <row r="875" spans="1:4" x14ac:dyDescent="0.25">
      <c r="A875" s="46">
        <v>100012841</v>
      </c>
      <c r="B875" s="47" t="s">
        <v>307</v>
      </c>
      <c r="C875" s="66"/>
      <c r="D875" s="48">
        <v>9843.6333333333296</v>
      </c>
    </row>
    <row r="876" spans="1:4" x14ac:dyDescent="0.25">
      <c r="A876" s="46">
        <v>100010680</v>
      </c>
      <c r="B876" s="47" t="s">
        <v>154</v>
      </c>
      <c r="C876" s="66" t="s">
        <v>155</v>
      </c>
      <c r="D876" s="79">
        <v>10184.120000000001</v>
      </c>
    </row>
    <row r="877" spans="1:4" x14ac:dyDescent="0.25">
      <c r="A877" s="59">
        <v>100010680</v>
      </c>
      <c r="B877" s="61" t="s">
        <v>154</v>
      </c>
      <c r="C877" s="60" t="s">
        <v>155</v>
      </c>
      <c r="D877" s="48">
        <v>10184.120000000001</v>
      </c>
    </row>
    <row r="878" spans="1:4" x14ac:dyDescent="0.25">
      <c r="A878" s="46">
        <v>100012899</v>
      </c>
      <c r="B878" s="47" t="s">
        <v>339</v>
      </c>
      <c r="C878" s="66" t="s">
        <v>340</v>
      </c>
      <c r="D878" s="48">
        <v>10218.9</v>
      </c>
    </row>
    <row r="879" spans="1:4" x14ac:dyDescent="0.25">
      <c r="A879" s="59">
        <v>100012899</v>
      </c>
      <c r="B879" s="61" t="s">
        <v>1174</v>
      </c>
      <c r="C879" s="60" t="s">
        <v>1175</v>
      </c>
      <c r="D879" s="48">
        <v>10218.9</v>
      </c>
    </row>
    <row r="880" spans="1:4" x14ac:dyDescent="0.25">
      <c r="A880" s="59">
        <v>100012292</v>
      </c>
      <c r="B880" s="61" t="s">
        <v>212</v>
      </c>
      <c r="C880" s="60"/>
      <c r="D880" s="48">
        <v>10222.57</v>
      </c>
    </row>
    <row r="881" spans="1:4" x14ac:dyDescent="0.25">
      <c r="A881" s="46">
        <v>100012292</v>
      </c>
      <c r="B881" s="47" t="s">
        <v>212</v>
      </c>
      <c r="C881" s="66"/>
      <c r="D881" s="48">
        <v>10222.573333333299</v>
      </c>
    </row>
    <row r="882" spans="1:4" x14ac:dyDescent="0.25">
      <c r="A882" s="46">
        <v>100010829</v>
      </c>
      <c r="B882" s="47" t="s">
        <v>170</v>
      </c>
      <c r="C882" s="66"/>
      <c r="D882" s="48">
        <v>10323.790000000001</v>
      </c>
    </row>
    <row r="883" spans="1:4" x14ac:dyDescent="0.25">
      <c r="A883" s="59">
        <v>100010829</v>
      </c>
      <c r="B883" s="61" t="s">
        <v>170</v>
      </c>
      <c r="C883" s="60"/>
      <c r="D883" s="48">
        <v>10323.790000000001</v>
      </c>
    </row>
    <row r="884" spans="1:4" x14ac:dyDescent="0.25">
      <c r="A884" s="46" t="s">
        <v>587</v>
      </c>
      <c r="B884" s="47" t="s">
        <v>588</v>
      </c>
      <c r="C884" s="66"/>
      <c r="D884" s="48">
        <v>10376.266666666699</v>
      </c>
    </row>
    <row r="885" spans="1:4" x14ac:dyDescent="0.25">
      <c r="A885" s="59">
        <v>100010711</v>
      </c>
      <c r="B885" s="61" t="s">
        <v>585</v>
      </c>
      <c r="C885" s="60"/>
      <c r="D885" s="48">
        <v>10376.27</v>
      </c>
    </row>
    <row r="886" spans="1:4" x14ac:dyDescent="0.25">
      <c r="A886" s="46">
        <v>100012788</v>
      </c>
      <c r="B886" s="47" t="s">
        <v>290</v>
      </c>
      <c r="C886" s="66"/>
      <c r="D886" s="48">
        <v>10587.02</v>
      </c>
    </row>
    <row r="887" spans="1:4" x14ac:dyDescent="0.25">
      <c r="A887" s="59">
        <v>100012788</v>
      </c>
      <c r="B887" s="61" t="s">
        <v>290</v>
      </c>
      <c r="C887" s="60"/>
      <c r="D887" s="48">
        <v>10587.02</v>
      </c>
    </row>
    <row r="888" spans="1:4" x14ac:dyDescent="0.25">
      <c r="A888" s="59">
        <v>100012796</v>
      </c>
      <c r="B888" s="61" t="s">
        <v>884</v>
      </c>
      <c r="C888" s="60" t="s">
        <v>885</v>
      </c>
      <c r="D888" s="48">
        <v>10594.18</v>
      </c>
    </row>
    <row r="889" spans="1:4" x14ac:dyDescent="0.25">
      <c r="A889" s="46" t="s">
        <v>883</v>
      </c>
      <c r="B889" s="47" t="s">
        <v>884</v>
      </c>
      <c r="C889" s="66" t="s">
        <v>885</v>
      </c>
      <c r="D889" s="48">
        <v>10594.1833333333</v>
      </c>
    </row>
    <row r="890" spans="1:4" x14ac:dyDescent="0.25">
      <c r="A890" s="59">
        <v>100002335</v>
      </c>
      <c r="B890" s="61" t="s">
        <v>99</v>
      </c>
      <c r="C890" s="60" t="s">
        <v>100</v>
      </c>
      <c r="D890" s="48">
        <v>10755.02</v>
      </c>
    </row>
    <row r="891" spans="1:4" x14ac:dyDescent="0.25">
      <c r="A891" s="46">
        <v>100002335</v>
      </c>
      <c r="B891" s="47" t="s">
        <v>393</v>
      </c>
      <c r="C891" s="66" t="s">
        <v>100</v>
      </c>
      <c r="D891" s="48">
        <v>10755.0233333333</v>
      </c>
    </row>
    <row r="892" spans="1:4" x14ac:dyDescent="0.25">
      <c r="A892" s="59">
        <v>100012664</v>
      </c>
      <c r="B892" s="61" t="s">
        <v>852</v>
      </c>
      <c r="C892" s="60" t="s">
        <v>853</v>
      </c>
      <c r="D892" s="48">
        <v>10797.33</v>
      </c>
    </row>
    <row r="893" spans="1:4" x14ac:dyDescent="0.25">
      <c r="A893" s="46" t="s">
        <v>851</v>
      </c>
      <c r="B893" s="47" t="s">
        <v>852</v>
      </c>
      <c r="C893" s="66" t="s">
        <v>853</v>
      </c>
      <c r="D893" s="48">
        <v>10797.333333333299</v>
      </c>
    </row>
    <row r="894" spans="1:4" x14ac:dyDescent="0.25">
      <c r="A894" s="59">
        <v>100012696</v>
      </c>
      <c r="B894" s="61" t="s">
        <v>1176</v>
      </c>
      <c r="C894" s="60" t="s">
        <v>323</v>
      </c>
      <c r="D894" s="48">
        <v>11252.53</v>
      </c>
    </row>
    <row r="895" spans="1:4" x14ac:dyDescent="0.25">
      <c r="A895" s="59">
        <v>100012345</v>
      </c>
      <c r="B895" s="61" t="s">
        <v>726</v>
      </c>
      <c r="C895" s="60"/>
      <c r="D895" s="48">
        <v>11678.3</v>
      </c>
    </row>
    <row r="896" spans="1:4" x14ac:dyDescent="0.25">
      <c r="A896" s="46" t="s">
        <v>730</v>
      </c>
      <c r="B896" s="47" t="s">
        <v>726</v>
      </c>
      <c r="C896" s="66"/>
      <c r="D896" s="48">
        <v>11678.3</v>
      </c>
    </row>
    <row r="897" spans="1:4" x14ac:dyDescent="0.25">
      <c r="A897" s="59">
        <v>100012824</v>
      </c>
      <c r="B897" s="61" t="s">
        <v>908</v>
      </c>
      <c r="C897" s="60" t="s">
        <v>1177</v>
      </c>
      <c r="D897" s="48">
        <v>12014.36</v>
      </c>
    </row>
    <row r="898" spans="1:4" x14ac:dyDescent="0.25">
      <c r="A898" s="46" t="s">
        <v>910</v>
      </c>
      <c r="B898" s="47" t="s">
        <v>908</v>
      </c>
      <c r="C898" s="66" t="s">
        <v>911</v>
      </c>
      <c r="D898" s="48">
        <v>12014.3633333333</v>
      </c>
    </row>
    <row r="899" spans="1:4" x14ac:dyDescent="0.25">
      <c r="A899" s="46" t="s">
        <v>756</v>
      </c>
      <c r="B899" s="47" t="s">
        <v>757</v>
      </c>
      <c r="C899" s="66"/>
      <c r="D899" s="48">
        <v>12097.9566666667</v>
      </c>
    </row>
    <row r="900" spans="1:4" x14ac:dyDescent="0.25">
      <c r="A900" s="59">
        <v>100012468</v>
      </c>
      <c r="B900" s="61" t="s">
        <v>757</v>
      </c>
      <c r="C900" s="60"/>
      <c r="D900" s="48">
        <v>12097.96</v>
      </c>
    </row>
    <row r="901" spans="1:4" x14ac:dyDescent="0.25">
      <c r="A901" s="59">
        <v>100012417</v>
      </c>
      <c r="B901" s="61" t="s">
        <v>223</v>
      </c>
      <c r="C901" s="60"/>
      <c r="D901" s="48">
        <v>12788.42</v>
      </c>
    </row>
    <row r="902" spans="1:4" x14ac:dyDescent="0.25">
      <c r="A902" s="46">
        <v>100012417</v>
      </c>
      <c r="B902" s="47" t="s">
        <v>223</v>
      </c>
      <c r="C902" s="66"/>
      <c r="D902" s="48">
        <v>12788.4233333333</v>
      </c>
    </row>
    <row r="903" spans="1:4" x14ac:dyDescent="0.25">
      <c r="A903" s="46">
        <v>100011993</v>
      </c>
      <c r="B903" s="47" t="s">
        <v>192</v>
      </c>
      <c r="C903" s="66"/>
      <c r="D903" s="48">
        <v>12882.266666666699</v>
      </c>
    </row>
    <row r="904" spans="1:4" x14ac:dyDescent="0.25">
      <c r="A904" s="59">
        <v>100011993</v>
      </c>
      <c r="B904" s="61" t="s">
        <v>192</v>
      </c>
      <c r="C904" s="60"/>
      <c r="D904" s="48">
        <v>12882.27</v>
      </c>
    </row>
    <row r="905" spans="1:4" x14ac:dyDescent="0.25">
      <c r="A905" s="59">
        <v>100010395</v>
      </c>
      <c r="B905" s="61" t="s">
        <v>554</v>
      </c>
      <c r="C905" s="60" t="s">
        <v>555</v>
      </c>
      <c r="D905" s="48">
        <v>12922.33</v>
      </c>
    </row>
    <row r="906" spans="1:4" x14ac:dyDescent="0.25">
      <c r="A906" s="46" t="s">
        <v>553</v>
      </c>
      <c r="B906" s="47" t="s">
        <v>554</v>
      </c>
      <c r="C906" s="66" t="s">
        <v>555</v>
      </c>
      <c r="D906" s="48">
        <v>12922.333333333299</v>
      </c>
    </row>
    <row r="907" spans="1:4" x14ac:dyDescent="0.25">
      <c r="A907" s="46" t="s">
        <v>611</v>
      </c>
      <c r="B907" s="47" t="s">
        <v>612</v>
      </c>
      <c r="C907" s="66" t="s">
        <v>613</v>
      </c>
      <c r="D907" s="48">
        <v>12953.6</v>
      </c>
    </row>
    <row r="908" spans="1:4" x14ac:dyDescent="0.25">
      <c r="A908" s="59">
        <v>100010813</v>
      </c>
      <c r="B908" s="61" t="s">
        <v>612</v>
      </c>
      <c r="C908" s="60" t="s">
        <v>613</v>
      </c>
      <c r="D908" s="48">
        <v>12953.6</v>
      </c>
    </row>
    <row r="909" spans="1:4" x14ac:dyDescent="0.25">
      <c r="A909" s="59">
        <v>100012798</v>
      </c>
      <c r="B909" s="61" t="s">
        <v>895</v>
      </c>
      <c r="C909" s="60" t="s">
        <v>898</v>
      </c>
      <c r="D909" s="48">
        <v>12964.65</v>
      </c>
    </row>
    <row r="910" spans="1:4" x14ac:dyDescent="0.25">
      <c r="A910" s="46" t="s">
        <v>897</v>
      </c>
      <c r="B910" s="47" t="s">
        <v>895</v>
      </c>
      <c r="C910" s="66" t="s">
        <v>898</v>
      </c>
      <c r="D910" s="48">
        <v>12964.65</v>
      </c>
    </row>
    <row r="911" spans="1:4" x14ac:dyDescent="0.25">
      <c r="A911" s="46">
        <v>100010788</v>
      </c>
      <c r="B911" s="47" t="s">
        <v>165</v>
      </c>
      <c r="C911" s="69"/>
      <c r="D911" s="48">
        <v>13266.63</v>
      </c>
    </row>
    <row r="912" spans="1:4" x14ac:dyDescent="0.25">
      <c r="A912" s="59">
        <v>100010788</v>
      </c>
      <c r="B912" s="61" t="s">
        <v>165</v>
      </c>
      <c r="C912" s="60"/>
      <c r="D912" s="48">
        <v>13266.63</v>
      </c>
    </row>
    <row r="913" spans="1:4" x14ac:dyDescent="0.25">
      <c r="A913" s="46">
        <v>100012332</v>
      </c>
      <c r="B913" s="47" t="s">
        <v>216</v>
      </c>
      <c r="C913" s="66"/>
      <c r="D913" s="48">
        <v>13269.82</v>
      </c>
    </row>
    <row r="914" spans="1:4" x14ac:dyDescent="0.25">
      <c r="A914" s="59">
        <v>100012332</v>
      </c>
      <c r="B914" s="61" t="s">
        <v>216</v>
      </c>
      <c r="C914" s="60"/>
      <c r="D914" s="48">
        <v>13269.82</v>
      </c>
    </row>
    <row r="915" spans="1:4" x14ac:dyDescent="0.25">
      <c r="A915" s="46" t="s">
        <v>547</v>
      </c>
      <c r="B915" s="47" t="s">
        <v>548</v>
      </c>
      <c r="C915" s="77" t="s">
        <v>549</v>
      </c>
      <c r="D915" s="48">
        <v>13585.666666666701</v>
      </c>
    </row>
    <row r="916" spans="1:4" x14ac:dyDescent="0.25">
      <c r="A916" s="59">
        <v>100010395</v>
      </c>
      <c r="B916" s="61" t="s">
        <v>548</v>
      </c>
      <c r="C916" s="60" t="s">
        <v>549</v>
      </c>
      <c r="D916" s="48">
        <v>13585.67</v>
      </c>
    </row>
    <row r="917" spans="1:4" x14ac:dyDescent="0.25">
      <c r="A917" s="59">
        <v>100010101</v>
      </c>
      <c r="B917" s="61" t="s">
        <v>1178</v>
      </c>
      <c r="C917" s="60" t="s">
        <v>1059</v>
      </c>
      <c r="D917" s="48">
        <v>13874.63</v>
      </c>
    </row>
    <row r="918" spans="1:4" x14ac:dyDescent="0.25">
      <c r="A918" s="46">
        <v>100012415</v>
      </c>
      <c r="B918" s="47" t="s">
        <v>222</v>
      </c>
      <c r="C918" s="66"/>
      <c r="D918" s="48">
        <v>14344.446666666699</v>
      </c>
    </row>
    <row r="919" spans="1:4" x14ac:dyDescent="0.25">
      <c r="A919" s="59">
        <v>100012415</v>
      </c>
      <c r="B919" s="61" t="s">
        <v>1179</v>
      </c>
      <c r="C919" s="60"/>
      <c r="D919" s="48">
        <v>14344.45</v>
      </c>
    </row>
    <row r="920" spans="1:4" x14ac:dyDescent="0.25">
      <c r="A920" s="46">
        <v>100012548</v>
      </c>
      <c r="B920" s="47" t="s">
        <v>244</v>
      </c>
      <c r="C920" s="66"/>
      <c r="D920" s="48">
        <v>14395.93</v>
      </c>
    </row>
    <row r="921" spans="1:4" x14ac:dyDescent="0.25">
      <c r="A921" s="59">
        <v>100012548</v>
      </c>
      <c r="B921" s="61" t="s">
        <v>244</v>
      </c>
      <c r="C921" s="60"/>
      <c r="D921" s="48">
        <v>14395.93</v>
      </c>
    </row>
    <row r="922" spans="1:4" x14ac:dyDescent="0.25">
      <c r="A922" s="46" t="s">
        <v>584</v>
      </c>
      <c r="B922" s="47" t="s">
        <v>585</v>
      </c>
      <c r="C922" s="66" t="s">
        <v>586</v>
      </c>
      <c r="D922" s="48">
        <v>14694.34</v>
      </c>
    </row>
    <row r="923" spans="1:4" x14ac:dyDescent="0.25">
      <c r="A923" s="46" t="s">
        <v>392</v>
      </c>
      <c r="B923" s="47" t="s">
        <v>393</v>
      </c>
      <c r="C923" s="66"/>
      <c r="D923" s="48">
        <v>15245.28</v>
      </c>
    </row>
    <row r="924" spans="1:4" x14ac:dyDescent="0.25">
      <c r="A924" s="59">
        <v>100002334</v>
      </c>
      <c r="B924" s="61" t="s">
        <v>393</v>
      </c>
      <c r="C924" s="60"/>
      <c r="D924" s="48">
        <v>15245.28</v>
      </c>
    </row>
    <row r="925" spans="1:4" x14ac:dyDescent="0.25">
      <c r="A925" s="46">
        <v>100012849</v>
      </c>
      <c r="B925" s="47" t="s">
        <v>313</v>
      </c>
      <c r="C925" s="66"/>
      <c r="D925" s="48">
        <v>15791.67</v>
      </c>
    </row>
    <row r="926" spans="1:4" x14ac:dyDescent="0.25">
      <c r="A926" s="59">
        <v>100012849</v>
      </c>
      <c r="B926" s="61" t="s">
        <v>313</v>
      </c>
      <c r="C926" s="60"/>
      <c r="D926" s="48">
        <v>15791.67</v>
      </c>
    </row>
    <row r="927" spans="1:4" x14ac:dyDescent="0.25">
      <c r="A927" s="46">
        <v>100013122</v>
      </c>
      <c r="B927" s="47" t="s">
        <v>367</v>
      </c>
      <c r="C927" s="66"/>
      <c r="D927" s="48">
        <v>16352.27</v>
      </c>
    </row>
    <row r="928" spans="1:4" x14ac:dyDescent="0.25">
      <c r="A928" s="59">
        <v>100013122</v>
      </c>
      <c r="B928" s="61" t="s">
        <v>367</v>
      </c>
      <c r="C928" s="60"/>
      <c r="D928" s="48">
        <v>16352.27</v>
      </c>
    </row>
    <row r="929" spans="1:4" x14ac:dyDescent="0.25">
      <c r="A929" s="46">
        <v>100013070</v>
      </c>
      <c r="B929" s="47" t="s">
        <v>359</v>
      </c>
      <c r="C929" s="66" t="s">
        <v>360</v>
      </c>
      <c r="D929" s="48">
        <v>16485.39</v>
      </c>
    </row>
    <row r="930" spans="1:4" x14ac:dyDescent="0.25">
      <c r="A930" s="59">
        <v>100013070</v>
      </c>
      <c r="B930" s="61" t="s">
        <v>1180</v>
      </c>
      <c r="C930" s="60" t="s">
        <v>360</v>
      </c>
      <c r="D930" s="48">
        <v>16485.39</v>
      </c>
    </row>
    <row r="931" spans="1:4" x14ac:dyDescent="0.25">
      <c r="A931" s="46">
        <v>100012544</v>
      </c>
      <c r="B931" s="47" t="s">
        <v>243</v>
      </c>
      <c r="C931" s="70"/>
      <c r="D931" s="48">
        <v>16990.490000000002</v>
      </c>
    </row>
    <row r="932" spans="1:4" x14ac:dyDescent="0.25">
      <c r="A932" s="59">
        <v>100012544</v>
      </c>
      <c r="B932" s="61" t="s">
        <v>243</v>
      </c>
      <c r="C932" s="60"/>
      <c r="D932" s="48">
        <v>16990.490000000002</v>
      </c>
    </row>
    <row r="933" spans="1:4" x14ac:dyDescent="0.25">
      <c r="A933" s="59">
        <v>100012816</v>
      </c>
      <c r="B933" s="61" t="s">
        <v>1181</v>
      </c>
      <c r="C933" s="60"/>
      <c r="D933" s="48">
        <v>17605</v>
      </c>
    </row>
    <row r="934" spans="1:4" x14ac:dyDescent="0.25">
      <c r="A934" s="59">
        <v>100002323</v>
      </c>
      <c r="B934" s="61" t="s">
        <v>1182</v>
      </c>
      <c r="C934" s="60" t="s">
        <v>323</v>
      </c>
      <c r="D934" s="48">
        <v>17861.32</v>
      </c>
    </row>
    <row r="935" spans="1:4" x14ac:dyDescent="0.25">
      <c r="A935" s="46">
        <v>100012618</v>
      </c>
      <c r="B935" s="47" t="s">
        <v>260</v>
      </c>
      <c r="C935" s="66"/>
      <c r="D935" s="48">
        <v>18260.066666666698</v>
      </c>
    </row>
    <row r="936" spans="1:4" x14ac:dyDescent="0.25">
      <c r="A936" s="59">
        <v>100012618</v>
      </c>
      <c r="B936" s="61" t="s">
        <v>1183</v>
      </c>
      <c r="C936" s="60"/>
      <c r="D936" s="48">
        <v>18260.07</v>
      </c>
    </row>
    <row r="937" spans="1:4" x14ac:dyDescent="0.25">
      <c r="A937" s="59">
        <v>100012917</v>
      </c>
      <c r="B937" s="61" t="s">
        <v>1184</v>
      </c>
      <c r="C937" s="60"/>
      <c r="D937" s="48">
        <v>19715.5</v>
      </c>
    </row>
    <row r="938" spans="1:4" x14ac:dyDescent="0.25">
      <c r="A938" s="46">
        <v>100012917</v>
      </c>
      <c r="B938" s="47" t="s">
        <v>351</v>
      </c>
      <c r="C938" s="66"/>
      <c r="D938" s="48">
        <v>19715.503333333301</v>
      </c>
    </row>
    <row r="939" spans="1:4" x14ac:dyDescent="0.25">
      <c r="A939" s="46">
        <v>100012846</v>
      </c>
      <c r="B939" s="47" t="s">
        <v>312</v>
      </c>
      <c r="C939" s="66"/>
      <c r="D939" s="48">
        <v>20277.9666666667</v>
      </c>
    </row>
    <row r="940" spans="1:4" x14ac:dyDescent="0.25">
      <c r="A940" s="59">
        <v>100012846</v>
      </c>
      <c r="B940" s="61" t="s">
        <v>1185</v>
      </c>
      <c r="C940" s="60"/>
      <c r="D940" s="48">
        <v>20277.97</v>
      </c>
    </row>
    <row r="941" spans="1:4" x14ac:dyDescent="0.25">
      <c r="A941" s="59">
        <v>100002323</v>
      </c>
      <c r="B941" s="61" t="s">
        <v>1186</v>
      </c>
      <c r="C941" s="60" t="s">
        <v>323</v>
      </c>
      <c r="D941" s="48">
        <v>20592.740000000002</v>
      </c>
    </row>
    <row r="942" spans="1:4" x14ac:dyDescent="0.25">
      <c r="A942" s="59">
        <v>100002248</v>
      </c>
      <c r="B942" s="61" t="s">
        <v>370</v>
      </c>
      <c r="C942" s="60"/>
      <c r="D942" s="48">
        <v>21837.46</v>
      </c>
    </row>
    <row r="943" spans="1:4" x14ac:dyDescent="0.25">
      <c r="A943" s="46" t="s">
        <v>369</v>
      </c>
      <c r="B943" s="47" t="s">
        <v>370</v>
      </c>
      <c r="C943" s="66"/>
      <c r="D943" s="74">
        <v>21837.4633333333</v>
      </c>
    </row>
    <row r="944" spans="1:4" x14ac:dyDescent="0.25">
      <c r="A944" s="46" t="s">
        <v>371</v>
      </c>
      <c r="B944" s="47" t="s">
        <v>372</v>
      </c>
      <c r="C944" s="70" t="s">
        <v>373</v>
      </c>
      <c r="D944" s="74">
        <v>22127.836666666699</v>
      </c>
    </row>
    <row r="945" spans="1:4" x14ac:dyDescent="0.25">
      <c r="A945" s="59">
        <v>100002248</v>
      </c>
      <c r="B945" s="61" t="s">
        <v>370</v>
      </c>
      <c r="C945" s="60" t="s">
        <v>373</v>
      </c>
      <c r="D945" s="48">
        <v>22127.84</v>
      </c>
    </row>
    <row r="946" spans="1:4" x14ac:dyDescent="0.25">
      <c r="A946" s="46" t="s">
        <v>657</v>
      </c>
      <c r="B946" s="47" t="s">
        <v>658</v>
      </c>
      <c r="C946" s="68" t="s">
        <v>659</v>
      </c>
      <c r="D946" s="48">
        <v>22812.666666666701</v>
      </c>
    </row>
    <row r="947" spans="1:4" x14ac:dyDescent="0.25">
      <c r="A947" s="59">
        <v>100011966</v>
      </c>
      <c r="B947" s="61" t="s">
        <v>658</v>
      </c>
      <c r="C947" s="60" t="s">
        <v>659</v>
      </c>
      <c r="D947" s="48">
        <v>22812.67</v>
      </c>
    </row>
    <row r="948" spans="1:4" x14ac:dyDescent="0.25">
      <c r="A948" s="59">
        <v>100002353</v>
      </c>
      <c r="B948" s="61" t="s">
        <v>1187</v>
      </c>
      <c r="C948" s="60" t="s">
        <v>323</v>
      </c>
      <c r="D948" s="48">
        <v>23016.02</v>
      </c>
    </row>
    <row r="949" spans="1:4" x14ac:dyDescent="0.25">
      <c r="A949" s="59">
        <v>100010060</v>
      </c>
      <c r="B949" s="61" t="s">
        <v>115</v>
      </c>
      <c r="C949" s="60" t="s">
        <v>323</v>
      </c>
      <c r="D949" s="48">
        <v>23313.64</v>
      </c>
    </row>
    <row r="950" spans="1:4" x14ac:dyDescent="0.25">
      <c r="A950" s="46">
        <v>100012906</v>
      </c>
      <c r="B950" s="47" t="s">
        <v>345</v>
      </c>
      <c r="C950" s="66"/>
      <c r="D950" s="48">
        <v>23685.5566666667</v>
      </c>
    </row>
    <row r="951" spans="1:4" x14ac:dyDescent="0.25">
      <c r="A951" s="59">
        <v>100012906</v>
      </c>
      <c r="B951" s="61" t="s">
        <v>345</v>
      </c>
      <c r="C951" s="60"/>
      <c r="D951" s="48">
        <v>23685.56</v>
      </c>
    </row>
    <row r="952" spans="1:4" x14ac:dyDescent="0.25">
      <c r="A952" s="59">
        <v>100002334</v>
      </c>
      <c r="B952" s="61" t="s">
        <v>393</v>
      </c>
      <c r="C952" s="60" t="s">
        <v>395</v>
      </c>
      <c r="D952" s="48">
        <v>27131.33</v>
      </c>
    </row>
    <row r="953" spans="1:4" x14ac:dyDescent="0.25">
      <c r="A953" s="46" t="s">
        <v>394</v>
      </c>
      <c r="B953" s="47" t="s">
        <v>393</v>
      </c>
      <c r="C953" s="66" t="s">
        <v>395</v>
      </c>
      <c r="D953" s="48">
        <v>27131.333333333299</v>
      </c>
    </row>
    <row r="954" spans="1:4" x14ac:dyDescent="0.25">
      <c r="A954" s="59">
        <v>100010413</v>
      </c>
      <c r="B954" s="61" t="s">
        <v>566</v>
      </c>
      <c r="C954" s="60" t="s">
        <v>567</v>
      </c>
      <c r="D954" s="48">
        <v>28822.42</v>
      </c>
    </row>
    <row r="955" spans="1:4" x14ac:dyDescent="0.25">
      <c r="A955" s="46" t="s">
        <v>565</v>
      </c>
      <c r="B955" s="47" t="s">
        <v>566</v>
      </c>
      <c r="C955" s="66" t="s">
        <v>567</v>
      </c>
      <c r="D955" s="48">
        <v>28822.4233333333</v>
      </c>
    </row>
    <row r="956" spans="1:4" x14ac:dyDescent="0.25">
      <c r="A956" s="59">
        <v>100012256</v>
      </c>
      <c r="B956" s="61" t="s">
        <v>1188</v>
      </c>
      <c r="C956" s="60" t="s">
        <v>323</v>
      </c>
      <c r="D956" s="48">
        <v>29320.67</v>
      </c>
    </row>
    <row r="957" spans="1:4" x14ac:dyDescent="0.25">
      <c r="A957" s="46" t="s">
        <v>664</v>
      </c>
      <c r="B957" s="47" t="s">
        <v>658</v>
      </c>
      <c r="C957" s="66" t="s">
        <v>665</v>
      </c>
      <c r="D957" s="48">
        <v>31116.666666666701</v>
      </c>
    </row>
    <row r="958" spans="1:4" x14ac:dyDescent="0.25">
      <c r="A958" s="59">
        <v>100011966</v>
      </c>
      <c r="B958" s="61" t="s">
        <v>658</v>
      </c>
      <c r="C958" s="60" t="s">
        <v>665</v>
      </c>
      <c r="D958" s="48">
        <v>31116.67</v>
      </c>
    </row>
    <row r="959" spans="1:4" x14ac:dyDescent="0.25">
      <c r="A959" s="59">
        <v>100013093</v>
      </c>
      <c r="B959" s="61" t="s">
        <v>1189</v>
      </c>
      <c r="C959" s="60"/>
      <c r="D959" s="48">
        <v>32369.9</v>
      </c>
    </row>
    <row r="960" spans="1:4" x14ac:dyDescent="0.25">
      <c r="A960" s="46">
        <v>100013093</v>
      </c>
      <c r="B960" s="47" t="s">
        <v>361</v>
      </c>
      <c r="C960" s="66"/>
      <c r="D960" s="48">
        <v>32369.903333333299</v>
      </c>
    </row>
    <row r="961" spans="1:4" x14ac:dyDescent="0.25">
      <c r="A961" s="59">
        <v>100012845</v>
      </c>
      <c r="B961" s="61" t="s">
        <v>310</v>
      </c>
      <c r="C961" s="60" t="s">
        <v>311</v>
      </c>
      <c r="D961" s="48">
        <v>33331.449999999997</v>
      </c>
    </row>
    <row r="962" spans="1:4" x14ac:dyDescent="0.25">
      <c r="A962" s="46">
        <v>100012845</v>
      </c>
      <c r="B962" s="47" t="s">
        <v>310</v>
      </c>
      <c r="C962" s="66" t="s">
        <v>311</v>
      </c>
      <c r="D962" s="48">
        <v>33331.449999999997</v>
      </c>
    </row>
    <row r="963" spans="1:4" x14ac:dyDescent="0.25">
      <c r="A963" s="46">
        <v>100012289</v>
      </c>
      <c r="B963" s="47" t="s">
        <v>211</v>
      </c>
      <c r="C963" s="66"/>
      <c r="D963" s="48">
        <v>35530.386666666702</v>
      </c>
    </row>
    <row r="964" spans="1:4" x14ac:dyDescent="0.25">
      <c r="A964" s="59">
        <v>100012289</v>
      </c>
      <c r="B964" s="61" t="s">
        <v>1190</v>
      </c>
      <c r="C964" s="60"/>
      <c r="D964" s="48">
        <v>35530.39</v>
      </c>
    </row>
    <row r="965" spans="1:4" x14ac:dyDescent="0.25">
      <c r="A965" s="59">
        <v>100011966</v>
      </c>
      <c r="B965" s="61" t="s">
        <v>658</v>
      </c>
      <c r="C965" s="60" t="s">
        <v>671</v>
      </c>
      <c r="D965" s="48">
        <v>35792.44</v>
      </c>
    </row>
    <row r="966" spans="1:4" x14ac:dyDescent="0.25">
      <c r="A966" s="46" t="s">
        <v>670</v>
      </c>
      <c r="B966" s="47" t="s">
        <v>658</v>
      </c>
      <c r="C966" s="80" t="s">
        <v>671</v>
      </c>
      <c r="D966" s="48">
        <v>35792.4433333333</v>
      </c>
    </row>
    <row r="967" spans="1:4" x14ac:dyDescent="0.25">
      <c r="A967" s="59">
        <v>100011966</v>
      </c>
      <c r="B967" s="61" t="s">
        <v>658</v>
      </c>
      <c r="C967" s="60" t="s">
        <v>669</v>
      </c>
      <c r="D967" s="48">
        <v>38577.620000000003</v>
      </c>
    </row>
    <row r="968" spans="1:4" x14ac:dyDescent="0.25">
      <c r="A968" s="46" t="s">
        <v>668</v>
      </c>
      <c r="B968" s="47" t="s">
        <v>658</v>
      </c>
      <c r="C968" s="80" t="s">
        <v>669</v>
      </c>
      <c r="D968" s="48">
        <v>38577.620000000003</v>
      </c>
    </row>
    <row r="969" spans="1:4" x14ac:dyDescent="0.25">
      <c r="A969" s="59">
        <v>100011966</v>
      </c>
      <c r="B969" s="61" t="s">
        <v>658</v>
      </c>
      <c r="C969" s="60" t="s">
        <v>673</v>
      </c>
      <c r="D969" s="48">
        <v>39067.64</v>
      </c>
    </row>
    <row r="970" spans="1:4" x14ac:dyDescent="0.25">
      <c r="A970" s="46" t="s">
        <v>672</v>
      </c>
      <c r="B970" s="47" t="s">
        <v>658</v>
      </c>
      <c r="C970" s="80" t="s">
        <v>673</v>
      </c>
      <c r="D970" s="48">
        <v>39067.64</v>
      </c>
    </row>
    <row r="971" spans="1:4" x14ac:dyDescent="0.25">
      <c r="A971" s="46">
        <v>100011972</v>
      </c>
      <c r="B971" s="47" t="s">
        <v>187</v>
      </c>
      <c r="C971" s="80" t="s">
        <v>188</v>
      </c>
      <c r="D971" s="48">
        <v>39182.666666666701</v>
      </c>
    </row>
    <row r="972" spans="1:4" x14ac:dyDescent="0.25">
      <c r="A972" s="59">
        <v>100011972</v>
      </c>
      <c r="B972" s="61" t="s">
        <v>187</v>
      </c>
      <c r="C972" s="60" t="s">
        <v>188</v>
      </c>
      <c r="D972" s="48">
        <v>39182.67</v>
      </c>
    </row>
    <row r="973" spans="1:4" x14ac:dyDescent="0.25">
      <c r="A973" s="59">
        <v>100010239</v>
      </c>
      <c r="B973" s="61" t="s">
        <v>515</v>
      </c>
      <c r="C973" s="60" t="s">
        <v>517</v>
      </c>
      <c r="D973" s="48">
        <v>41209.730000000003</v>
      </c>
    </row>
    <row r="974" spans="1:4" x14ac:dyDescent="0.25">
      <c r="A974" s="46" t="s">
        <v>516</v>
      </c>
      <c r="B974" s="47" t="s">
        <v>515</v>
      </c>
      <c r="C974" s="66" t="s">
        <v>517</v>
      </c>
      <c r="D974" s="81">
        <v>41209.730000000003</v>
      </c>
    </row>
    <row r="975" spans="1:4" x14ac:dyDescent="0.25">
      <c r="A975" s="46">
        <v>100011973</v>
      </c>
      <c r="B975" s="47" t="s">
        <v>189</v>
      </c>
      <c r="C975" s="80" t="s">
        <v>190</v>
      </c>
      <c r="D975" s="48">
        <v>44651</v>
      </c>
    </row>
    <row r="976" spans="1:4" x14ac:dyDescent="0.25">
      <c r="A976" s="59">
        <v>100011973</v>
      </c>
      <c r="B976" s="61" t="s">
        <v>189</v>
      </c>
      <c r="C976" s="60" t="s">
        <v>1191</v>
      </c>
      <c r="D976" s="48">
        <v>44651</v>
      </c>
    </row>
    <row r="977" spans="1:4" x14ac:dyDescent="0.25">
      <c r="A977" s="46" t="s">
        <v>374</v>
      </c>
      <c r="B977" s="47" t="s">
        <v>375</v>
      </c>
      <c r="C977" s="66" t="s">
        <v>376</v>
      </c>
      <c r="D977" s="74">
        <v>45092.946666666699</v>
      </c>
    </row>
    <row r="978" spans="1:4" x14ac:dyDescent="0.25">
      <c r="A978" s="59">
        <v>100002250</v>
      </c>
      <c r="B978" s="61" t="s">
        <v>378</v>
      </c>
      <c r="C978" s="60"/>
      <c r="D978" s="48">
        <v>45092.95</v>
      </c>
    </row>
    <row r="979" spans="1:4" x14ac:dyDescent="0.25">
      <c r="A979" s="46">
        <v>100012511</v>
      </c>
      <c r="B979" s="47" t="s">
        <v>232</v>
      </c>
      <c r="C979" s="66" t="s">
        <v>233</v>
      </c>
      <c r="D979" s="48">
        <v>46961.21</v>
      </c>
    </row>
    <row r="980" spans="1:4" x14ac:dyDescent="0.25">
      <c r="A980" s="59">
        <v>100012511</v>
      </c>
      <c r="B980" s="61" t="s">
        <v>232</v>
      </c>
      <c r="C980" s="60" t="s">
        <v>233</v>
      </c>
      <c r="D980" s="48">
        <v>46961.21</v>
      </c>
    </row>
    <row r="981" spans="1:4" x14ac:dyDescent="0.25">
      <c r="A981" s="59">
        <v>100002316</v>
      </c>
      <c r="B981" s="61" t="s">
        <v>1192</v>
      </c>
      <c r="C981" s="60"/>
      <c r="D981" s="48">
        <v>46976.160000000003</v>
      </c>
    </row>
    <row r="982" spans="1:4" x14ac:dyDescent="0.25">
      <c r="A982" s="59">
        <v>100012660</v>
      </c>
      <c r="B982" s="61" t="s">
        <v>1193</v>
      </c>
      <c r="C982" s="60"/>
      <c r="D982" s="48">
        <v>49803.27</v>
      </c>
    </row>
    <row r="983" spans="1:4" x14ac:dyDescent="0.25">
      <c r="A983" s="59">
        <v>100011968</v>
      </c>
      <c r="B983" s="61" t="s">
        <v>677</v>
      </c>
      <c r="C983" s="60" t="s">
        <v>678</v>
      </c>
      <c r="D983" s="48">
        <v>49813</v>
      </c>
    </row>
    <row r="984" spans="1:4" x14ac:dyDescent="0.25">
      <c r="A984" s="46" t="s">
        <v>676</v>
      </c>
      <c r="B984" s="47" t="s">
        <v>677</v>
      </c>
      <c r="C984" s="66" t="s">
        <v>678</v>
      </c>
      <c r="D984" s="48">
        <v>49813</v>
      </c>
    </row>
    <row r="985" spans="1:4" x14ac:dyDescent="0.25">
      <c r="A985" s="59">
        <v>100002326</v>
      </c>
      <c r="B985" s="61" t="s">
        <v>1194</v>
      </c>
      <c r="C985" s="60" t="s">
        <v>323</v>
      </c>
      <c r="D985" s="48">
        <v>60750.2</v>
      </c>
    </row>
    <row r="986" spans="1:4" x14ac:dyDescent="0.25">
      <c r="A986" s="59">
        <v>100002317</v>
      </c>
      <c r="B986" s="61" t="s">
        <v>93</v>
      </c>
      <c r="C986" s="60" t="s">
        <v>1195</v>
      </c>
      <c r="D986" s="48">
        <v>60819.12</v>
      </c>
    </row>
    <row r="987" spans="1:4" x14ac:dyDescent="0.25">
      <c r="A987" s="59">
        <v>100012823</v>
      </c>
      <c r="B987" s="61" t="s">
        <v>1196</v>
      </c>
      <c r="C987" s="60" t="s">
        <v>323</v>
      </c>
      <c r="D987" s="48">
        <v>63672.36</v>
      </c>
    </row>
    <row r="988" spans="1:4" x14ac:dyDescent="0.25">
      <c r="A988" s="59">
        <v>100011966</v>
      </c>
      <c r="B988" s="61" t="s">
        <v>658</v>
      </c>
      <c r="C988" s="60" t="s">
        <v>675</v>
      </c>
      <c r="D988" s="48">
        <v>66953.33</v>
      </c>
    </row>
    <row r="989" spans="1:4" x14ac:dyDescent="0.25">
      <c r="A989" s="46" t="s">
        <v>674</v>
      </c>
      <c r="B989" s="47" t="s">
        <v>658</v>
      </c>
      <c r="C989" s="80" t="s">
        <v>675</v>
      </c>
      <c r="D989" s="48">
        <v>66953.333333333299</v>
      </c>
    </row>
    <row r="990" spans="1:4" x14ac:dyDescent="0.25">
      <c r="A990" s="59">
        <v>100012784</v>
      </c>
      <c r="B990" s="61" t="s">
        <v>288</v>
      </c>
      <c r="C990" s="60"/>
      <c r="D990" s="48">
        <v>66985.03</v>
      </c>
    </row>
    <row r="991" spans="1:4" x14ac:dyDescent="0.25">
      <c r="A991" s="46">
        <v>100012784</v>
      </c>
      <c r="B991" s="47" t="s">
        <v>288</v>
      </c>
      <c r="C991" s="66"/>
      <c r="D991" s="48">
        <v>66985.033333333296</v>
      </c>
    </row>
    <row r="992" spans="1:4" x14ac:dyDescent="0.25">
      <c r="A992" s="59">
        <v>100012873</v>
      </c>
      <c r="B992" s="61" t="s">
        <v>320</v>
      </c>
      <c r="C992" s="60"/>
      <c r="D992" s="48">
        <v>73227.16</v>
      </c>
    </row>
    <row r="993" spans="1:4" x14ac:dyDescent="0.25">
      <c r="A993" s="46">
        <v>100012873</v>
      </c>
      <c r="B993" s="47" t="s">
        <v>320</v>
      </c>
      <c r="C993" s="66"/>
      <c r="D993" s="48">
        <v>73227.163333333301</v>
      </c>
    </row>
    <row r="994" spans="1:4" x14ac:dyDescent="0.25">
      <c r="A994" s="59">
        <v>100012596</v>
      </c>
      <c r="B994" s="61" t="s">
        <v>1197</v>
      </c>
      <c r="C994" s="60" t="s">
        <v>323</v>
      </c>
      <c r="D994" s="48">
        <v>76138.77</v>
      </c>
    </row>
    <row r="995" spans="1:4" x14ac:dyDescent="0.25">
      <c r="A995" s="59">
        <v>100011968</v>
      </c>
      <c r="B995" s="61" t="s">
        <v>677</v>
      </c>
      <c r="C995" s="60" t="s">
        <v>680</v>
      </c>
      <c r="D995" s="48">
        <v>76689.33</v>
      </c>
    </row>
    <row r="996" spans="1:4" x14ac:dyDescent="0.25">
      <c r="A996" s="46" t="s">
        <v>679</v>
      </c>
      <c r="B996" s="47" t="s">
        <v>677</v>
      </c>
      <c r="C996" s="66" t="s">
        <v>680</v>
      </c>
      <c r="D996" s="48">
        <v>76689.333333333299</v>
      </c>
    </row>
    <row r="997" spans="1:4" x14ac:dyDescent="0.25">
      <c r="A997" s="59">
        <v>100002325</v>
      </c>
      <c r="B997" s="61" t="s">
        <v>94</v>
      </c>
      <c r="C997" s="60"/>
      <c r="D997" s="48">
        <v>79716.600000000006</v>
      </c>
    </row>
    <row r="998" spans="1:4" x14ac:dyDescent="0.25">
      <c r="A998" s="59">
        <v>100010292</v>
      </c>
      <c r="B998" s="61" t="s">
        <v>1198</v>
      </c>
      <c r="C998" s="60" t="s">
        <v>323</v>
      </c>
      <c r="D998" s="48">
        <v>87592.57</v>
      </c>
    </row>
    <row r="999" spans="1:4" x14ac:dyDescent="0.25">
      <c r="A999" s="59">
        <v>100010292</v>
      </c>
      <c r="B999" s="61" t="s">
        <v>1199</v>
      </c>
      <c r="C999" s="60" t="s">
        <v>323</v>
      </c>
      <c r="D999" s="48">
        <v>92136.37</v>
      </c>
    </row>
    <row r="1000" spans="1:4" x14ac:dyDescent="0.25">
      <c r="A1000" s="59">
        <v>100011966</v>
      </c>
      <c r="B1000" s="61" t="s">
        <v>658</v>
      </c>
      <c r="C1000" s="60" t="s">
        <v>667</v>
      </c>
      <c r="D1000" s="48">
        <v>93822.37</v>
      </c>
    </row>
    <row r="1001" spans="1:4" x14ac:dyDescent="0.25">
      <c r="A1001" s="46" t="s">
        <v>666</v>
      </c>
      <c r="B1001" s="47" t="s">
        <v>658</v>
      </c>
      <c r="C1001" s="80" t="s">
        <v>667</v>
      </c>
      <c r="D1001" s="48">
        <v>93822.37</v>
      </c>
    </row>
    <row r="1002" spans="1:4" x14ac:dyDescent="0.25">
      <c r="A1002" s="59">
        <v>100012412</v>
      </c>
      <c r="B1002" s="61" t="s">
        <v>1200</v>
      </c>
      <c r="C1002" s="60"/>
      <c r="D1002" s="48">
        <v>98683.73</v>
      </c>
    </row>
    <row r="1003" spans="1:4" x14ac:dyDescent="0.25">
      <c r="A1003" s="46" t="s">
        <v>660</v>
      </c>
      <c r="B1003" s="47" t="s">
        <v>658</v>
      </c>
      <c r="C1003" s="66" t="s">
        <v>661</v>
      </c>
      <c r="D1003" s="48">
        <v>102689.60000000001</v>
      </c>
    </row>
    <row r="1004" spans="1:4" x14ac:dyDescent="0.25">
      <c r="A1004" s="59">
        <v>100011966</v>
      </c>
      <c r="B1004" s="61" t="s">
        <v>658</v>
      </c>
      <c r="C1004" s="60" t="s">
        <v>661</v>
      </c>
      <c r="D1004" s="48">
        <v>102689.60000000001</v>
      </c>
    </row>
    <row r="1005" spans="1:4" x14ac:dyDescent="0.25">
      <c r="A1005" s="59">
        <v>100011966</v>
      </c>
      <c r="B1005" s="61" t="s">
        <v>658</v>
      </c>
      <c r="C1005" s="60" t="s">
        <v>1201</v>
      </c>
      <c r="D1005" s="48">
        <v>102822</v>
      </c>
    </row>
    <row r="1006" spans="1:4" x14ac:dyDescent="0.25">
      <c r="A1006" s="46" t="s">
        <v>662</v>
      </c>
      <c r="B1006" s="47" t="s">
        <v>658</v>
      </c>
      <c r="C1006" s="80" t="s">
        <v>663</v>
      </c>
      <c r="D1006" s="48">
        <v>102822</v>
      </c>
    </row>
    <row r="1007" spans="1:4" x14ac:dyDescent="0.25">
      <c r="A1007" s="59">
        <v>100012578</v>
      </c>
      <c r="B1007" s="61" t="s">
        <v>1202</v>
      </c>
      <c r="C1007" s="60" t="s">
        <v>323</v>
      </c>
      <c r="D1007" s="48">
        <v>103028.48</v>
      </c>
    </row>
    <row r="1008" spans="1:4" x14ac:dyDescent="0.25">
      <c r="A1008" s="59">
        <v>100011968</v>
      </c>
      <c r="B1008" s="61" t="s">
        <v>677</v>
      </c>
      <c r="C1008" s="60" t="s">
        <v>682</v>
      </c>
      <c r="D1008" s="48">
        <v>111862</v>
      </c>
    </row>
    <row r="1009" spans="1:4" x14ac:dyDescent="0.25">
      <c r="A1009" s="46" t="s">
        <v>681</v>
      </c>
      <c r="B1009" s="47" t="s">
        <v>677</v>
      </c>
      <c r="C1009" s="80" t="s">
        <v>682</v>
      </c>
      <c r="D1009" s="48">
        <v>111862</v>
      </c>
    </row>
    <row r="1010" spans="1:4" x14ac:dyDescent="0.25">
      <c r="A1010" s="59">
        <v>100002277</v>
      </c>
      <c r="B1010" s="61" t="s">
        <v>1203</v>
      </c>
      <c r="C1010" s="60" t="s">
        <v>323</v>
      </c>
      <c r="D1010" s="48">
        <v>117305.77</v>
      </c>
    </row>
    <row r="1011" spans="1:4" x14ac:dyDescent="0.25">
      <c r="A1011" s="59">
        <v>100012577</v>
      </c>
      <c r="B1011" s="61" t="s">
        <v>1204</v>
      </c>
      <c r="C1011" s="60" t="s">
        <v>323</v>
      </c>
      <c r="D1011" s="48">
        <v>127790.29</v>
      </c>
    </row>
    <row r="1012" spans="1:4" x14ac:dyDescent="0.25">
      <c r="A1012" s="46">
        <v>100012850</v>
      </c>
      <c r="B1012" s="47" t="s">
        <v>314</v>
      </c>
      <c r="C1012" s="66" t="s">
        <v>315</v>
      </c>
      <c r="D1012" s="48">
        <v>135692.04</v>
      </c>
    </row>
    <row r="1013" spans="1:4" x14ac:dyDescent="0.25">
      <c r="A1013" s="59">
        <v>100012850</v>
      </c>
      <c r="B1013" s="61" t="s">
        <v>314</v>
      </c>
      <c r="C1013" s="60" t="s">
        <v>315</v>
      </c>
      <c r="D1013" s="48">
        <v>135692.04</v>
      </c>
    </row>
    <row r="1014" spans="1:4" x14ac:dyDescent="0.25">
      <c r="A1014" s="59">
        <v>100002276</v>
      </c>
      <c r="B1014" s="61" t="s">
        <v>1205</v>
      </c>
      <c r="C1014" s="60" t="s">
        <v>323</v>
      </c>
      <c r="D1014" s="48">
        <v>200175.73</v>
      </c>
    </row>
    <row r="1015" spans="1:4" x14ac:dyDescent="0.25">
      <c r="A1015" s="59">
        <v>100010292</v>
      </c>
      <c r="B1015" s="61" t="s">
        <v>1206</v>
      </c>
      <c r="C1015" s="60" t="s">
        <v>323</v>
      </c>
      <c r="D1015" s="48">
        <v>208035.76</v>
      </c>
    </row>
    <row r="1016" spans="1:4" x14ac:dyDescent="0.25">
      <c r="A1016" s="59">
        <v>100011317</v>
      </c>
      <c r="B1016" s="61" t="s">
        <v>642</v>
      </c>
      <c r="C1016" s="60"/>
      <c r="D1016" s="48">
        <v>258353.33</v>
      </c>
    </row>
    <row r="1017" spans="1:4" x14ac:dyDescent="0.25">
      <c r="A1017" s="46" t="s">
        <v>641</v>
      </c>
      <c r="B1017" s="47" t="s">
        <v>642</v>
      </c>
      <c r="C1017" s="66"/>
      <c r="D1017" s="48">
        <v>258353.33333333299</v>
      </c>
    </row>
    <row r="1018" spans="1:4" x14ac:dyDescent="0.25">
      <c r="A1018" s="59">
        <v>100002323</v>
      </c>
      <c r="B1018" s="61" t="s">
        <v>1207</v>
      </c>
      <c r="C1018" s="60" t="s">
        <v>323</v>
      </c>
      <c r="D1018" s="48">
        <v>357753</v>
      </c>
    </row>
    <row r="1019" spans="1:4" x14ac:dyDescent="0.25">
      <c r="A1019" s="59">
        <v>100010292</v>
      </c>
      <c r="B1019" s="61" t="s">
        <v>1208</v>
      </c>
      <c r="C1019" s="60" t="s">
        <v>323</v>
      </c>
      <c r="D1019" s="48">
        <v>373083.84</v>
      </c>
    </row>
    <row r="1020" spans="1:4" x14ac:dyDescent="0.25">
      <c r="A1020" s="59">
        <v>100010292</v>
      </c>
      <c r="B1020" s="61" t="s">
        <v>1209</v>
      </c>
      <c r="C1020" s="60" t="s">
        <v>323</v>
      </c>
      <c r="D1020" s="48">
        <v>506839.75</v>
      </c>
    </row>
    <row r="1021" spans="1:4" x14ac:dyDescent="0.25">
      <c r="A1021" s="59">
        <v>100010292</v>
      </c>
      <c r="B1021" s="61" t="s">
        <v>1210</v>
      </c>
      <c r="C1021" s="60" t="s">
        <v>323</v>
      </c>
      <c r="D1021" s="48">
        <v>919055.76</v>
      </c>
    </row>
    <row r="1022" spans="1:4" x14ac:dyDescent="0.25">
      <c r="A1022" s="46">
        <v>100010455</v>
      </c>
      <c r="B1022" s="47" t="s">
        <v>138</v>
      </c>
      <c r="C1022" s="66"/>
      <c r="D1022" s="48"/>
    </row>
    <row r="1023" spans="1:4" x14ac:dyDescent="0.25">
      <c r="A1023" s="46"/>
      <c r="B1023" s="47"/>
      <c r="C1023" s="66"/>
      <c r="D1023" s="48"/>
    </row>
    <row r="1024" spans="1:4" x14ac:dyDescent="0.25">
      <c r="A1024" s="59"/>
      <c r="B1024" s="61"/>
      <c r="C1024" s="60"/>
      <c r="D1024" s="48"/>
    </row>
    <row r="1025" spans="1:4" x14ac:dyDescent="0.25">
      <c r="A1025" s="59"/>
      <c r="B1025" s="61"/>
      <c r="C1025" s="60"/>
      <c r="D1025" s="48"/>
    </row>
    <row r="1026" spans="1:4" x14ac:dyDescent="0.25">
      <c r="A1026" s="59"/>
      <c r="B1026" s="61"/>
      <c r="C1026" s="60"/>
      <c r="D1026" s="48"/>
    </row>
    <row r="1027" spans="1:4" x14ac:dyDescent="0.25">
      <c r="A1027" s="59"/>
      <c r="B1027" s="61"/>
      <c r="C1027" s="60"/>
      <c r="D1027" s="48"/>
    </row>
    <row r="1028" spans="1:4" x14ac:dyDescent="0.25">
      <c r="A1028" s="59"/>
      <c r="B1028" s="61"/>
      <c r="C1028" s="60"/>
      <c r="D1028" s="48"/>
    </row>
    <row r="1029" spans="1:4" x14ac:dyDescent="0.25">
      <c r="A1029" s="59"/>
      <c r="B1029" s="61"/>
      <c r="C1029" s="60"/>
      <c r="D1029" s="48"/>
    </row>
    <row r="1030" spans="1:4" x14ac:dyDescent="0.25">
      <c r="A1030" s="59"/>
      <c r="B1030" s="61"/>
      <c r="C1030" s="60"/>
      <c r="D1030" s="48"/>
    </row>
    <row r="1031" spans="1:4" x14ac:dyDescent="0.25">
      <c r="A1031" s="59"/>
      <c r="B1031" s="61"/>
      <c r="C1031" s="60"/>
      <c r="D1031" s="48"/>
    </row>
    <row r="1032" spans="1:4" x14ac:dyDescent="0.25">
      <c r="A1032" s="59"/>
      <c r="B1032" s="61"/>
      <c r="C1032" s="60"/>
      <c r="D1032" s="48"/>
    </row>
    <row r="1033" spans="1:4" x14ac:dyDescent="0.25">
      <c r="A1033" s="59"/>
      <c r="B1033" s="61"/>
      <c r="C1033" s="60"/>
      <c r="D1033" s="48"/>
    </row>
    <row r="1034" spans="1:4" x14ac:dyDescent="0.25">
      <c r="A1034" s="59"/>
      <c r="B1034" s="61"/>
      <c r="C1034" s="60"/>
      <c r="D1034" s="48"/>
    </row>
    <row r="1035" spans="1:4" x14ac:dyDescent="0.25">
      <c r="A1035" s="59"/>
      <c r="B1035" s="61"/>
      <c r="C1035" s="60"/>
      <c r="D1035" s="48"/>
    </row>
    <row r="1036" spans="1:4" x14ac:dyDescent="0.25">
      <c r="A1036" s="59"/>
      <c r="B1036" s="61"/>
      <c r="C1036" s="60"/>
      <c r="D1036" s="48"/>
    </row>
    <row r="1037" spans="1:4" x14ac:dyDescent="0.25">
      <c r="A1037" s="59"/>
      <c r="B1037" s="61"/>
      <c r="C1037" s="60"/>
      <c r="D1037" s="48"/>
    </row>
    <row r="1038" spans="1:4" x14ac:dyDescent="0.25">
      <c r="A1038" s="59"/>
      <c r="B1038" s="61"/>
      <c r="C1038" s="60"/>
      <c r="D1038" s="48"/>
    </row>
    <row r="1039" spans="1:4" x14ac:dyDescent="0.25">
      <c r="A1039" s="59"/>
      <c r="B1039" s="61"/>
      <c r="C1039" s="60"/>
      <c r="D1039" s="48"/>
    </row>
    <row r="1040" spans="1:4" x14ac:dyDescent="0.25">
      <c r="A1040" s="59"/>
      <c r="B1040" s="61"/>
      <c r="C1040" s="60"/>
      <c r="D1040" s="48"/>
    </row>
    <row r="1041" spans="1:4" x14ac:dyDescent="0.25">
      <c r="A1041" s="59"/>
      <c r="B1041" s="61"/>
      <c r="C1041" s="60"/>
      <c r="D1041" s="48"/>
    </row>
    <row r="1042" spans="1:4" x14ac:dyDescent="0.25">
      <c r="A1042" s="59"/>
      <c r="B1042" s="61"/>
      <c r="C1042" s="60"/>
      <c r="D1042" s="48"/>
    </row>
    <row r="1043" spans="1:4" x14ac:dyDescent="0.25">
      <c r="A1043" s="46"/>
      <c r="B1043" s="47"/>
      <c r="C1043" s="66"/>
      <c r="D1043" s="48"/>
    </row>
    <row r="1044" spans="1:4" x14ac:dyDescent="0.25">
      <c r="A1044" s="59"/>
      <c r="B1044" s="61"/>
      <c r="C1044" s="60"/>
      <c r="D1044" s="48"/>
    </row>
    <row r="1045" spans="1:4" x14ac:dyDescent="0.25">
      <c r="A1045" s="59"/>
      <c r="B1045" s="61"/>
      <c r="C1045" s="60"/>
      <c r="D1045" s="48"/>
    </row>
    <row r="1046" spans="1:4" x14ac:dyDescent="0.25">
      <c r="A1046" s="59"/>
      <c r="B1046" s="61"/>
      <c r="C1046" s="60"/>
      <c r="D1046" s="48"/>
    </row>
    <row r="1047" spans="1:4" x14ac:dyDescent="0.25">
      <c r="A1047" s="59"/>
      <c r="B1047" s="61"/>
      <c r="C1047" s="60"/>
      <c r="D1047" s="48"/>
    </row>
    <row r="1048" spans="1:4" x14ac:dyDescent="0.25">
      <c r="A1048" s="59"/>
      <c r="B1048" s="61"/>
      <c r="C1048" s="60"/>
      <c r="D1048" s="48"/>
    </row>
    <row r="1049" spans="1:4" x14ac:dyDescent="0.25">
      <c r="A1049" s="46"/>
      <c r="B1049" s="47"/>
      <c r="C1049" s="66"/>
      <c r="D1049" s="48"/>
    </row>
    <row r="1050" spans="1:4" x14ac:dyDescent="0.25">
      <c r="A1050" s="59"/>
      <c r="B1050" s="61"/>
      <c r="C1050" s="60"/>
      <c r="D1050" s="48"/>
    </row>
    <row r="1051" spans="1:4" x14ac:dyDescent="0.25">
      <c r="A1051" s="59"/>
      <c r="B1051" s="61"/>
      <c r="C1051" s="60"/>
      <c r="D1051" s="48"/>
    </row>
    <row r="1052" spans="1:4" x14ac:dyDescent="0.25">
      <c r="A1052" s="59"/>
      <c r="B1052" s="61"/>
      <c r="C1052" s="60"/>
      <c r="D1052" s="48"/>
    </row>
    <row r="1053" spans="1:4" x14ac:dyDescent="0.25">
      <c r="A1053" s="59"/>
      <c r="B1053" s="61"/>
      <c r="C1053" s="60"/>
      <c r="D1053" s="48"/>
    </row>
    <row r="1054" spans="1:4" x14ac:dyDescent="0.25">
      <c r="A1054" s="59"/>
      <c r="B1054" s="61"/>
      <c r="C1054" s="60"/>
      <c r="D1054" s="48"/>
    </row>
    <row r="1055" spans="1:4" x14ac:dyDescent="0.25">
      <c r="A1055" s="46"/>
      <c r="B1055" s="47"/>
      <c r="C1055" s="66"/>
      <c r="D1055" s="48"/>
    </row>
    <row r="1056" spans="1:4" x14ac:dyDescent="0.25">
      <c r="A1056" s="59"/>
      <c r="B1056" s="61"/>
      <c r="C1056" s="60"/>
      <c r="D1056" s="48"/>
    </row>
    <row r="1057" spans="1:4" x14ac:dyDescent="0.25">
      <c r="A1057" s="59"/>
      <c r="B1057" s="61"/>
      <c r="C1057" s="60"/>
      <c r="D1057" s="48"/>
    </row>
    <row r="1058" spans="1:4" x14ac:dyDescent="0.25">
      <c r="A1058" s="59"/>
      <c r="B1058" s="61"/>
      <c r="C1058" s="60"/>
      <c r="D1058" s="48"/>
    </row>
    <row r="1059" spans="1:4" x14ac:dyDescent="0.25">
      <c r="A1059" s="59"/>
      <c r="B1059" s="61"/>
      <c r="C1059" s="60"/>
      <c r="D1059" s="48"/>
    </row>
  </sheetData>
  <conditionalFormatting sqref="A2:A1059">
    <cfRule type="duplicateValues" dxfId="9" priority="3"/>
  </conditionalFormatting>
  <conditionalFormatting sqref="D2:D1056">
    <cfRule type="duplicateValues" dxfId="8" priority="4"/>
  </conditionalFormatting>
  <conditionalFormatting sqref="D1057:D1048576 D1">
    <cfRule type="duplicateValues" dxfId="7" priority="2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UDAABQSwMEFAACAAgAOrdNWwIfhcilAAAA9gAAABIAHABDb25maWcvUGFja2FnZS54bWwgohgAKKAUAAAAAAAAAAAAAAAAAAAAAAAAAAAAhY9BDoIwFESvQrqnpWiUkE9JdCuJ0cS4bUqFRiiEFsvdXHgkryBGUXcu581bzNyvN0iHuvIusjOq0QmiOECe1KLJlS4S1NuTH6GUwZaLMy+kN8raxIPJE1Ra28aEOOewm+GmK0gYBJQcs81elLLm6COr/7KvtLFcC4kYHF5jWIjpfIHpMsIBkAlCpvRXCMe9z/YHwrqvbN9J1lp/tQMyRSDvD+wBUEsDBBQAAgAIADq3TV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6t01bKIpHuA4AAAARAAAAEwAcAEZvcm11bGFzL1NlY3Rpb24xLm0gohgAKKAUAAAAAAAAAAAAAAAAAAAAAAAAAAAAK05NLsnMz1MIhtCG1gBQSwECLQAUAAIACAA6t01bAh+FyKUAAAD2AAAAEgAAAAAAAAAAAAAAAAAAAAAAQ29uZmlnL1BhY2thZ2UueG1sUEsBAi0AFAACAAgAOrdNWw/K6aukAAAA6QAAABMAAAAAAAAAAAAAAAAA8QAAAFtDb250ZW50X1R5cGVzXS54bWxQSwECLQAUAAIACAA6t01b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lqpUCoPMx0eOogOBtg4s9AAAAAACAAAAAAAQZgAAAAEAACAAAADHjJtqQupifRcw8Kjk6ticwCHeakOx7Yfdp8DrsZIlGAAAAAAOgAAAAAIAACAAAAAKZlVlW5jFFpEvyA84lBr6YI806zZxNbbdwKcGwWlMwlAAAACHTomv4bUuLahbZnijSIKoYrvLjC88cmWaVVfqWZpbkZtDb+WDPWduIF2bTgOpuSF+e3lYqNXSOgxwMXMD1B5ndybCzIv4En7U2Kg8fIVCG0AAAAAObGlHjgK1zh1z16ChXWdQSqBLzx9L835Eypjf93S+npzLXm9JLjdMgEnys8AIodQ/moxJF4YBrBTzsMr9WpMz</DataMashup>
</file>

<file path=customXml/itemProps1.xml><?xml version="1.0" encoding="utf-8"?>
<ds:datastoreItem xmlns:ds="http://schemas.openxmlformats.org/officeDocument/2006/customXml" ds:itemID="{889111FC-D9DB-4278-AEDA-0FEF45313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Reavaliação</vt:lpstr>
      <vt:lpstr>Parametros</vt:lpstr>
      <vt:lpstr>Contas</vt:lpstr>
      <vt:lpstr>Cotações</vt:lpstr>
      <vt:lpstr>Planilha1</vt:lpstr>
      <vt:lpstr>BD</vt:lpstr>
      <vt:lpstr>contas</vt:lpstr>
      <vt:lpstr>cotacao</vt:lpstr>
      <vt:lpstr>Fisico</vt:lpstr>
      <vt:lpstr>Parametros!PU</vt:lpstr>
      <vt:lpstr>Parametros!VUF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dc:description/>
  <cp:lastModifiedBy>Gabriel Rodrigues Braz</cp:lastModifiedBy>
  <cp:revision>34</cp:revision>
  <cp:lastPrinted>2025-03-25T13:52:58Z</cp:lastPrinted>
  <dcterms:created xsi:type="dcterms:W3CDTF">2015-07-02T17:32:05Z</dcterms:created>
  <dcterms:modified xsi:type="dcterms:W3CDTF">2025-12-04T20:17:43Z</dcterms:modified>
  <dc:language>pt-BR</dc:language>
</cp:coreProperties>
</file>