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Projeto_reavaliacao\"/>
    </mc:Choice>
  </mc:AlternateContent>
  <xr:revisionPtr revIDLastSave="0" documentId="8_{DD091A08-A44A-4DA4-8B7A-7B1CC6A5D41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ópia de Cotações com filtro" sheetId="3" r:id="rId1"/>
  </sheets>
  <definedNames>
    <definedName name="campos">#REF!</definedName>
    <definedName name="pesquisa" localSheetId="0">'Cópia de Cotações com filtro'!$B$1:$C$2</definedName>
    <definedName name="pesquis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xU//nYA6XXIKzRps9oBOe9/U49dgFUxQY6MLaDEzFs4="/>
    </ext>
  </extLst>
</workbook>
</file>

<file path=xl/calcChain.xml><?xml version="1.0" encoding="utf-8"?>
<calcChain xmlns="http://schemas.openxmlformats.org/spreadsheetml/2006/main">
  <c r="L723" i="3" l="1"/>
  <c r="J723" i="3"/>
  <c r="I723" i="3"/>
  <c r="L722" i="3"/>
  <c r="J722" i="3"/>
  <c r="I722" i="3"/>
  <c r="H722" i="3"/>
  <c r="L721" i="3"/>
  <c r="I721" i="3"/>
  <c r="H721" i="3"/>
  <c r="J721" i="3" s="1"/>
  <c r="L720" i="3"/>
  <c r="I720" i="3"/>
  <c r="H720" i="3"/>
  <c r="J720" i="3" s="1"/>
  <c r="L719" i="3"/>
  <c r="J719" i="3"/>
  <c r="I719" i="3"/>
  <c r="H719" i="3"/>
  <c r="I718" i="3"/>
  <c r="H718" i="3"/>
  <c r="L717" i="3"/>
  <c r="I717" i="3"/>
  <c r="H717" i="3"/>
  <c r="J717" i="3" s="1"/>
  <c r="L716" i="3"/>
  <c r="I716" i="3"/>
  <c r="H716" i="3"/>
  <c r="J716" i="3" s="1"/>
  <c r="L715" i="3"/>
  <c r="I715" i="3"/>
  <c r="H715" i="3"/>
  <c r="J715" i="3" s="1"/>
  <c r="L714" i="3"/>
  <c r="J714" i="3"/>
  <c r="I714" i="3"/>
  <c r="H714" i="3"/>
  <c r="L713" i="3"/>
  <c r="I713" i="3"/>
  <c r="H713" i="3"/>
  <c r="J713" i="3" s="1"/>
  <c r="L712" i="3"/>
  <c r="I712" i="3"/>
  <c r="H712" i="3"/>
  <c r="J712" i="3" s="1"/>
  <c r="L711" i="3"/>
  <c r="I711" i="3"/>
  <c r="H711" i="3"/>
  <c r="J711" i="3" s="1"/>
  <c r="L710" i="3"/>
  <c r="J710" i="3"/>
  <c r="I710" i="3"/>
  <c r="H710" i="3"/>
  <c r="L709" i="3"/>
  <c r="I709" i="3"/>
  <c r="H709" i="3"/>
  <c r="J709" i="3" s="1"/>
  <c r="L708" i="3"/>
  <c r="I708" i="3"/>
  <c r="H708" i="3"/>
  <c r="J708" i="3" s="1"/>
  <c r="L707" i="3"/>
  <c r="I707" i="3"/>
  <c r="H707" i="3"/>
  <c r="J707" i="3" s="1"/>
  <c r="L706" i="3"/>
  <c r="J706" i="3"/>
  <c r="I706" i="3"/>
  <c r="H706" i="3"/>
  <c r="L705" i="3"/>
  <c r="I705" i="3"/>
  <c r="H705" i="3"/>
  <c r="J705" i="3" s="1"/>
  <c r="L704" i="3"/>
  <c r="I704" i="3"/>
  <c r="H704" i="3"/>
  <c r="J704" i="3" s="1"/>
  <c r="L703" i="3"/>
  <c r="I703" i="3"/>
  <c r="H703" i="3"/>
  <c r="L702" i="3"/>
  <c r="I702" i="3"/>
  <c r="H702" i="3"/>
  <c r="J702" i="3" s="1"/>
  <c r="L701" i="3"/>
  <c r="J701" i="3"/>
  <c r="I701" i="3"/>
  <c r="H701" i="3"/>
  <c r="L700" i="3"/>
  <c r="I700" i="3"/>
  <c r="H700" i="3"/>
  <c r="L699" i="3"/>
  <c r="I699" i="3"/>
  <c r="H699" i="3"/>
  <c r="L698" i="3"/>
  <c r="J698" i="3"/>
  <c r="I698" i="3"/>
  <c r="H698" i="3"/>
  <c r="L697" i="3"/>
  <c r="J697" i="3"/>
  <c r="I697" i="3"/>
  <c r="H697" i="3"/>
  <c r="L696" i="3"/>
  <c r="I696" i="3"/>
  <c r="H696" i="3"/>
  <c r="J696" i="3" s="1"/>
  <c r="L695" i="3"/>
  <c r="I695" i="3"/>
  <c r="H695" i="3"/>
  <c r="J695" i="3" s="1"/>
  <c r="L694" i="3"/>
  <c r="J694" i="3"/>
  <c r="I694" i="3"/>
  <c r="H694" i="3"/>
  <c r="L693" i="3"/>
  <c r="J693" i="3"/>
  <c r="I693" i="3"/>
  <c r="H693" i="3"/>
  <c r="L692" i="3"/>
  <c r="I692" i="3"/>
  <c r="H692" i="3"/>
  <c r="J692" i="3" s="1"/>
  <c r="L691" i="3"/>
  <c r="J691" i="3"/>
  <c r="I691" i="3"/>
  <c r="H691" i="3"/>
  <c r="L690" i="3"/>
  <c r="J690" i="3"/>
  <c r="I690" i="3"/>
  <c r="H690" i="3"/>
  <c r="L689" i="3"/>
  <c r="J689" i="3"/>
  <c r="I689" i="3"/>
  <c r="H689" i="3"/>
  <c r="I688" i="3"/>
  <c r="H688" i="3"/>
  <c r="I687" i="3"/>
  <c r="H687" i="3"/>
  <c r="I686" i="3"/>
  <c r="H686" i="3"/>
  <c r="I685" i="3"/>
  <c r="H685" i="3"/>
  <c r="I684" i="3"/>
  <c r="H684" i="3"/>
  <c r="I683" i="3"/>
  <c r="H683" i="3"/>
  <c r="I682" i="3"/>
  <c r="H682" i="3"/>
  <c r="I681" i="3"/>
  <c r="H681" i="3"/>
  <c r="L680" i="3"/>
  <c r="I680" i="3"/>
  <c r="H680" i="3"/>
  <c r="J680" i="3" s="1"/>
  <c r="L679" i="3"/>
  <c r="J679" i="3"/>
  <c r="I679" i="3"/>
  <c r="H679" i="3"/>
  <c r="L678" i="3"/>
  <c r="J678" i="3"/>
  <c r="I678" i="3"/>
  <c r="H678" i="3"/>
  <c r="L677" i="3"/>
  <c r="J677" i="3"/>
  <c r="I677" i="3"/>
  <c r="H677" i="3"/>
  <c r="L676" i="3"/>
  <c r="I676" i="3"/>
  <c r="H676" i="3"/>
  <c r="J676" i="3" s="1"/>
  <c r="L675" i="3"/>
  <c r="I675" i="3"/>
  <c r="H675" i="3"/>
  <c r="J675" i="3" s="1"/>
  <c r="L674" i="3"/>
  <c r="J674" i="3"/>
  <c r="I674" i="3"/>
  <c r="H674" i="3"/>
  <c r="L673" i="3"/>
  <c r="J673" i="3"/>
  <c r="I673" i="3"/>
  <c r="H673" i="3"/>
  <c r="L672" i="3"/>
  <c r="I672" i="3"/>
  <c r="H672" i="3"/>
  <c r="L671" i="3"/>
  <c r="J671" i="3"/>
  <c r="I671" i="3"/>
  <c r="H671" i="3"/>
  <c r="L670" i="3"/>
  <c r="I670" i="3"/>
  <c r="H670" i="3"/>
  <c r="J670" i="3" s="1"/>
  <c r="L669" i="3"/>
  <c r="I669" i="3"/>
  <c r="H669" i="3"/>
  <c r="J669" i="3" s="1"/>
  <c r="L668" i="3"/>
  <c r="I668" i="3"/>
  <c r="H668" i="3"/>
  <c r="J668" i="3" s="1"/>
  <c r="L667" i="3"/>
  <c r="J667" i="3"/>
  <c r="I667" i="3"/>
  <c r="H667" i="3"/>
  <c r="L666" i="3"/>
  <c r="I666" i="3"/>
  <c r="H666" i="3"/>
  <c r="J666" i="3" s="1"/>
  <c r="L665" i="3"/>
  <c r="I665" i="3"/>
  <c r="H665" i="3"/>
  <c r="J665" i="3" s="1"/>
  <c r="L664" i="3"/>
  <c r="I664" i="3"/>
  <c r="H664" i="3"/>
  <c r="J664" i="3" s="1"/>
  <c r="L663" i="3"/>
  <c r="J663" i="3"/>
  <c r="I663" i="3"/>
  <c r="H663" i="3"/>
  <c r="L662" i="3"/>
  <c r="I662" i="3"/>
  <c r="H662" i="3"/>
  <c r="J662" i="3" s="1"/>
  <c r="L661" i="3"/>
  <c r="I661" i="3"/>
  <c r="H661" i="3"/>
  <c r="J661" i="3" s="1"/>
  <c r="L660" i="3"/>
  <c r="I660" i="3"/>
  <c r="H660" i="3"/>
  <c r="J660" i="3" s="1"/>
  <c r="L659" i="3"/>
  <c r="J659" i="3"/>
  <c r="I659" i="3"/>
  <c r="H659" i="3"/>
  <c r="L658" i="3"/>
  <c r="I658" i="3"/>
  <c r="H658" i="3"/>
  <c r="J658" i="3" s="1"/>
  <c r="L657" i="3"/>
  <c r="I657" i="3"/>
  <c r="H657" i="3"/>
  <c r="J657" i="3" s="1"/>
  <c r="L656" i="3"/>
  <c r="I656" i="3"/>
  <c r="H656" i="3"/>
  <c r="J656" i="3" s="1"/>
  <c r="L655" i="3"/>
  <c r="J655" i="3"/>
  <c r="I655" i="3"/>
  <c r="H655" i="3"/>
  <c r="L654" i="3"/>
  <c r="I654" i="3"/>
  <c r="H654" i="3"/>
  <c r="J654" i="3" s="1"/>
  <c r="L653" i="3"/>
  <c r="I653" i="3"/>
  <c r="H653" i="3"/>
  <c r="J653" i="3" s="1"/>
  <c r="L652" i="3"/>
  <c r="I652" i="3"/>
  <c r="H652" i="3"/>
  <c r="J652" i="3" s="1"/>
  <c r="L651" i="3"/>
  <c r="J651" i="3"/>
  <c r="I651" i="3"/>
  <c r="H651" i="3"/>
  <c r="L650" i="3"/>
  <c r="I650" i="3"/>
  <c r="H650" i="3"/>
  <c r="J650" i="3" s="1"/>
  <c r="L649" i="3"/>
  <c r="I649" i="3"/>
  <c r="H649" i="3"/>
  <c r="J649" i="3" s="1"/>
  <c r="L648" i="3"/>
  <c r="I648" i="3"/>
  <c r="H648" i="3"/>
  <c r="J648" i="3" s="1"/>
  <c r="L647" i="3"/>
  <c r="J647" i="3"/>
  <c r="I647" i="3"/>
  <c r="H647" i="3"/>
  <c r="L646" i="3"/>
  <c r="I646" i="3"/>
  <c r="H646" i="3"/>
  <c r="J646" i="3" s="1"/>
  <c r="L645" i="3"/>
  <c r="I645" i="3"/>
  <c r="H645" i="3"/>
  <c r="J645" i="3" s="1"/>
  <c r="L644" i="3"/>
  <c r="I644" i="3"/>
  <c r="H644" i="3"/>
  <c r="J644" i="3" s="1"/>
  <c r="L643" i="3"/>
  <c r="J643" i="3"/>
  <c r="I643" i="3"/>
  <c r="H643" i="3"/>
  <c r="L642" i="3"/>
  <c r="I642" i="3"/>
  <c r="H642" i="3"/>
  <c r="J642" i="3" s="1"/>
  <c r="L641" i="3"/>
  <c r="I641" i="3"/>
  <c r="H641" i="3"/>
  <c r="J641" i="3" s="1"/>
  <c r="L640" i="3"/>
  <c r="I640" i="3"/>
  <c r="H640" i="3"/>
  <c r="J640" i="3" s="1"/>
  <c r="L639" i="3"/>
  <c r="J639" i="3"/>
  <c r="I639" i="3"/>
  <c r="H639" i="3"/>
  <c r="L638" i="3"/>
  <c r="I638" i="3"/>
  <c r="H638" i="3"/>
  <c r="J638" i="3" s="1"/>
  <c r="L637" i="3"/>
  <c r="I637" i="3"/>
  <c r="H637" i="3"/>
  <c r="J637" i="3" s="1"/>
  <c r="L636" i="3"/>
  <c r="I636" i="3"/>
  <c r="H636" i="3"/>
  <c r="J636" i="3" s="1"/>
  <c r="L635" i="3"/>
  <c r="J635" i="3"/>
  <c r="I635" i="3"/>
  <c r="H635" i="3"/>
  <c r="L634" i="3"/>
  <c r="I634" i="3"/>
  <c r="H634" i="3"/>
  <c r="J634" i="3" s="1"/>
  <c r="L633" i="3"/>
  <c r="I633" i="3"/>
  <c r="H633" i="3"/>
  <c r="J633" i="3" s="1"/>
  <c r="L632" i="3"/>
  <c r="I632" i="3"/>
  <c r="H632" i="3"/>
  <c r="J632" i="3" s="1"/>
  <c r="L631" i="3"/>
  <c r="J631" i="3"/>
  <c r="I631" i="3"/>
  <c r="H631" i="3"/>
  <c r="L630" i="3"/>
  <c r="I630" i="3"/>
  <c r="H630" i="3"/>
  <c r="J630" i="3" s="1"/>
  <c r="L629" i="3"/>
  <c r="I629" i="3"/>
  <c r="H629" i="3"/>
  <c r="J629" i="3" s="1"/>
  <c r="L628" i="3"/>
  <c r="I628" i="3"/>
  <c r="H628" i="3"/>
  <c r="J628" i="3" s="1"/>
  <c r="L627" i="3"/>
  <c r="J627" i="3"/>
  <c r="I627" i="3"/>
  <c r="H627" i="3"/>
  <c r="L626" i="3"/>
  <c r="I626" i="3"/>
  <c r="H626" i="3"/>
  <c r="J626" i="3" s="1"/>
  <c r="L625" i="3"/>
  <c r="I625" i="3"/>
  <c r="H625" i="3"/>
  <c r="J625" i="3" s="1"/>
  <c r="L624" i="3"/>
  <c r="I624" i="3"/>
  <c r="H624" i="3"/>
  <c r="J624" i="3" s="1"/>
  <c r="L623" i="3"/>
  <c r="J623" i="3"/>
  <c r="I623" i="3"/>
  <c r="H623" i="3"/>
  <c r="L622" i="3"/>
  <c r="I622" i="3"/>
  <c r="H622" i="3"/>
  <c r="J622" i="3" s="1"/>
  <c r="L621" i="3"/>
  <c r="I621" i="3"/>
  <c r="H621" i="3"/>
  <c r="J621" i="3" s="1"/>
  <c r="L620" i="3"/>
  <c r="I620" i="3"/>
  <c r="H620" i="3"/>
  <c r="J620" i="3" s="1"/>
  <c r="L619" i="3"/>
  <c r="J619" i="3"/>
  <c r="I619" i="3"/>
  <c r="H619" i="3"/>
  <c r="L618" i="3"/>
  <c r="I618" i="3"/>
  <c r="H618" i="3"/>
  <c r="J618" i="3" s="1"/>
  <c r="L617" i="3"/>
  <c r="I617" i="3"/>
  <c r="H617" i="3"/>
  <c r="J617" i="3" s="1"/>
  <c r="L616" i="3"/>
  <c r="I616" i="3"/>
  <c r="H616" i="3"/>
  <c r="J616" i="3" s="1"/>
  <c r="L615" i="3"/>
  <c r="J615" i="3"/>
  <c r="I615" i="3"/>
  <c r="H615" i="3"/>
  <c r="L614" i="3"/>
  <c r="I614" i="3"/>
  <c r="H614" i="3"/>
  <c r="J614" i="3" s="1"/>
  <c r="L613" i="3"/>
  <c r="I613" i="3"/>
  <c r="H613" i="3"/>
  <c r="J613" i="3" s="1"/>
  <c r="L612" i="3"/>
  <c r="I612" i="3"/>
  <c r="H612" i="3"/>
  <c r="J612" i="3" s="1"/>
  <c r="L611" i="3"/>
  <c r="J611" i="3"/>
  <c r="I611" i="3"/>
  <c r="H611" i="3"/>
  <c r="L610" i="3"/>
  <c r="I610" i="3"/>
  <c r="H610" i="3"/>
  <c r="J610" i="3" s="1"/>
  <c r="L609" i="3"/>
  <c r="I609" i="3"/>
  <c r="H609" i="3"/>
  <c r="J609" i="3" s="1"/>
  <c r="L608" i="3"/>
  <c r="I608" i="3"/>
  <c r="H608" i="3"/>
  <c r="J608" i="3" s="1"/>
  <c r="L607" i="3"/>
  <c r="J607" i="3"/>
  <c r="I607" i="3"/>
  <c r="H607" i="3"/>
  <c r="L606" i="3"/>
  <c r="I606" i="3"/>
  <c r="H606" i="3"/>
  <c r="J606" i="3" s="1"/>
  <c r="L605" i="3"/>
  <c r="I605" i="3"/>
  <c r="H605" i="3"/>
  <c r="J605" i="3" s="1"/>
  <c r="L604" i="3"/>
  <c r="I604" i="3"/>
  <c r="H604" i="3"/>
  <c r="J604" i="3" s="1"/>
  <c r="L603" i="3"/>
  <c r="J603" i="3"/>
  <c r="I603" i="3"/>
  <c r="H603" i="3"/>
  <c r="L602" i="3"/>
  <c r="I602" i="3"/>
  <c r="H602" i="3"/>
  <c r="J602" i="3" s="1"/>
  <c r="L601" i="3"/>
  <c r="I601" i="3"/>
  <c r="H601" i="3"/>
  <c r="J601" i="3" s="1"/>
  <c r="L600" i="3"/>
  <c r="I600" i="3"/>
  <c r="H600" i="3"/>
  <c r="J600" i="3" s="1"/>
  <c r="L599" i="3"/>
  <c r="J599" i="3"/>
  <c r="I599" i="3"/>
  <c r="H599" i="3"/>
  <c r="L598" i="3"/>
  <c r="I598" i="3"/>
  <c r="H598" i="3"/>
  <c r="J598" i="3" s="1"/>
  <c r="L597" i="3"/>
  <c r="I597" i="3"/>
  <c r="H597" i="3"/>
  <c r="J597" i="3" s="1"/>
  <c r="L596" i="3"/>
  <c r="I596" i="3"/>
  <c r="H596" i="3"/>
  <c r="J596" i="3" s="1"/>
  <c r="L595" i="3"/>
  <c r="J595" i="3"/>
  <c r="I595" i="3"/>
  <c r="H595" i="3"/>
  <c r="L594" i="3"/>
  <c r="I594" i="3"/>
  <c r="H594" i="3"/>
  <c r="J594" i="3" s="1"/>
  <c r="L593" i="3"/>
  <c r="I593" i="3"/>
  <c r="H593" i="3"/>
  <c r="J593" i="3" s="1"/>
  <c r="L592" i="3"/>
  <c r="I592" i="3"/>
  <c r="H592" i="3"/>
  <c r="J592" i="3" s="1"/>
  <c r="L591" i="3"/>
  <c r="J591" i="3"/>
  <c r="I591" i="3"/>
  <c r="H591" i="3"/>
  <c r="L590" i="3"/>
  <c r="I590" i="3"/>
  <c r="H590" i="3"/>
  <c r="J590" i="3" s="1"/>
  <c r="L589" i="3"/>
  <c r="I589" i="3"/>
  <c r="H589" i="3"/>
  <c r="J589" i="3" s="1"/>
  <c r="L588" i="3"/>
  <c r="I588" i="3"/>
  <c r="H588" i="3"/>
  <c r="J588" i="3" s="1"/>
  <c r="L587" i="3"/>
  <c r="J587" i="3"/>
  <c r="I587" i="3"/>
  <c r="H587" i="3"/>
  <c r="L586" i="3"/>
  <c r="I586" i="3"/>
  <c r="H586" i="3"/>
  <c r="J586" i="3" s="1"/>
  <c r="L585" i="3"/>
  <c r="I585" i="3"/>
  <c r="H585" i="3"/>
  <c r="J585" i="3" s="1"/>
  <c r="L584" i="3"/>
  <c r="I584" i="3"/>
  <c r="H584" i="3"/>
  <c r="J584" i="3" s="1"/>
  <c r="L583" i="3"/>
  <c r="J583" i="3"/>
  <c r="I583" i="3"/>
  <c r="H583" i="3"/>
  <c r="L582" i="3"/>
  <c r="I582" i="3"/>
  <c r="H582" i="3"/>
  <c r="J582" i="3" s="1"/>
  <c r="L581" i="3"/>
  <c r="I581" i="3"/>
  <c r="H581" i="3"/>
  <c r="J581" i="3" s="1"/>
  <c r="L580" i="3"/>
  <c r="I580" i="3"/>
  <c r="H580" i="3"/>
  <c r="J580" i="3" s="1"/>
  <c r="L579" i="3"/>
  <c r="J579" i="3"/>
  <c r="I579" i="3"/>
  <c r="H579" i="3"/>
  <c r="L578" i="3"/>
  <c r="I578" i="3"/>
  <c r="H578" i="3"/>
  <c r="J578" i="3" s="1"/>
  <c r="L577" i="3"/>
  <c r="I577" i="3"/>
  <c r="H577" i="3"/>
  <c r="J577" i="3" s="1"/>
  <c r="L576" i="3"/>
  <c r="I576" i="3"/>
  <c r="H576" i="3"/>
  <c r="J576" i="3" s="1"/>
  <c r="L575" i="3"/>
  <c r="J575" i="3"/>
  <c r="I575" i="3"/>
  <c r="H575" i="3"/>
  <c r="L574" i="3"/>
  <c r="I574" i="3"/>
  <c r="H574" i="3"/>
  <c r="J574" i="3" s="1"/>
  <c r="L573" i="3"/>
  <c r="I573" i="3"/>
  <c r="H573" i="3"/>
  <c r="L572" i="3"/>
  <c r="I572" i="3"/>
  <c r="H572" i="3"/>
  <c r="L571" i="3"/>
  <c r="I571" i="3"/>
  <c r="H571" i="3"/>
  <c r="J571" i="3" s="1"/>
  <c r="L570" i="3"/>
  <c r="I570" i="3"/>
  <c r="H570" i="3"/>
  <c r="J570" i="3" s="1"/>
  <c r="L569" i="3"/>
  <c r="I569" i="3"/>
  <c r="H569" i="3"/>
  <c r="J569" i="3" s="1"/>
  <c r="L568" i="3"/>
  <c r="J568" i="3"/>
  <c r="I568" i="3"/>
  <c r="H568" i="3"/>
  <c r="L567" i="3"/>
  <c r="I567" i="3"/>
  <c r="H567" i="3"/>
  <c r="L566" i="3"/>
  <c r="I566" i="3"/>
  <c r="H566" i="3"/>
  <c r="J566" i="3" s="1"/>
  <c r="L565" i="3"/>
  <c r="I565" i="3"/>
  <c r="H565" i="3"/>
  <c r="J565" i="3" s="1"/>
  <c r="L564" i="3"/>
  <c r="J564" i="3"/>
  <c r="I564" i="3"/>
  <c r="H564" i="3"/>
  <c r="L563" i="3"/>
  <c r="I563" i="3"/>
  <c r="H563" i="3"/>
  <c r="J563" i="3" s="1"/>
  <c r="L562" i="3"/>
  <c r="I562" i="3"/>
  <c r="H562" i="3"/>
  <c r="J562" i="3" s="1"/>
  <c r="L561" i="3"/>
  <c r="I561" i="3"/>
  <c r="H561" i="3"/>
  <c r="J561" i="3" s="1"/>
  <c r="L560" i="3"/>
  <c r="J560" i="3"/>
  <c r="I560" i="3"/>
  <c r="H560" i="3"/>
  <c r="L559" i="3"/>
  <c r="I559" i="3"/>
  <c r="H559" i="3"/>
  <c r="J559" i="3" s="1"/>
  <c r="L558" i="3"/>
  <c r="J558" i="3"/>
  <c r="I558" i="3"/>
  <c r="H558" i="3"/>
  <c r="I557" i="3"/>
  <c r="H557" i="3"/>
  <c r="I556" i="3"/>
  <c r="H556" i="3"/>
  <c r="L555" i="3"/>
  <c r="J555" i="3"/>
  <c r="I555" i="3"/>
  <c r="H555" i="3"/>
  <c r="L554" i="3"/>
  <c r="I554" i="3"/>
  <c r="H554" i="3"/>
  <c r="J554" i="3" s="1"/>
  <c r="L553" i="3"/>
  <c r="J553" i="3"/>
  <c r="I553" i="3"/>
  <c r="H553" i="3"/>
  <c r="L552" i="3"/>
  <c r="J552" i="3"/>
  <c r="I552" i="3"/>
  <c r="H552" i="3"/>
  <c r="L551" i="3"/>
  <c r="J551" i="3"/>
  <c r="I551" i="3"/>
  <c r="H551" i="3"/>
  <c r="L550" i="3"/>
  <c r="I550" i="3"/>
  <c r="H550" i="3"/>
  <c r="J550" i="3" s="1"/>
  <c r="L549" i="3"/>
  <c r="I549" i="3"/>
  <c r="H549" i="3"/>
  <c r="J549" i="3" s="1"/>
  <c r="L548" i="3"/>
  <c r="I548" i="3"/>
  <c r="H548" i="3"/>
  <c r="J548" i="3" s="1"/>
  <c r="L547" i="3"/>
  <c r="J547" i="3"/>
  <c r="I547" i="3"/>
  <c r="H547" i="3"/>
  <c r="L546" i="3"/>
  <c r="I546" i="3"/>
  <c r="H546" i="3"/>
  <c r="J546" i="3" s="1"/>
  <c r="L545" i="3"/>
  <c r="I545" i="3"/>
  <c r="H545" i="3"/>
  <c r="J545" i="3" s="1"/>
  <c r="L544" i="3"/>
  <c r="I544" i="3"/>
  <c r="H544" i="3"/>
  <c r="J544" i="3" s="1"/>
  <c r="L543" i="3"/>
  <c r="J543" i="3"/>
  <c r="I543" i="3"/>
  <c r="H543" i="3"/>
  <c r="L542" i="3"/>
  <c r="I542" i="3"/>
  <c r="H542" i="3"/>
  <c r="J542" i="3" s="1"/>
  <c r="L541" i="3"/>
  <c r="I541" i="3"/>
  <c r="H541" i="3"/>
  <c r="J541" i="3" s="1"/>
  <c r="L540" i="3"/>
  <c r="J540" i="3"/>
  <c r="I540" i="3"/>
  <c r="H540" i="3"/>
  <c r="L539" i="3"/>
  <c r="J539" i="3"/>
  <c r="I539" i="3"/>
  <c r="H539" i="3"/>
  <c r="L538" i="3"/>
  <c r="I538" i="3"/>
  <c r="H538" i="3"/>
  <c r="J538" i="3" s="1"/>
  <c r="L537" i="3"/>
  <c r="J537" i="3"/>
  <c r="I537" i="3"/>
  <c r="H537" i="3"/>
  <c r="L536" i="3"/>
  <c r="J536" i="3"/>
  <c r="I536" i="3"/>
  <c r="H536" i="3"/>
  <c r="L535" i="3"/>
  <c r="J535" i="3"/>
  <c r="I535" i="3"/>
  <c r="H535" i="3"/>
  <c r="L534" i="3"/>
  <c r="I534" i="3"/>
  <c r="H534" i="3"/>
  <c r="J534" i="3" s="1"/>
  <c r="L533" i="3"/>
  <c r="J533" i="3"/>
  <c r="I533" i="3"/>
  <c r="H533" i="3"/>
  <c r="L532" i="3"/>
  <c r="I532" i="3"/>
  <c r="H532" i="3"/>
  <c r="J532" i="3" s="1"/>
  <c r="L531" i="3"/>
  <c r="J531" i="3"/>
  <c r="I531" i="3"/>
  <c r="H531" i="3"/>
  <c r="L530" i="3"/>
  <c r="I530" i="3"/>
  <c r="H530" i="3"/>
  <c r="J530" i="3" s="1"/>
  <c r="L529" i="3"/>
  <c r="J529" i="3"/>
  <c r="I529" i="3"/>
  <c r="H529" i="3"/>
  <c r="L528" i="3"/>
  <c r="I528" i="3"/>
  <c r="H528" i="3"/>
  <c r="J528" i="3" s="1"/>
  <c r="L527" i="3"/>
  <c r="J527" i="3"/>
  <c r="I527" i="3"/>
  <c r="H527" i="3"/>
  <c r="L526" i="3"/>
  <c r="I526" i="3"/>
  <c r="H526" i="3"/>
  <c r="J526" i="3" s="1"/>
  <c r="L525" i="3"/>
  <c r="J525" i="3"/>
  <c r="I525" i="3"/>
  <c r="H525" i="3"/>
  <c r="L524" i="3"/>
  <c r="I524" i="3"/>
  <c r="H524" i="3"/>
  <c r="J524" i="3" s="1"/>
  <c r="L523" i="3"/>
  <c r="J523" i="3"/>
  <c r="I523" i="3"/>
  <c r="H523" i="3"/>
  <c r="L522" i="3"/>
  <c r="I522" i="3"/>
  <c r="H522" i="3"/>
  <c r="J522" i="3" s="1"/>
  <c r="L521" i="3"/>
  <c r="I521" i="3"/>
  <c r="H521" i="3"/>
  <c r="J521" i="3" s="1"/>
  <c r="L520" i="3"/>
  <c r="J520" i="3"/>
  <c r="I520" i="3"/>
  <c r="H520" i="3"/>
  <c r="L519" i="3"/>
  <c r="J519" i="3"/>
  <c r="I519" i="3"/>
  <c r="H519" i="3"/>
  <c r="L518" i="3"/>
  <c r="I518" i="3"/>
  <c r="H518" i="3"/>
  <c r="J518" i="3" s="1"/>
  <c r="L517" i="3"/>
  <c r="I517" i="3"/>
  <c r="H517" i="3"/>
  <c r="J517" i="3" s="1"/>
  <c r="L516" i="3"/>
  <c r="J516" i="3"/>
  <c r="I516" i="3"/>
  <c r="H516" i="3"/>
  <c r="L515" i="3"/>
  <c r="J515" i="3"/>
  <c r="I515" i="3"/>
  <c r="H515" i="3"/>
  <c r="L514" i="3"/>
  <c r="I514" i="3"/>
  <c r="H514" i="3"/>
  <c r="J514" i="3" s="1"/>
  <c r="L513" i="3"/>
  <c r="I513" i="3"/>
  <c r="H513" i="3"/>
  <c r="J513" i="3" s="1"/>
  <c r="L512" i="3"/>
  <c r="J512" i="3"/>
  <c r="I512" i="3"/>
  <c r="H512" i="3"/>
  <c r="L511" i="3"/>
  <c r="J511" i="3"/>
  <c r="I511" i="3"/>
  <c r="H511" i="3"/>
  <c r="L510" i="3"/>
  <c r="I510" i="3"/>
  <c r="H510" i="3"/>
  <c r="J510" i="3" s="1"/>
  <c r="L509" i="3"/>
  <c r="J509" i="3"/>
  <c r="I509" i="3"/>
  <c r="H509" i="3"/>
  <c r="L508" i="3"/>
  <c r="J508" i="3"/>
  <c r="I508" i="3"/>
  <c r="H508" i="3"/>
  <c r="L507" i="3"/>
  <c r="J507" i="3"/>
  <c r="I507" i="3"/>
  <c r="H507" i="3"/>
  <c r="L506" i="3"/>
  <c r="I506" i="3"/>
  <c r="H506" i="3"/>
  <c r="L505" i="3"/>
  <c r="J505" i="3"/>
  <c r="I505" i="3"/>
  <c r="H505" i="3"/>
  <c r="I504" i="3"/>
  <c r="H504" i="3"/>
  <c r="J504" i="3" s="1"/>
  <c r="L503" i="3"/>
  <c r="J503" i="3"/>
  <c r="I503" i="3"/>
  <c r="H503" i="3"/>
  <c r="L502" i="3"/>
  <c r="J502" i="3"/>
  <c r="I502" i="3"/>
  <c r="H502" i="3"/>
  <c r="I501" i="3"/>
  <c r="H501" i="3"/>
  <c r="J501" i="3" s="1"/>
  <c r="L500" i="3"/>
  <c r="I500" i="3"/>
  <c r="H500" i="3"/>
  <c r="J500" i="3" s="1"/>
  <c r="L499" i="3"/>
  <c r="I499" i="3"/>
  <c r="H499" i="3"/>
  <c r="J499" i="3" s="1"/>
  <c r="L498" i="3"/>
  <c r="J498" i="3"/>
  <c r="I498" i="3"/>
  <c r="H498" i="3"/>
  <c r="L497" i="3"/>
  <c r="I497" i="3"/>
  <c r="H497" i="3"/>
  <c r="J497" i="3" s="1"/>
  <c r="L496" i="3"/>
  <c r="I496" i="3"/>
  <c r="H496" i="3"/>
  <c r="L495" i="3"/>
  <c r="I495" i="3"/>
  <c r="H495" i="3"/>
  <c r="L494" i="3"/>
  <c r="I494" i="3"/>
  <c r="H494" i="3"/>
  <c r="L493" i="3"/>
  <c r="J493" i="3"/>
  <c r="I493" i="3"/>
  <c r="H493" i="3"/>
  <c r="L492" i="3"/>
  <c r="I492" i="3"/>
  <c r="H492" i="3"/>
  <c r="J492" i="3" s="1"/>
  <c r="L491" i="3"/>
  <c r="I491" i="3"/>
  <c r="H491" i="3"/>
  <c r="J491" i="3" s="1"/>
  <c r="L490" i="3"/>
  <c r="I490" i="3"/>
  <c r="H490" i="3"/>
  <c r="J490" i="3" s="1"/>
  <c r="L489" i="3"/>
  <c r="J489" i="3"/>
  <c r="I489" i="3"/>
  <c r="H489" i="3"/>
  <c r="L488" i="3"/>
  <c r="I488" i="3"/>
  <c r="H488" i="3"/>
  <c r="J488" i="3" s="1"/>
  <c r="L487" i="3"/>
  <c r="I487" i="3"/>
  <c r="H487" i="3"/>
  <c r="J487" i="3" s="1"/>
  <c r="L486" i="3"/>
  <c r="I486" i="3"/>
  <c r="H486" i="3"/>
  <c r="J486" i="3" s="1"/>
  <c r="L485" i="3"/>
  <c r="J485" i="3"/>
  <c r="I485" i="3"/>
  <c r="H485" i="3"/>
  <c r="L484" i="3"/>
  <c r="I484" i="3"/>
  <c r="H484" i="3"/>
  <c r="J484" i="3" s="1"/>
  <c r="L483" i="3"/>
  <c r="I483" i="3"/>
  <c r="H483" i="3"/>
  <c r="J483" i="3" s="1"/>
  <c r="L482" i="3"/>
  <c r="I482" i="3"/>
  <c r="H482" i="3"/>
  <c r="J482" i="3" s="1"/>
  <c r="L481" i="3"/>
  <c r="J481" i="3"/>
  <c r="I481" i="3"/>
  <c r="H481" i="3"/>
  <c r="L480" i="3"/>
  <c r="I480" i="3"/>
  <c r="H480" i="3"/>
  <c r="J480" i="3" s="1"/>
  <c r="L479" i="3"/>
  <c r="I479" i="3"/>
  <c r="H479" i="3"/>
  <c r="J479" i="3" s="1"/>
  <c r="L478" i="3"/>
  <c r="I478" i="3"/>
  <c r="H478" i="3"/>
  <c r="J478" i="3" s="1"/>
  <c r="L477" i="3"/>
  <c r="J477" i="3"/>
  <c r="I477" i="3"/>
  <c r="H477" i="3"/>
  <c r="L476" i="3"/>
  <c r="I476" i="3"/>
  <c r="H476" i="3"/>
  <c r="J476" i="3" s="1"/>
  <c r="L475" i="3"/>
  <c r="I475" i="3"/>
  <c r="H475" i="3"/>
  <c r="J475" i="3" s="1"/>
  <c r="L474" i="3"/>
  <c r="I474" i="3"/>
  <c r="H474" i="3"/>
  <c r="J474" i="3" s="1"/>
  <c r="L473" i="3"/>
  <c r="I473" i="3"/>
  <c r="H473" i="3"/>
  <c r="L472" i="3"/>
  <c r="I472" i="3"/>
  <c r="H472" i="3"/>
  <c r="J472" i="3" s="1"/>
  <c r="L471" i="3"/>
  <c r="J471" i="3"/>
  <c r="I471" i="3"/>
  <c r="H471" i="3"/>
  <c r="L470" i="3"/>
  <c r="I470" i="3"/>
  <c r="H470" i="3"/>
  <c r="J470" i="3" s="1"/>
  <c r="L469" i="3"/>
  <c r="I469" i="3"/>
  <c r="H469" i="3"/>
  <c r="L468" i="3"/>
  <c r="I468" i="3"/>
  <c r="H468" i="3"/>
  <c r="J468" i="3" s="1"/>
  <c r="L467" i="3"/>
  <c r="I467" i="3"/>
  <c r="H467" i="3"/>
  <c r="J467" i="3" s="1"/>
  <c r="L466" i="3"/>
  <c r="I466" i="3"/>
  <c r="H466" i="3"/>
  <c r="J466" i="3" s="1"/>
  <c r="L465" i="3"/>
  <c r="J465" i="3"/>
  <c r="I465" i="3"/>
  <c r="H465" i="3"/>
  <c r="L464" i="3"/>
  <c r="I464" i="3"/>
  <c r="H464" i="3"/>
  <c r="J464" i="3" s="1"/>
  <c r="L463" i="3"/>
  <c r="I463" i="3"/>
  <c r="H463" i="3"/>
  <c r="J463" i="3" s="1"/>
  <c r="L462" i="3"/>
  <c r="J462" i="3"/>
  <c r="I462" i="3"/>
  <c r="H462" i="3"/>
  <c r="L461" i="3"/>
  <c r="J461" i="3"/>
  <c r="I461" i="3"/>
  <c r="H461" i="3"/>
  <c r="L460" i="3"/>
  <c r="I460" i="3"/>
  <c r="H460" i="3"/>
  <c r="J460" i="3" s="1"/>
  <c r="L459" i="3"/>
  <c r="J459" i="3"/>
  <c r="I459" i="3"/>
  <c r="H459" i="3"/>
  <c r="L458" i="3"/>
  <c r="J458" i="3"/>
  <c r="I458" i="3"/>
  <c r="H458" i="3"/>
  <c r="L457" i="3"/>
  <c r="J457" i="3"/>
  <c r="I457" i="3"/>
  <c r="H457" i="3"/>
  <c r="L456" i="3"/>
  <c r="I456" i="3"/>
  <c r="H456" i="3"/>
  <c r="J456" i="3" s="1"/>
  <c r="L455" i="3"/>
  <c r="J455" i="3"/>
  <c r="I455" i="3"/>
  <c r="H455" i="3"/>
  <c r="L454" i="3"/>
  <c r="I454" i="3"/>
  <c r="H454" i="3"/>
  <c r="J454" i="3" s="1"/>
  <c r="L453" i="3"/>
  <c r="J453" i="3"/>
  <c r="I453" i="3"/>
  <c r="H453" i="3"/>
  <c r="L452" i="3"/>
  <c r="I452" i="3"/>
  <c r="H452" i="3"/>
  <c r="J452" i="3" s="1"/>
  <c r="L451" i="3"/>
  <c r="J451" i="3"/>
  <c r="I451" i="3"/>
  <c r="H451" i="3"/>
  <c r="L450" i="3"/>
  <c r="I450" i="3"/>
  <c r="H450" i="3"/>
  <c r="J450" i="3" s="1"/>
  <c r="L449" i="3"/>
  <c r="J449" i="3"/>
  <c r="I449" i="3"/>
  <c r="H449" i="3"/>
  <c r="L448" i="3"/>
  <c r="I448" i="3"/>
  <c r="H448" i="3"/>
  <c r="J448" i="3" s="1"/>
  <c r="L447" i="3"/>
  <c r="J447" i="3"/>
  <c r="I447" i="3"/>
  <c r="H447" i="3"/>
  <c r="L446" i="3"/>
  <c r="I446" i="3"/>
  <c r="H446" i="3"/>
  <c r="J446" i="3" s="1"/>
  <c r="L445" i="3"/>
  <c r="J445" i="3"/>
  <c r="I445" i="3"/>
  <c r="H445" i="3"/>
  <c r="L444" i="3"/>
  <c r="I444" i="3"/>
  <c r="H444" i="3"/>
  <c r="J444" i="3" s="1"/>
  <c r="L443" i="3"/>
  <c r="I443" i="3"/>
  <c r="H443" i="3"/>
  <c r="J443" i="3" s="1"/>
  <c r="L442" i="3"/>
  <c r="J442" i="3"/>
  <c r="I442" i="3"/>
  <c r="H442" i="3"/>
  <c r="L441" i="3"/>
  <c r="J441" i="3"/>
  <c r="I441" i="3"/>
  <c r="H441" i="3"/>
  <c r="L440" i="3"/>
  <c r="I440" i="3"/>
  <c r="H440" i="3"/>
  <c r="L439" i="3"/>
  <c r="I439" i="3"/>
  <c r="H439" i="3"/>
  <c r="L438" i="3"/>
  <c r="I438" i="3"/>
  <c r="H438" i="3"/>
  <c r="L437" i="3"/>
  <c r="I437" i="3"/>
  <c r="H437" i="3"/>
  <c r="J437" i="3" s="1"/>
  <c r="L436" i="3"/>
  <c r="J436" i="3"/>
  <c r="I436" i="3"/>
  <c r="H436" i="3"/>
  <c r="L435" i="3"/>
  <c r="I435" i="3"/>
  <c r="H435" i="3"/>
  <c r="J435" i="3" s="1"/>
  <c r="L434" i="3"/>
  <c r="J434" i="3"/>
  <c r="I434" i="3"/>
  <c r="H434" i="3"/>
  <c r="L433" i="3"/>
  <c r="I433" i="3"/>
  <c r="H433" i="3"/>
  <c r="J433" i="3" s="1"/>
  <c r="L432" i="3"/>
  <c r="J432" i="3"/>
  <c r="I432" i="3"/>
  <c r="H432" i="3"/>
  <c r="L431" i="3"/>
  <c r="I431" i="3"/>
  <c r="H431" i="3"/>
  <c r="J431" i="3" s="1"/>
  <c r="L430" i="3"/>
  <c r="J430" i="3"/>
  <c r="I430" i="3"/>
  <c r="H430" i="3"/>
  <c r="L429" i="3"/>
  <c r="I429" i="3"/>
  <c r="H429" i="3"/>
  <c r="J429" i="3" s="1"/>
  <c r="L428" i="3"/>
  <c r="J428" i="3"/>
  <c r="I428" i="3"/>
  <c r="H428" i="3"/>
  <c r="L427" i="3"/>
  <c r="I427" i="3"/>
  <c r="H427" i="3"/>
  <c r="J427" i="3" s="1"/>
  <c r="L426" i="3"/>
  <c r="J426" i="3"/>
  <c r="I426" i="3"/>
  <c r="H426" i="3"/>
  <c r="L425" i="3"/>
  <c r="I425" i="3"/>
  <c r="H425" i="3"/>
  <c r="J425" i="3" s="1"/>
  <c r="L424" i="3"/>
  <c r="I424" i="3"/>
  <c r="H424" i="3"/>
  <c r="L423" i="3"/>
  <c r="I423" i="3"/>
  <c r="H423" i="3"/>
  <c r="J423" i="3" s="1"/>
  <c r="L422" i="3"/>
  <c r="J422" i="3"/>
  <c r="I422" i="3"/>
  <c r="H422" i="3"/>
  <c r="L421" i="3"/>
  <c r="J421" i="3"/>
  <c r="I421" i="3"/>
  <c r="H421" i="3"/>
  <c r="L420" i="3"/>
  <c r="J420" i="3"/>
  <c r="I420" i="3"/>
  <c r="H420" i="3"/>
  <c r="L419" i="3"/>
  <c r="I419" i="3"/>
  <c r="H419" i="3"/>
  <c r="J419" i="3" s="1"/>
  <c r="L418" i="3"/>
  <c r="I418" i="3"/>
  <c r="H418" i="3"/>
  <c r="J418" i="3" s="1"/>
  <c r="L417" i="3"/>
  <c r="I417" i="3"/>
  <c r="H417" i="3"/>
  <c r="J417" i="3" s="1"/>
  <c r="L416" i="3"/>
  <c r="J416" i="3"/>
  <c r="I416" i="3"/>
  <c r="H416" i="3"/>
  <c r="L415" i="3"/>
  <c r="I415" i="3"/>
  <c r="H415" i="3"/>
  <c r="J415" i="3" s="1"/>
  <c r="L414" i="3"/>
  <c r="I414" i="3"/>
  <c r="H414" i="3"/>
  <c r="J414" i="3" s="1"/>
  <c r="L413" i="3"/>
  <c r="I413" i="3"/>
  <c r="H413" i="3"/>
  <c r="J413" i="3" s="1"/>
  <c r="L412" i="3"/>
  <c r="J412" i="3"/>
  <c r="I412" i="3"/>
  <c r="H412" i="3"/>
  <c r="L411" i="3"/>
  <c r="I411" i="3"/>
  <c r="H411" i="3"/>
  <c r="J411" i="3" s="1"/>
  <c r="L410" i="3"/>
  <c r="I410" i="3"/>
  <c r="H410" i="3"/>
  <c r="J410" i="3" s="1"/>
  <c r="L409" i="3"/>
  <c r="J409" i="3"/>
  <c r="I409" i="3"/>
  <c r="H409" i="3"/>
  <c r="L408" i="3"/>
  <c r="J408" i="3"/>
  <c r="I408" i="3"/>
  <c r="H408" i="3"/>
  <c r="L407" i="3"/>
  <c r="I407" i="3"/>
  <c r="H407" i="3"/>
  <c r="J407" i="3" s="1"/>
  <c r="L406" i="3"/>
  <c r="J406" i="3"/>
  <c r="I406" i="3"/>
  <c r="H406" i="3"/>
  <c r="L405" i="3"/>
  <c r="J405" i="3"/>
  <c r="I405" i="3"/>
  <c r="H405" i="3"/>
  <c r="L404" i="3"/>
  <c r="J404" i="3"/>
  <c r="I404" i="3"/>
  <c r="H404" i="3"/>
  <c r="L403" i="3"/>
  <c r="I403" i="3"/>
  <c r="H403" i="3"/>
  <c r="J403" i="3" s="1"/>
  <c r="L402" i="3"/>
  <c r="J402" i="3"/>
  <c r="I402" i="3"/>
  <c r="H402" i="3"/>
  <c r="L401" i="3"/>
  <c r="I401" i="3"/>
  <c r="H401" i="3"/>
  <c r="J401" i="3" s="1"/>
  <c r="L400" i="3"/>
  <c r="J400" i="3"/>
  <c r="I400" i="3"/>
  <c r="H400" i="3"/>
  <c r="L399" i="3"/>
  <c r="I399" i="3"/>
  <c r="H399" i="3"/>
  <c r="J399" i="3" s="1"/>
  <c r="L398" i="3"/>
  <c r="I398" i="3"/>
  <c r="H398" i="3"/>
  <c r="L397" i="3"/>
  <c r="I397" i="3"/>
  <c r="H397" i="3"/>
  <c r="L396" i="3"/>
  <c r="J396" i="3"/>
  <c r="I396" i="3"/>
  <c r="H396" i="3"/>
  <c r="L395" i="3"/>
  <c r="J395" i="3"/>
  <c r="I395" i="3"/>
  <c r="H395" i="3"/>
  <c r="L394" i="3"/>
  <c r="J394" i="3"/>
  <c r="I394" i="3"/>
  <c r="H394" i="3"/>
  <c r="L393" i="3"/>
  <c r="J393" i="3"/>
  <c r="I393" i="3"/>
  <c r="H393" i="3"/>
  <c r="L392" i="3"/>
  <c r="J392" i="3"/>
  <c r="I392" i="3"/>
  <c r="H392" i="3"/>
  <c r="L391" i="3"/>
  <c r="J391" i="3"/>
  <c r="I391" i="3"/>
  <c r="H391" i="3"/>
  <c r="L390" i="3"/>
  <c r="J390" i="3"/>
  <c r="I390" i="3"/>
  <c r="H390" i="3"/>
  <c r="L389" i="3"/>
  <c r="J389" i="3"/>
  <c r="I389" i="3"/>
  <c r="H389" i="3"/>
  <c r="L388" i="3"/>
  <c r="J388" i="3"/>
  <c r="I388" i="3"/>
  <c r="H388" i="3"/>
  <c r="L387" i="3"/>
  <c r="J387" i="3"/>
  <c r="I387" i="3"/>
  <c r="H387" i="3"/>
  <c r="L386" i="3"/>
  <c r="J386" i="3"/>
  <c r="I386" i="3"/>
  <c r="H386" i="3"/>
  <c r="L385" i="3"/>
  <c r="J385" i="3"/>
  <c r="I385" i="3"/>
  <c r="H385" i="3"/>
  <c r="L384" i="3"/>
  <c r="J384" i="3"/>
  <c r="I384" i="3"/>
  <c r="H384" i="3"/>
  <c r="L383" i="3"/>
  <c r="J383" i="3"/>
  <c r="I383" i="3"/>
  <c r="H383" i="3"/>
  <c r="L382" i="3"/>
  <c r="J382" i="3"/>
  <c r="I382" i="3"/>
  <c r="H382" i="3"/>
  <c r="L381" i="3"/>
  <c r="J381" i="3"/>
  <c r="I381" i="3"/>
  <c r="H381" i="3"/>
  <c r="L380" i="3"/>
  <c r="J380" i="3"/>
  <c r="I380" i="3"/>
  <c r="H380" i="3"/>
  <c r="L379" i="3"/>
  <c r="J379" i="3"/>
  <c r="I379" i="3"/>
  <c r="H379" i="3"/>
  <c r="L378" i="3"/>
  <c r="J378" i="3"/>
  <c r="I378" i="3"/>
  <c r="H378" i="3"/>
  <c r="L377" i="3"/>
  <c r="J377" i="3"/>
  <c r="I377" i="3"/>
  <c r="H377" i="3"/>
  <c r="L376" i="3"/>
  <c r="J376" i="3"/>
  <c r="I376" i="3"/>
  <c r="H376" i="3"/>
  <c r="L375" i="3"/>
  <c r="I375" i="3"/>
  <c r="H375" i="3"/>
  <c r="L374" i="3"/>
  <c r="I374" i="3"/>
  <c r="H374" i="3"/>
  <c r="L373" i="3"/>
  <c r="I373" i="3"/>
  <c r="H373" i="3"/>
  <c r="L372" i="3"/>
  <c r="I372" i="3"/>
  <c r="H372" i="3"/>
  <c r="L371" i="3"/>
  <c r="J371" i="3"/>
  <c r="I371" i="3"/>
  <c r="H371" i="3"/>
  <c r="L370" i="3"/>
  <c r="J370" i="3"/>
  <c r="I370" i="3"/>
  <c r="H370" i="3"/>
  <c r="L369" i="3"/>
  <c r="I369" i="3"/>
  <c r="H369" i="3"/>
  <c r="L368" i="3"/>
  <c r="J368" i="3"/>
  <c r="I368" i="3"/>
  <c r="H368" i="3"/>
  <c r="L367" i="3"/>
  <c r="I367" i="3"/>
  <c r="H367" i="3"/>
  <c r="L366" i="3"/>
  <c r="I366" i="3"/>
  <c r="H366" i="3"/>
  <c r="L365" i="3"/>
  <c r="I365" i="3"/>
  <c r="H365" i="3"/>
  <c r="L364" i="3"/>
  <c r="I364" i="3"/>
  <c r="H364" i="3"/>
  <c r="L363" i="3"/>
  <c r="I363" i="3"/>
  <c r="H363" i="3"/>
  <c r="L362" i="3"/>
  <c r="I362" i="3"/>
  <c r="H362" i="3"/>
  <c r="J362" i="3" s="1"/>
  <c r="L361" i="3"/>
  <c r="J361" i="3"/>
  <c r="I361" i="3"/>
  <c r="H361" i="3"/>
  <c r="L360" i="3"/>
  <c r="I360" i="3"/>
  <c r="H360" i="3"/>
  <c r="J360" i="3" s="1"/>
  <c r="L359" i="3"/>
  <c r="I359" i="3"/>
  <c r="H359" i="3"/>
  <c r="L358" i="3"/>
  <c r="I358" i="3"/>
  <c r="H358" i="3"/>
  <c r="L357" i="3"/>
  <c r="I357" i="3"/>
  <c r="H357" i="3"/>
  <c r="L356" i="3"/>
  <c r="J356" i="3"/>
  <c r="I356" i="3"/>
  <c r="H356" i="3"/>
  <c r="L355" i="3"/>
  <c r="I355" i="3"/>
  <c r="H355" i="3"/>
  <c r="J355" i="3" s="1"/>
  <c r="L354" i="3"/>
  <c r="J354" i="3"/>
  <c r="I354" i="3"/>
  <c r="H354" i="3"/>
  <c r="L353" i="3"/>
  <c r="I353" i="3"/>
  <c r="H353" i="3"/>
  <c r="J353" i="3" s="1"/>
  <c r="L352" i="3"/>
  <c r="J352" i="3"/>
  <c r="I352" i="3"/>
  <c r="H352" i="3"/>
  <c r="L351" i="3"/>
  <c r="I351" i="3"/>
  <c r="H351" i="3"/>
  <c r="L350" i="3"/>
  <c r="I350" i="3"/>
  <c r="H350" i="3"/>
  <c r="J350" i="3" s="1"/>
  <c r="L349" i="3"/>
  <c r="J349" i="3"/>
  <c r="I349" i="3"/>
  <c r="H349" i="3"/>
  <c r="L348" i="3"/>
  <c r="J348" i="3"/>
  <c r="I348" i="3"/>
  <c r="H348" i="3"/>
  <c r="L347" i="3"/>
  <c r="I347" i="3"/>
  <c r="H347" i="3"/>
  <c r="J347" i="3" s="1"/>
  <c r="L346" i="3"/>
  <c r="I346" i="3"/>
  <c r="H346" i="3"/>
  <c r="J346" i="3" s="1"/>
  <c r="L345" i="3"/>
  <c r="J345" i="3"/>
  <c r="I345" i="3"/>
  <c r="H345" i="3"/>
  <c r="L344" i="3"/>
  <c r="J344" i="3"/>
  <c r="I344" i="3"/>
  <c r="H344" i="3"/>
  <c r="L343" i="3"/>
  <c r="I343" i="3"/>
  <c r="H343" i="3"/>
  <c r="J343" i="3" s="1"/>
  <c r="L342" i="3"/>
  <c r="J342" i="3"/>
  <c r="I342" i="3"/>
  <c r="H342" i="3"/>
  <c r="L341" i="3"/>
  <c r="J341" i="3"/>
  <c r="I341" i="3"/>
  <c r="H341" i="3"/>
  <c r="L340" i="3"/>
  <c r="J340" i="3"/>
  <c r="I340" i="3"/>
  <c r="H340" i="3"/>
  <c r="L339" i="3"/>
  <c r="I339" i="3"/>
  <c r="H339" i="3"/>
  <c r="J339" i="3" s="1"/>
  <c r="L338" i="3"/>
  <c r="J338" i="3"/>
  <c r="I338" i="3"/>
  <c r="H338" i="3"/>
  <c r="L337" i="3"/>
  <c r="I337" i="3"/>
  <c r="H337" i="3"/>
  <c r="J337" i="3" s="1"/>
  <c r="L336" i="3"/>
  <c r="J336" i="3"/>
  <c r="I336" i="3"/>
  <c r="H336" i="3"/>
  <c r="L335" i="3"/>
  <c r="I335" i="3"/>
  <c r="H335" i="3"/>
  <c r="J335" i="3" s="1"/>
  <c r="L334" i="3"/>
  <c r="I334" i="3"/>
  <c r="H334" i="3"/>
  <c r="J334" i="3" s="1"/>
  <c r="L333" i="3"/>
  <c r="I333" i="3"/>
  <c r="H333" i="3"/>
  <c r="J333" i="3" s="1"/>
  <c r="L332" i="3"/>
  <c r="J332" i="3"/>
  <c r="I332" i="3"/>
  <c r="H332" i="3"/>
  <c r="L331" i="3"/>
  <c r="I331" i="3"/>
  <c r="H331" i="3"/>
  <c r="J331" i="3" s="1"/>
  <c r="L330" i="3"/>
  <c r="I330" i="3"/>
  <c r="H330" i="3"/>
  <c r="J330" i="3" s="1"/>
  <c r="L329" i="3"/>
  <c r="I329" i="3"/>
  <c r="H329" i="3"/>
  <c r="J329" i="3" s="1"/>
  <c r="L328" i="3"/>
  <c r="I328" i="3"/>
  <c r="H328" i="3"/>
  <c r="L327" i="3"/>
  <c r="I327" i="3"/>
  <c r="H327" i="3"/>
  <c r="L326" i="3"/>
  <c r="J326" i="3"/>
  <c r="I326" i="3"/>
  <c r="H326" i="3"/>
  <c r="L325" i="3"/>
  <c r="J325" i="3"/>
  <c r="I325" i="3"/>
  <c r="H325" i="3"/>
  <c r="L324" i="3"/>
  <c r="I324" i="3"/>
  <c r="H324" i="3"/>
  <c r="L323" i="3"/>
  <c r="J323" i="3"/>
  <c r="I323" i="3"/>
  <c r="H323" i="3"/>
  <c r="L322" i="3"/>
  <c r="I322" i="3"/>
  <c r="H322" i="3"/>
  <c r="J322" i="3" s="1"/>
  <c r="L321" i="3"/>
  <c r="J321" i="3"/>
  <c r="I321" i="3"/>
  <c r="H321" i="3"/>
  <c r="L320" i="3"/>
  <c r="I320" i="3"/>
  <c r="H320" i="3"/>
  <c r="J320" i="3" s="1"/>
  <c r="L319" i="3"/>
  <c r="J319" i="3"/>
  <c r="I319" i="3"/>
  <c r="H319" i="3"/>
  <c r="L318" i="3"/>
  <c r="I318" i="3"/>
  <c r="H318" i="3"/>
  <c r="J318" i="3" s="1"/>
  <c r="L317" i="3"/>
  <c r="J317" i="3"/>
  <c r="I317" i="3"/>
  <c r="H317" i="3"/>
  <c r="L316" i="3"/>
  <c r="I316" i="3"/>
  <c r="H316" i="3"/>
  <c r="J316" i="3" s="1"/>
  <c r="L315" i="3"/>
  <c r="J315" i="3"/>
  <c r="I315" i="3"/>
  <c r="H315" i="3"/>
  <c r="L314" i="3"/>
  <c r="I314" i="3"/>
  <c r="H314" i="3"/>
  <c r="J314" i="3" s="1"/>
  <c r="L313" i="3"/>
  <c r="J313" i="3"/>
  <c r="I313" i="3"/>
  <c r="H313" i="3"/>
  <c r="L312" i="3"/>
  <c r="I312" i="3"/>
  <c r="H312" i="3"/>
  <c r="J312" i="3" s="1"/>
  <c r="L311" i="3"/>
  <c r="J311" i="3"/>
  <c r="I311" i="3"/>
  <c r="H311" i="3"/>
  <c r="L310" i="3"/>
  <c r="I310" i="3"/>
  <c r="H310" i="3"/>
  <c r="J310" i="3" s="1"/>
  <c r="L309" i="3"/>
  <c r="J309" i="3"/>
  <c r="I309" i="3"/>
  <c r="H309" i="3"/>
  <c r="L308" i="3"/>
  <c r="I308" i="3"/>
  <c r="H308" i="3"/>
  <c r="J308" i="3" s="1"/>
  <c r="L307" i="3"/>
  <c r="J307" i="3"/>
  <c r="I307" i="3"/>
  <c r="H307" i="3"/>
  <c r="L306" i="3"/>
  <c r="I306" i="3"/>
  <c r="H306" i="3"/>
  <c r="J306" i="3" s="1"/>
  <c r="L305" i="3"/>
  <c r="J305" i="3"/>
  <c r="I305" i="3"/>
  <c r="H305" i="3"/>
  <c r="L304" i="3"/>
  <c r="I304" i="3"/>
  <c r="H304" i="3"/>
  <c r="J304" i="3" s="1"/>
  <c r="L303" i="3"/>
  <c r="J303" i="3"/>
  <c r="I303" i="3"/>
  <c r="H303" i="3"/>
  <c r="L302" i="3"/>
  <c r="I302" i="3"/>
  <c r="H302" i="3"/>
  <c r="J302" i="3" s="1"/>
  <c r="L301" i="3"/>
  <c r="J301" i="3"/>
  <c r="I301" i="3"/>
  <c r="H301" i="3"/>
  <c r="L300" i="3"/>
  <c r="I300" i="3"/>
  <c r="H300" i="3"/>
  <c r="J300" i="3" s="1"/>
  <c r="L299" i="3"/>
  <c r="J299" i="3"/>
  <c r="I299" i="3"/>
  <c r="H299" i="3"/>
  <c r="L298" i="3"/>
  <c r="I298" i="3"/>
  <c r="H298" i="3"/>
  <c r="J298" i="3" s="1"/>
  <c r="L297" i="3"/>
  <c r="J297" i="3"/>
  <c r="I297" i="3"/>
  <c r="H297" i="3"/>
  <c r="L296" i="3"/>
  <c r="I296" i="3"/>
  <c r="H296" i="3"/>
  <c r="J296" i="3" s="1"/>
  <c r="L295" i="3"/>
  <c r="J295" i="3"/>
  <c r="I295" i="3"/>
  <c r="H295" i="3"/>
  <c r="L294" i="3"/>
  <c r="I294" i="3"/>
  <c r="H294" i="3"/>
  <c r="J294" i="3" s="1"/>
  <c r="L293" i="3"/>
  <c r="J293" i="3"/>
  <c r="I293" i="3"/>
  <c r="H293" i="3"/>
  <c r="L292" i="3"/>
  <c r="I292" i="3"/>
  <c r="H292" i="3"/>
  <c r="J292" i="3" s="1"/>
  <c r="L291" i="3"/>
  <c r="J291" i="3"/>
  <c r="I291" i="3"/>
  <c r="H291" i="3"/>
  <c r="L290" i="3"/>
  <c r="I290" i="3"/>
  <c r="H290" i="3"/>
  <c r="J290" i="3" s="1"/>
  <c r="L289" i="3"/>
  <c r="J289" i="3"/>
  <c r="I289" i="3"/>
  <c r="H289" i="3"/>
  <c r="L288" i="3"/>
  <c r="I288" i="3"/>
  <c r="H288" i="3"/>
  <c r="J288" i="3" s="1"/>
  <c r="L287" i="3"/>
  <c r="J287" i="3"/>
  <c r="I287" i="3"/>
  <c r="H287" i="3"/>
  <c r="L286" i="3"/>
  <c r="I286" i="3"/>
  <c r="H286" i="3"/>
  <c r="J286" i="3" s="1"/>
  <c r="L285" i="3"/>
  <c r="J285" i="3"/>
  <c r="I285" i="3"/>
  <c r="H285" i="3"/>
  <c r="L284" i="3"/>
  <c r="I284" i="3"/>
  <c r="H284" i="3"/>
  <c r="J284" i="3" s="1"/>
  <c r="L283" i="3"/>
  <c r="J283" i="3"/>
  <c r="I283" i="3"/>
  <c r="H283" i="3"/>
  <c r="L282" i="3"/>
  <c r="I282" i="3"/>
  <c r="H282" i="3"/>
  <c r="J282" i="3" s="1"/>
  <c r="L281" i="3"/>
  <c r="J281" i="3"/>
  <c r="I281" i="3"/>
  <c r="H281" i="3"/>
  <c r="L280" i="3"/>
  <c r="I280" i="3"/>
  <c r="H280" i="3"/>
  <c r="J280" i="3" s="1"/>
  <c r="L279" i="3"/>
  <c r="J279" i="3"/>
  <c r="I279" i="3"/>
  <c r="H279" i="3"/>
  <c r="L278" i="3"/>
  <c r="I278" i="3"/>
  <c r="H278" i="3"/>
  <c r="J278" i="3" s="1"/>
  <c r="L277" i="3"/>
  <c r="J277" i="3"/>
  <c r="I277" i="3"/>
  <c r="H277" i="3"/>
  <c r="L276" i="3"/>
  <c r="I276" i="3"/>
  <c r="H276" i="3"/>
  <c r="J276" i="3" s="1"/>
  <c r="L275" i="3"/>
  <c r="J275" i="3"/>
  <c r="I275" i="3"/>
  <c r="H275" i="3"/>
  <c r="L274" i="3"/>
  <c r="I274" i="3"/>
  <c r="H274" i="3"/>
  <c r="J274" i="3" s="1"/>
  <c r="I273" i="3"/>
  <c r="H273" i="3"/>
  <c r="L272" i="3"/>
  <c r="I272" i="3"/>
  <c r="H272" i="3"/>
  <c r="J272" i="3" s="1"/>
  <c r="L271" i="3"/>
  <c r="I271" i="3"/>
  <c r="H271" i="3"/>
  <c r="J271" i="3" s="1"/>
  <c r="L270" i="3"/>
  <c r="I270" i="3"/>
  <c r="H270" i="3"/>
  <c r="J270" i="3" s="1"/>
  <c r="L269" i="3"/>
  <c r="I269" i="3"/>
  <c r="H269" i="3"/>
  <c r="J269" i="3" s="1"/>
  <c r="L268" i="3"/>
  <c r="I268" i="3"/>
  <c r="H268" i="3"/>
  <c r="J268" i="3" s="1"/>
  <c r="L267" i="3"/>
  <c r="I267" i="3"/>
  <c r="H267" i="3"/>
  <c r="J267" i="3" s="1"/>
  <c r="L266" i="3"/>
  <c r="I266" i="3"/>
  <c r="H266" i="3"/>
  <c r="J266" i="3" s="1"/>
  <c r="L265" i="3"/>
  <c r="J265" i="3"/>
  <c r="I265" i="3"/>
  <c r="H265" i="3"/>
  <c r="L264" i="3"/>
  <c r="I264" i="3"/>
  <c r="H264" i="3"/>
  <c r="J264" i="3" s="1"/>
  <c r="L263" i="3"/>
  <c r="J263" i="3"/>
  <c r="I263" i="3"/>
  <c r="H263" i="3"/>
  <c r="L262" i="3"/>
  <c r="I262" i="3"/>
  <c r="H262" i="3"/>
  <c r="J262" i="3" s="1"/>
  <c r="L261" i="3"/>
  <c r="I261" i="3"/>
  <c r="H261" i="3"/>
  <c r="J261" i="3" s="1"/>
  <c r="L260" i="3"/>
  <c r="I260" i="3"/>
  <c r="H260" i="3"/>
  <c r="J260" i="3" s="1"/>
  <c r="L259" i="3"/>
  <c r="J259" i="3"/>
  <c r="I259" i="3"/>
  <c r="H259" i="3"/>
  <c r="L258" i="3"/>
  <c r="I258" i="3"/>
  <c r="H258" i="3"/>
  <c r="J258" i="3" s="1"/>
  <c r="L257" i="3"/>
  <c r="I257" i="3"/>
  <c r="H257" i="3"/>
  <c r="L256" i="3"/>
  <c r="I256" i="3"/>
  <c r="H256" i="3"/>
  <c r="J256" i="3" s="1"/>
  <c r="L255" i="3"/>
  <c r="I255" i="3"/>
  <c r="H255" i="3"/>
  <c r="J255" i="3" s="1"/>
  <c r="L254" i="3"/>
  <c r="J254" i="3"/>
  <c r="I254" i="3"/>
  <c r="H254" i="3"/>
  <c r="L253" i="3"/>
  <c r="I253" i="3"/>
  <c r="H253" i="3"/>
  <c r="J253" i="3" s="1"/>
  <c r="L252" i="3"/>
  <c r="I252" i="3"/>
  <c r="H252" i="3"/>
  <c r="J252" i="3" s="1"/>
  <c r="L251" i="3"/>
  <c r="I251" i="3"/>
  <c r="H251" i="3"/>
  <c r="J251" i="3" s="1"/>
  <c r="L250" i="3"/>
  <c r="J250" i="3"/>
  <c r="I250" i="3"/>
  <c r="H250" i="3"/>
  <c r="L249" i="3"/>
  <c r="I249" i="3"/>
  <c r="H249" i="3"/>
  <c r="J249" i="3" s="1"/>
  <c r="I248" i="3"/>
  <c r="H248" i="3"/>
  <c r="L247" i="3"/>
  <c r="J247" i="3"/>
  <c r="I247" i="3"/>
  <c r="H247" i="3"/>
  <c r="L246" i="3"/>
  <c r="J246" i="3"/>
  <c r="I246" i="3"/>
  <c r="H246" i="3"/>
  <c r="L245" i="3"/>
  <c r="I245" i="3"/>
  <c r="H245" i="3"/>
  <c r="J245" i="3" s="1"/>
  <c r="L244" i="3"/>
  <c r="J244" i="3"/>
  <c r="I244" i="3"/>
  <c r="H244" i="3"/>
  <c r="L243" i="3"/>
  <c r="J243" i="3"/>
  <c r="I243" i="3"/>
  <c r="H243" i="3"/>
  <c r="L242" i="3"/>
  <c r="J242" i="3"/>
  <c r="I242" i="3"/>
  <c r="H242" i="3"/>
  <c r="L241" i="3"/>
  <c r="I241" i="3"/>
  <c r="H241" i="3"/>
  <c r="J241" i="3" s="1"/>
  <c r="L240" i="3"/>
  <c r="I240" i="3"/>
  <c r="H240" i="3"/>
  <c r="J240" i="3" s="1"/>
  <c r="L239" i="3"/>
  <c r="I239" i="3"/>
  <c r="H239" i="3"/>
  <c r="J239" i="3" s="1"/>
  <c r="L238" i="3"/>
  <c r="J238" i="3"/>
  <c r="I238" i="3"/>
  <c r="H238" i="3"/>
  <c r="L237" i="3"/>
  <c r="I237" i="3"/>
  <c r="H237" i="3"/>
  <c r="J237" i="3" s="1"/>
  <c r="I236" i="3"/>
  <c r="H236" i="3"/>
  <c r="L235" i="3"/>
  <c r="J235" i="3"/>
  <c r="I235" i="3"/>
  <c r="H235" i="3"/>
  <c r="L234" i="3"/>
  <c r="J234" i="3"/>
  <c r="I234" i="3"/>
  <c r="H234" i="3"/>
  <c r="L233" i="3"/>
  <c r="J233" i="3"/>
  <c r="I233" i="3"/>
  <c r="H233" i="3"/>
  <c r="L232" i="3"/>
  <c r="J232" i="3"/>
  <c r="I232" i="3"/>
  <c r="H232" i="3"/>
  <c r="L231" i="3"/>
  <c r="J231" i="3"/>
  <c r="I231" i="3"/>
  <c r="H231" i="3"/>
  <c r="L230" i="3"/>
  <c r="J230" i="3"/>
  <c r="I230" i="3"/>
  <c r="H230" i="3"/>
  <c r="I229" i="3"/>
  <c r="H229" i="3"/>
  <c r="L228" i="3"/>
  <c r="I228" i="3"/>
  <c r="H228" i="3"/>
  <c r="J228" i="3" s="1"/>
  <c r="L227" i="3"/>
  <c r="I227" i="3"/>
  <c r="H227" i="3"/>
  <c r="J227" i="3" s="1"/>
  <c r="L226" i="3"/>
  <c r="J226" i="3"/>
  <c r="I226" i="3"/>
  <c r="H226" i="3"/>
  <c r="L225" i="3"/>
  <c r="J225" i="3"/>
  <c r="I225" i="3"/>
  <c r="H225" i="3"/>
  <c r="L224" i="3"/>
  <c r="I224" i="3"/>
  <c r="H224" i="3"/>
  <c r="J224" i="3" s="1"/>
  <c r="L223" i="3"/>
  <c r="J223" i="3"/>
  <c r="I223" i="3"/>
  <c r="H223" i="3"/>
  <c r="L222" i="3"/>
  <c r="J222" i="3"/>
  <c r="I222" i="3"/>
  <c r="H222" i="3"/>
  <c r="L221" i="3"/>
  <c r="J221" i="3"/>
  <c r="I221" i="3"/>
  <c r="H221" i="3"/>
  <c r="L220" i="3"/>
  <c r="I220" i="3"/>
  <c r="H220" i="3"/>
  <c r="J220" i="3" s="1"/>
  <c r="L219" i="3"/>
  <c r="J219" i="3"/>
  <c r="I219" i="3"/>
  <c r="H219" i="3"/>
  <c r="L218" i="3"/>
  <c r="I218" i="3"/>
  <c r="H218" i="3"/>
  <c r="J218" i="3" s="1"/>
  <c r="L217" i="3"/>
  <c r="J217" i="3"/>
  <c r="I217" i="3"/>
  <c r="H217" i="3"/>
  <c r="L216" i="3"/>
  <c r="I216" i="3"/>
  <c r="H216" i="3"/>
  <c r="J216" i="3" s="1"/>
  <c r="L215" i="3"/>
  <c r="I215" i="3"/>
  <c r="H215" i="3"/>
  <c r="J215" i="3" s="1"/>
  <c r="L214" i="3"/>
  <c r="I214" i="3"/>
  <c r="H214" i="3"/>
  <c r="L213" i="3"/>
  <c r="J213" i="3"/>
  <c r="I213" i="3"/>
  <c r="H213" i="3"/>
  <c r="L212" i="3"/>
  <c r="I212" i="3"/>
  <c r="H212" i="3"/>
  <c r="J212" i="3" s="1"/>
  <c r="L211" i="3"/>
  <c r="J211" i="3"/>
  <c r="I211" i="3"/>
  <c r="H211" i="3"/>
  <c r="L210" i="3"/>
  <c r="I210" i="3"/>
  <c r="H210" i="3"/>
  <c r="J210" i="3" s="1"/>
  <c r="L209" i="3"/>
  <c r="I209" i="3"/>
  <c r="H209" i="3"/>
  <c r="L208" i="3"/>
  <c r="J208" i="3"/>
  <c r="I208" i="3"/>
  <c r="H208" i="3"/>
  <c r="L207" i="3"/>
  <c r="I207" i="3"/>
  <c r="H207" i="3"/>
  <c r="J207" i="3" s="1"/>
  <c r="L206" i="3"/>
  <c r="I206" i="3"/>
  <c r="H206" i="3"/>
  <c r="J206" i="3" s="1"/>
  <c r="L205" i="3"/>
  <c r="I205" i="3"/>
  <c r="H205" i="3"/>
  <c r="J205" i="3" s="1"/>
  <c r="L204" i="3"/>
  <c r="J204" i="3"/>
  <c r="I204" i="3"/>
  <c r="H204" i="3"/>
  <c r="L203" i="3"/>
  <c r="I203" i="3"/>
  <c r="H203" i="3"/>
  <c r="J203" i="3" s="1"/>
  <c r="L202" i="3"/>
  <c r="J202" i="3"/>
  <c r="I202" i="3"/>
  <c r="H202" i="3"/>
  <c r="L201" i="3"/>
  <c r="I201" i="3"/>
  <c r="H201" i="3"/>
  <c r="L200" i="3"/>
  <c r="I200" i="3"/>
  <c r="H200" i="3"/>
  <c r="L199" i="3"/>
  <c r="I199" i="3"/>
  <c r="H199" i="3"/>
  <c r="L198" i="3"/>
  <c r="I198" i="3"/>
  <c r="H198" i="3"/>
  <c r="L197" i="3"/>
  <c r="J197" i="3"/>
  <c r="I197" i="3"/>
  <c r="H197" i="3"/>
  <c r="L196" i="3"/>
  <c r="I196" i="3"/>
  <c r="H196" i="3"/>
  <c r="J196" i="3" s="1"/>
  <c r="L195" i="3"/>
  <c r="J195" i="3"/>
  <c r="I195" i="3"/>
  <c r="H195" i="3"/>
  <c r="L194" i="3"/>
  <c r="I194" i="3"/>
  <c r="H194" i="3"/>
  <c r="J194" i="3" s="1"/>
  <c r="L193" i="3"/>
  <c r="I193" i="3"/>
  <c r="H193" i="3"/>
  <c r="J193" i="3" s="1"/>
  <c r="L192" i="3"/>
  <c r="I192" i="3"/>
  <c r="H192" i="3"/>
  <c r="J192" i="3" s="1"/>
  <c r="L191" i="3"/>
  <c r="J191" i="3"/>
  <c r="I191" i="3"/>
  <c r="H191" i="3"/>
  <c r="L190" i="3"/>
  <c r="I190" i="3"/>
  <c r="H190" i="3"/>
  <c r="J190" i="3" s="1"/>
  <c r="L189" i="3"/>
  <c r="J189" i="3"/>
  <c r="I189" i="3"/>
  <c r="H189" i="3"/>
  <c r="L188" i="3"/>
  <c r="I188" i="3"/>
  <c r="H188" i="3"/>
  <c r="J188" i="3" s="1"/>
  <c r="L187" i="3"/>
  <c r="J187" i="3"/>
  <c r="I187" i="3"/>
  <c r="H187" i="3"/>
  <c r="L186" i="3"/>
  <c r="I186" i="3"/>
  <c r="H186" i="3"/>
  <c r="J186" i="3" s="1"/>
  <c r="L185" i="3"/>
  <c r="I185" i="3"/>
  <c r="H185" i="3"/>
  <c r="J185" i="3" s="1"/>
  <c r="L184" i="3"/>
  <c r="I184" i="3"/>
  <c r="H184" i="3"/>
  <c r="J184" i="3" s="1"/>
  <c r="L183" i="3"/>
  <c r="J183" i="3"/>
  <c r="I183" i="3"/>
  <c r="H183" i="3"/>
  <c r="L182" i="3"/>
  <c r="I182" i="3"/>
  <c r="H182" i="3"/>
  <c r="J182" i="3" s="1"/>
  <c r="L181" i="3"/>
  <c r="J181" i="3"/>
  <c r="I181" i="3"/>
  <c r="H181" i="3"/>
  <c r="L180" i="3"/>
  <c r="I180" i="3"/>
  <c r="H180" i="3"/>
  <c r="J180" i="3" s="1"/>
  <c r="L179" i="3"/>
  <c r="J179" i="3"/>
  <c r="I179" i="3"/>
  <c r="H179" i="3"/>
  <c r="L178" i="3"/>
  <c r="I178" i="3"/>
  <c r="H178" i="3"/>
  <c r="J178" i="3" s="1"/>
  <c r="L177" i="3"/>
  <c r="J177" i="3"/>
  <c r="I177" i="3"/>
  <c r="H177" i="3"/>
  <c r="L176" i="3"/>
  <c r="I176" i="3"/>
  <c r="H176" i="3"/>
  <c r="J176" i="3" s="1"/>
  <c r="L175" i="3"/>
  <c r="J175" i="3"/>
  <c r="I175" i="3"/>
  <c r="H175" i="3"/>
  <c r="L174" i="3"/>
  <c r="I174" i="3"/>
  <c r="H174" i="3"/>
  <c r="J174" i="3" s="1"/>
  <c r="L173" i="3"/>
  <c r="I173" i="3"/>
  <c r="H173" i="3"/>
  <c r="J173" i="3" s="1"/>
  <c r="L172" i="3"/>
  <c r="I172" i="3"/>
  <c r="H172" i="3"/>
  <c r="J172" i="3" s="1"/>
  <c r="L171" i="3"/>
  <c r="J171" i="3"/>
  <c r="I171" i="3"/>
  <c r="H171" i="3"/>
  <c r="L170" i="3"/>
  <c r="I170" i="3"/>
  <c r="H170" i="3"/>
  <c r="J170" i="3" s="1"/>
  <c r="L169" i="3"/>
  <c r="I169" i="3"/>
  <c r="H169" i="3"/>
  <c r="J169" i="3" s="1"/>
  <c r="L168" i="3"/>
  <c r="I168" i="3"/>
  <c r="H168" i="3"/>
  <c r="J168" i="3" s="1"/>
  <c r="L167" i="3"/>
  <c r="J167" i="3"/>
  <c r="I167" i="3"/>
  <c r="H167" i="3"/>
  <c r="L166" i="3"/>
  <c r="I166" i="3"/>
  <c r="H166" i="3"/>
  <c r="J166" i="3" s="1"/>
  <c r="L165" i="3"/>
  <c r="J165" i="3"/>
  <c r="I165" i="3"/>
  <c r="H165" i="3"/>
  <c r="L164" i="3"/>
  <c r="I164" i="3"/>
  <c r="H164" i="3"/>
  <c r="J164" i="3" s="1"/>
  <c r="L163" i="3"/>
  <c r="J163" i="3"/>
  <c r="I163" i="3"/>
  <c r="H163" i="3"/>
  <c r="L162" i="3"/>
  <c r="I162" i="3"/>
  <c r="H162" i="3"/>
  <c r="J162" i="3" s="1"/>
  <c r="L161" i="3"/>
  <c r="I161" i="3"/>
  <c r="H161" i="3"/>
  <c r="J161" i="3" s="1"/>
  <c r="L160" i="3"/>
  <c r="I160" i="3"/>
  <c r="H160" i="3"/>
  <c r="J160" i="3" s="1"/>
  <c r="L159" i="3"/>
  <c r="I159" i="3"/>
  <c r="H159" i="3"/>
  <c r="L158" i="3"/>
  <c r="I158" i="3"/>
  <c r="H158" i="3"/>
  <c r="J158" i="3" s="1"/>
  <c r="L157" i="3"/>
  <c r="J157" i="3"/>
  <c r="I157" i="3"/>
  <c r="H157" i="3"/>
  <c r="L156" i="3"/>
  <c r="I156" i="3"/>
  <c r="H156" i="3"/>
  <c r="J156" i="3" s="1"/>
  <c r="L155" i="3"/>
  <c r="J155" i="3"/>
  <c r="I155" i="3"/>
  <c r="H155" i="3"/>
  <c r="L154" i="3"/>
  <c r="I154" i="3"/>
  <c r="H154" i="3"/>
  <c r="J154" i="3" s="1"/>
  <c r="L153" i="3"/>
  <c r="J153" i="3"/>
  <c r="I153" i="3"/>
  <c r="H153" i="3"/>
  <c r="L152" i="3"/>
  <c r="I152" i="3"/>
  <c r="H152" i="3"/>
  <c r="J152" i="3" s="1"/>
  <c r="L151" i="3"/>
  <c r="I151" i="3"/>
  <c r="H151" i="3"/>
  <c r="L150" i="3"/>
  <c r="I150" i="3"/>
  <c r="H150" i="3"/>
  <c r="L149" i="3"/>
  <c r="I149" i="3"/>
  <c r="H149" i="3"/>
  <c r="J149" i="3" s="1"/>
  <c r="L148" i="3"/>
  <c r="I148" i="3"/>
  <c r="H148" i="3"/>
  <c r="J148" i="3" s="1"/>
  <c r="L147" i="3"/>
  <c r="J147" i="3"/>
  <c r="I147" i="3"/>
  <c r="H147" i="3"/>
  <c r="L146" i="3"/>
  <c r="J146" i="3"/>
  <c r="I146" i="3"/>
  <c r="H146" i="3"/>
  <c r="L145" i="3"/>
  <c r="I145" i="3"/>
  <c r="H145" i="3"/>
  <c r="J145" i="3" s="1"/>
  <c r="L144" i="3"/>
  <c r="I144" i="3"/>
  <c r="H144" i="3"/>
  <c r="J144" i="3" s="1"/>
  <c r="L143" i="3"/>
  <c r="J143" i="3"/>
  <c r="I143" i="3"/>
  <c r="H143" i="3"/>
  <c r="L142" i="3"/>
  <c r="J142" i="3"/>
  <c r="I142" i="3"/>
  <c r="H142" i="3"/>
  <c r="L141" i="3"/>
  <c r="J141" i="3"/>
  <c r="I141" i="3"/>
  <c r="H141" i="3"/>
  <c r="L140" i="3"/>
  <c r="I140" i="3"/>
  <c r="H140" i="3"/>
  <c r="J140" i="3" s="1"/>
  <c r="L139" i="3"/>
  <c r="I139" i="3"/>
  <c r="H139" i="3"/>
  <c r="J139" i="3" s="1"/>
  <c r="L138" i="3"/>
  <c r="J138" i="3"/>
  <c r="I138" i="3"/>
  <c r="H138" i="3"/>
  <c r="L137" i="3"/>
  <c r="J137" i="3"/>
  <c r="I137" i="3"/>
  <c r="H137" i="3"/>
  <c r="L136" i="3"/>
  <c r="I136" i="3"/>
  <c r="H136" i="3"/>
  <c r="J136" i="3" s="1"/>
  <c r="L135" i="3"/>
  <c r="I135" i="3"/>
  <c r="H135" i="3"/>
  <c r="J135" i="3" s="1"/>
  <c r="L134" i="3"/>
  <c r="J134" i="3"/>
  <c r="I134" i="3"/>
  <c r="H134" i="3"/>
  <c r="L133" i="3"/>
  <c r="I133" i="3"/>
  <c r="H133" i="3"/>
  <c r="J133" i="3" s="1"/>
  <c r="L132" i="3"/>
  <c r="I132" i="3"/>
  <c r="H132" i="3"/>
  <c r="J132" i="3" s="1"/>
  <c r="L131" i="3"/>
  <c r="I131" i="3"/>
  <c r="H131" i="3"/>
  <c r="J131" i="3" s="1"/>
  <c r="L130" i="3"/>
  <c r="J130" i="3"/>
  <c r="I130" i="3"/>
  <c r="H130" i="3"/>
  <c r="L129" i="3"/>
  <c r="I129" i="3"/>
  <c r="H129" i="3"/>
  <c r="J129" i="3" s="1"/>
  <c r="L128" i="3"/>
  <c r="I128" i="3"/>
  <c r="H128" i="3"/>
  <c r="J128" i="3" s="1"/>
  <c r="L127" i="3"/>
  <c r="J127" i="3"/>
  <c r="I127" i="3"/>
  <c r="H127" i="3"/>
  <c r="L126" i="3"/>
  <c r="J126" i="3"/>
  <c r="I126" i="3"/>
  <c r="H126" i="3"/>
  <c r="L125" i="3"/>
  <c r="I125" i="3"/>
  <c r="H125" i="3"/>
  <c r="J125" i="3" s="1"/>
  <c r="L124" i="3"/>
  <c r="I124" i="3"/>
  <c r="H124" i="3"/>
  <c r="J124" i="3" s="1"/>
  <c r="L123" i="3"/>
  <c r="J123" i="3"/>
  <c r="I123" i="3"/>
  <c r="H123" i="3"/>
  <c r="L122" i="3"/>
  <c r="J122" i="3"/>
  <c r="I122" i="3"/>
  <c r="H122" i="3"/>
  <c r="L121" i="3"/>
  <c r="J121" i="3"/>
  <c r="I121" i="3"/>
  <c r="H121" i="3"/>
  <c r="L120" i="3"/>
  <c r="I120" i="3"/>
  <c r="H120" i="3"/>
  <c r="J120" i="3" s="1"/>
  <c r="L119" i="3"/>
  <c r="I119" i="3"/>
  <c r="H119" i="3"/>
  <c r="J119" i="3" s="1"/>
  <c r="L118" i="3"/>
  <c r="J118" i="3"/>
  <c r="I118" i="3"/>
  <c r="H118" i="3"/>
  <c r="L117" i="3"/>
  <c r="J117" i="3"/>
  <c r="I117" i="3"/>
  <c r="H117" i="3"/>
  <c r="L116" i="3"/>
  <c r="I116" i="3"/>
  <c r="H116" i="3"/>
  <c r="J116" i="3" s="1"/>
  <c r="L115" i="3"/>
  <c r="I115" i="3"/>
  <c r="H115" i="3"/>
  <c r="J115" i="3" s="1"/>
  <c r="L114" i="3"/>
  <c r="J114" i="3"/>
  <c r="I114" i="3"/>
  <c r="H114" i="3"/>
  <c r="L113" i="3"/>
  <c r="I113" i="3"/>
  <c r="H113" i="3"/>
  <c r="J113" i="3" s="1"/>
  <c r="L112" i="3"/>
  <c r="I112" i="3"/>
  <c r="H112" i="3"/>
  <c r="J112" i="3" s="1"/>
  <c r="L111" i="3"/>
  <c r="J111" i="3"/>
  <c r="I111" i="3"/>
  <c r="H111" i="3"/>
  <c r="L110" i="3"/>
  <c r="J110" i="3"/>
  <c r="I110" i="3"/>
  <c r="H110" i="3"/>
  <c r="L109" i="3"/>
  <c r="J109" i="3"/>
  <c r="I109" i="3"/>
  <c r="H109" i="3"/>
  <c r="L108" i="3"/>
  <c r="I108" i="3"/>
  <c r="H108" i="3"/>
  <c r="J108" i="3" s="1"/>
  <c r="L107" i="3"/>
  <c r="J107" i="3"/>
  <c r="I107" i="3"/>
  <c r="H107" i="3"/>
  <c r="L106" i="3"/>
  <c r="I106" i="3"/>
  <c r="H106" i="3"/>
  <c r="L105" i="3"/>
  <c r="I105" i="3"/>
  <c r="H105" i="3"/>
  <c r="J105" i="3" s="1"/>
  <c r="L104" i="3"/>
  <c r="J104" i="3"/>
  <c r="I104" i="3"/>
  <c r="H104" i="3"/>
  <c r="L103" i="3"/>
  <c r="I103" i="3"/>
  <c r="H103" i="3"/>
  <c r="J103" i="3" s="1"/>
  <c r="L102" i="3"/>
  <c r="J102" i="3"/>
  <c r="I102" i="3"/>
  <c r="H102" i="3"/>
  <c r="L101" i="3"/>
  <c r="I101" i="3"/>
  <c r="H101" i="3"/>
  <c r="J101" i="3" s="1"/>
  <c r="J100" i="3"/>
  <c r="I100" i="3"/>
  <c r="H100" i="3"/>
  <c r="I99" i="3"/>
  <c r="H99" i="3"/>
  <c r="I98" i="3"/>
  <c r="H98" i="3"/>
  <c r="I97" i="3"/>
  <c r="H97" i="3"/>
  <c r="I96" i="3"/>
  <c r="H96" i="3"/>
  <c r="I95" i="3"/>
  <c r="H95" i="3"/>
  <c r="I94" i="3"/>
  <c r="H94" i="3"/>
  <c r="I93" i="3"/>
  <c r="H93" i="3"/>
  <c r="I92" i="3"/>
  <c r="H92" i="3"/>
  <c r="I91" i="3"/>
  <c r="H91" i="3"/>
  <c r="I90" i="3"/>
  <c r="H90" i="3"/>
  <c r="I89" i="3"/>
  <c r="H89" i="3"/>
  <c r="L88" i="3"/>
  <c r="J88" i="3"/>
  <c r="I88" i="3"/>
  <c r="H88" i="3"/>
  <c r="L87" i="3"/>
  <c r="I87" i="3"/>
  <c r="H87" i="3"/>
  <c r="J87" i="3" s="1"/>
  <c r="L86" i="3"/>
  <c r="I86" i="3"/>
  <c r="H86" i="3"/>
  <c r="L85" i="3"/>
  <c r="I85" i="3"/>
  <c r="H85" i="3"/>
  <c r="J85" i="3" s="1"/>
  <c r="L84" i="3"/>
  <c r="J84" i="3"/>
  <c r="I84" i="3"/>
  <c r="H84" i="3"/>
  <c r="L83" i="3"/>
  <c r="I83" i="3"/>
  <c r="H83" i="3"/>
  <c r="J83" i="3" s="1"/>
  <c r="L82" i="3"/>
  <c r="J82" i="3"/>
  <c r="I82" i="3"/>
  <c r="H82" i="3"/>
  <c r="L81" i="3"/>
  <c r="I81" i="3"/>
  <c r="H81" i="3"/>
  <c r="J81" i="3" s="1"/>
  <c r="L80" i="3"/>
  <c r="I80" i="3"/>
  <c r="H80" i="3"/>
  <c r="L79" i="3"/>
  <c r="I79" i="3"/>
  <c r="H79" i="3"/>
  <c r="L78" i="3"/>
  <c r="J78" i="3"/>
  <c r="I78" i="3"/>
  <c r="H78" i="3"/>
  <c r="L77" i="3"/>
  <c r="I77" i="3"/>
  <c r="H77" i="3"/>
  <c r="J77" i="3" s="1"/>
  <c r="L76" i="3"/>
  <c r="J76" i="3"/>
  <c r="I76" i="3"/>
  <c r="H76" i="3"/>
  <c r="L75" i="3"/>
  <c r="I75" i="3"/>
  <c r="H75" i="3"/>
  <c r="L74" i="3"/>
  <c r="I74" i="3"/>
  <c r="H74" i="3"/>
  <c r="J74" i="3" s="1"/>
  <c r="L73" i="3"/>
  <c r="I73" i="3"/>
  <c r="H73" i="3"/>
  <c r="J73" i="3" s="1"/>
  <c r="L72" i="3"/>
  <c r="I72" i="3"/>
  <c r="H72" i="3"/>
  <c r="J72" i="3" s="1"/>
  <c r="L71" i="3"/>
  <c r="J71" i="3"/>
  <c r="I71" i="3"/>
  <c r="H71" i="3"/>
  <c r="L70" i="3"/>
  <c r="I70" i="3"/>
  <c r="H70" i="3"/>
  <c r="J70" i="3" s="1"/>
  <c r="L69" i="3"/>
  <c r="I69" i="3"/>
  <c r="H69" i="3"/>
  <c r="J69" i="3" s="1"/>
  <c r="L68" i="3"/>
  <c r="I68" i="3"/>
  <c r="H68" i="3"/>
  <c r="J68" i="3" s="1"/>
  <c r="L67" i="3"/>
  <c r="J67" i="3"/>
  <c r="I67" i="3"/>
  <c r="H67" i="3"/>
  <c r="L66" i="3"/>
  <c r="I66" i="3"/>
  <c r="H66" i="3"/>
  <c r="J66" i="3" s="1"/>
  <c r="L65" i="3"/>
  <c r="I65" i="3"/>
  <c r="H65" i="3"/>
  <c r="J65" i="3" s="1"/>
  <c r="L64" i="3"/>
  <c r="I64" i="3"/>
  <c r="H64" i="3"/>
  <c r="J64" i="3" s="1"/>
  <c r="L63" i="3"/>
  <c r="J63" i="3"/>
  <c r="I63" i="3"/>
  <c r="H63" i="3"/>
  <c r="L62" i="3"/>
  <c r="J62" i="3"/>
  <c r="I62" i="3"/>
  <c r="H62" i="3"/>
  <c r="H61" i="3"/>
  <c r="H60" i="3"/>
  <c r="I59" i="3"/>
  <c r="H59" i="3"/>
  <c r="I58" i="3"/>
  <c r="H58" i="3"/>
  <c r="I57" i="3"/>
  <c r="H57" i="3"/>
  <c r="I56" i="3"/>
  <c r="H56" i="3"/>
  <c r="I55" i="3"/>
  <c r="H55" i="3"/>
  <c r="I54" i="3"/>
  <c r="H54" i="3"/>
  <c r="I53" i="3"/>
  <c r="H53" i="3"/>
  <c r="I52" i="3"/>
  <c r="H52" i="3"/>
  <c r="I51" i="3"/>
  <c r="H51" i="3"/>
  <c r="I50" i="3"/>
  <c r="H50" i="3"/>
  <c r="I49" i="3"/>
  <c r="H49" i="3"/>
  <c r="I48" i="3"/>
  <c r="H48" i="3"/>
  <c r="I47" i="3"/>
  <c r="H47" i="3"/>
  <c r="I46" i="3"/>
  <c r="H46" i="3"/>
  <c r="I45" i="3"/>
  <c r="H45" i="3"/>
  <c r="I44" i="3"/>
  <c r="H44" i="3"/>
  <c r="I43" i="3"/>
  <c r="H43" i="3"/>
  <c r="I42" i="3"/>
  <c r="H42" i="3"/>
  <c r="I41" i="3"/>
  <c r="H41" i="3"/>
  <c r="I40" i="3"/>
  <c r="H40" i="3"/>
  <c r="I39" i="3"/>
  <c r="H39" i="3"/>
  <c r="I38" i="3"/>
  <c r="H38" i="3"/>
  <c r="I37" i="3"/>
  <c r="H37" i="3"/>
  <c r="L36" i="3"/>
  <c r="I36" i="3"/>
  <c r="H36" i="3"/>
  <c r="J36" i="3" s="1"/>
  <c r="L35" i="3"/>
  <c r="J35" i="3"/>
  <c r="I35" i="3"/>
  <c r="H35" i="3"/>
  <c r="I34" i="3"/>
  <c r="H34" i="3"/>
  <c r="L33" i="3"/>
  <c r="I33" i="3"/>
  <c r="H33" i="3"/>
  <c r="J33" i="3" s="1"/>
  <c r="L32" i="3"/>
  <c r="J32" i="3"/>
  <c r="I32" i="3"/>
  <c r="H32" i="3"/>
  <c r="L31" i="3"/>
  <c r="I31" i="3"/>
  <c r="H31" i="3"/>
  <c r="J31" i="3" s="1"/>
  <c r="L30" i="3"/>
  <c r="J30" i="3"/>
  <c r="I30" i="3"/>
  <c r="H30" i="3"/>
  <c r="L29" i="3"/>
  <c r="I29" i="3"/>
  <c r="H29" i="3"/>
  <c r="J29" i="3" s="1"/>
  <c r="L28" i="3"/>
  <c r="I28" i="3"/>
  <c r="H28" i="3"/>
  <c r="L27" i="3"/>
  <c r="I27" i="3"/>
  <c r="H27" i="3"/>
  <c r="L26" i="3"/>
  <c r="I26" i="3"/>
  <c r="H26" i="3"/>
  <c r="L25" i="3"/>
  <c r="I25" i="3"/>
  <c r="H25" i="3"/>
  <c r="L24" i="3"/>
  <c r="I24" i="3"/>
  <c r="H24" i="3"/>
  <c r="J24" i="3" s="1"/>
  <c r="L23" i="3"/>
  <c r="J23" i="3"/>
  <c r="I23" i="3"/>
  <c r="H23" i="3"/>
  <c r="L22" i="3"/>
  <c r="I22" i="3"/>
  <c r="H22" i="3"/>
  <c r="J22" i="3" s="1"/>
  <c r="L21" i="3"/>
  <c r="J21" i="3"/>
  <c r="I21" i="3"/>
  <c r="H21" i="3"/>
  <c r="L20" i="3"/>
  <c r="I20" i="3"/>
  <c r="H20" i="3"/>
  <c r="L19" i="3"/>
  <c r="J19" i="3"/>
  <c r="I19" i="3"/>
  <c r="H19" i="3"/>
  <c r="L18" i="3"/>
  <c r="I18" i="3"/>
  <c r="H18" i="3"/>
  <c r="L17" i="3"/>
  <c r="I17" i="3"/>
  <c r="H17" i="3"/>
  <c r="L16" i="3"/>
  <c r="J16" i="3"/>
  <c r="I16" i="3"/>
  <c r="H16" i="3"/>
  <c r="L15" i="3"/>
  <c r="I15" i="3"/>
  <c r="H15" i="3"/>
  <c r="J15" i="3" s="1"/>
  <c r="L14" i="3"/>
  <c r="I14" i="3"/>
  <c r="H14" i="3"/>
  <c r="L13" i="3"/>
  <c r="I13" i="3"/>
  <c r="H13" i="3"/>
  <c r="J13" i="3" s="1"/>
  <c r="L12" i="3"/>
  <c r="J12" i="3"/>
  <c r="I12" i="3"/>
  <c r="H12" i="3"/>
  <c r="L11" i="3"/>
  <c r="I11" i="3"/>
  <c r="H11" i="3"/>
  <c r="J11" i="3" s="1"/>
  <c r="L10" i="3"/>
  <c r="J10" i="3"/>
  <c r="I10" i="3"/>
  <c r="H10" i="3"/>
  <c r="L9" i="3"/>
  <c r="I9" i="3"/>
  <c r="H9" i="3"/>
  <c r="J9" i="3" s="1"/>
</calcChain>
</file>

<file path=xl/sharedStrings.xml><?xml version="1.0" encoding="utf-8"?>
<sst xmlns="http://schemas.openxmlformats.org/spreadsheetml/2006/main" count="736" uniqueCount="618">
  <si>
    <t>COD_MATERIAL</t>
  </si>
  <si>
    <t>DESCRIÇÃO</t>
  </si>
  <si>
    <t>MATERIAL</t>
  </si>
  <si>
    <t>CARACTERÍSTICAS</t>
  </si>
  <si>
    <t>COTAÇÕES</t>
  </si>
  <si>
    <t xml:space="preserve">VALIDADE COTAÇÕES </t>
  </si>
  <si>
    <t>COMPLEMENTO</t>
  </si>
  <si>
    <t>COT_01</t>
  </si>
  <si>
    <t>COT_02</t>
  </si>
  <si>
    <t>COT_03</t>
  </si>
  <si>
    <t>VL_MÉDIO</t>
  </si>
  <si>
    <t>VAR_COT</t>
  </si>
  <si>
    <t>VAR&gt;35%</t>
  </si>
  <si>
    <t>REALIZADA EM:</t>
  </si>
  <si>
    <t>VENCE EM:</t>
  </si>
  <si>
    <t>MICRO-ONIBUS</t>
  </si>
  <si>
    <t>SPRINTER 312D - 16 LUGARES – 2001</t>
  </si>
  <si>
    <t>DUCATO ME 2.3 - 2011</t>
  </si>
  <si>
    <t>BOXER M330M 2.3 – 15 LUGARES – 2014</t>
  </si>
  <si>
    <t>AUTOMOVEL DE PASSAGEIRO</t>
  </si>
  <si>
    <t>CORSA HATCH 1.8 – 2007</t>
  </si>
  <si>
    <t>CRUZE LT 1.4 - 2023</t>
  </si>
  <si>
    <t>CRUZE SEDAN MIDNIGHT 1.4  – 2023</t>
  </si>
  <si>
    <t>MONTANA CONQUEST 1.8 – 2007</t>
  </si>
  <si>
    <t>MITSUBISHI – ASX HPE AWD 2.0 – 2020</t>
  </si>
  <si>
    <t>PALIO WEEKEND 1.4 – 2013</t>
  </si>
  <si>
    <t>LINEA ESSENCE 1.8 – 2015</t>
  </si>
  <si>
    <t>GRAND LIVINA 1.8 – 2014</t>
  </si>
  <si>
    <t>BLAZER COLINA 4X4 2.8 – 2008</t>
  </si>
  <si>
    <t>FURGAO</t>
  </si>
  <si>
    <t>SPRINTER 312D –  2001</t>
  </si>
  <si>
    <t>AMBULANCIA</t>
  </si>
  <si>
    <t>SPRINTER 312D – 2000</t>
  </si>
  <si>
    <t>ANEMOMETRO DIGITAL</t>
  </si>
  <si>
    <t>MDA 10 A</t>
  </si>
  <si>
    <t>BALANCA PESADORA</t>
  </si>
  <si>
    <t>ATÉ 30 KG</t>
  </si>
  <si>
    <t>BALANCA DE PRECISAO ELETRONICA</t>
  </si>
  <si>
    <t>05 KG</t>
  </si>
  <si>
    <t>BALANCA ANTROPOMETRICA</t>
  </si>
  <si>
    <t>200 KG</t>
  </si>
  <si>
    <t>BALANCA MECÂNICA</t>
  </si>
  <si>
    <t>300  KG</t>
  </si>
  <si>
    <t>BALANCA PARA CORRESPONDENCIA</t>
  </si>
  <si>
    <t>TACOMETRO FOTO DIGITAL</t>
  </si>
  <si>
    <t>MEDIDOR DE ATERRAMENTO</t>
  </si>
  <si>
    <t>MULTIMETRO DIGITAL</t>
  </si>
  <si>
    <t>600v</t>
  </si>
  <si>
    <t>NIVELADOR</t>
  </si>
  <si>
    <t>KIT MICROFONE .</t>
  </si>
  <si>
    <t>APARELHO TELEFONICO IP BÁSICO</t>
  </si>
  <si>
    <t>ASPIRADOR DE SECREÇÃO PORTÁTIL</t>
  </si>
  <si>
    <t>AUTOCLAVE ODONTOLOGICO</t>
  </si>
  <si>
    <t>CAMA HOSPITALAR</t>
  </si>
  <si>
    <t>MACA PARA EXAME CLINICO</t>
  </si>
  <si>
    <t xml:space="preserve">CARDIOVERSOR </t>
  </si>
  <si>
    <t>CARRINHO PARA CURATIVO</t>
  </si>
  <si>
    <t>CARRINHO PARA EQUIPAMENTOS HOSPITALARES</t>
  </si>
  <si>
    <t>DESFRIBILADOR CARDÍACO</t>
  </si>
  <si>
    <t>ELETROCARDIÓGRAFO</t>
  </si>
  <si>
    <t>MONITOR HOSPITALAR</t>
  </si>
  <si>
    <t>SUPORTE PARA BRAÇO</t>
  </si>
  <si>
    <t>SUPORTE PARA SORO</t>
  </si>
  <si>
    <t>CADEIRA DE RODAS</t>
  </si>
  <si>
    <t>FREDOM LUMINA</t>
  </si>
  <si>
    <t>TOK LEVE</t>
  </si>
  <si>
    <t>CAMERA DE SEGURANÇA</t>
  </si>
  <si>
    <t>TIPO 1</t>
  </si>
  <si>
    <t>TIPO 2</t>
  </si>
  <si>
    <t>TIPO 3</t>
  </si>
  <si>
    <t>TIPO 4</t>
  </si>
  <si>
    <t>TIPO 2 DOME</t>
  </si>
  <si>
    <t>CANCELA AUTOMATICA</t>
  </si>
  <si>
    <t>BARREIRA DE 3 A 5 MTS</t>
  </si>
  <si>
    <t>COFRE HBD - 60</t>
  </si>
  <si>
    <t>DETECTOR DE METAL</t>
  </si>
  <si>
    <t>LEITORA DE PROXIMIDADE</t>
  </si>
  <si>
    <t>PORTAL DETECTOR DE METAL</t>
  </si>
  <si>
    <t>SCANNER - EQUIPAMENTO DE INSPEÇÃO POR RAIOS X</t>
  </si>
  <si>
    <t>VALOR ATUALIZADO PELO IPCA-BRASIL (FGV)</t>
  </si>
  <si>
    <t>EXTRATOR DE SUCO TIPO INDUSTRIAL</t>
  </si>
  <si>
    <t>0,25 CV</t>
  </si>
  <si>
    <t>FOGAO TIPO INDUSTRIAL</t>
  </si>
  <si>
    <t>06 QUEIMADORES</t>
  </si>
  <si>
    <t>DESENGROSSADEIRA INDUSTRIAL</t>
  </si>
  <si>
    <t xml:space="preserve">LIQUIDIFICADOR. </t>
  </si>
  <si>
    <t>INDUSTRIAL - 4 LITROS</t>
  </si>
  <si>
    <t>NO BREAK</t>
  </si>
  <si>
    <t>6 KVA</t>
  </si>
  <si>
    <t>CADEIRA FIXA</t>
  </si>
  <si>
    <t>EM TECIDO, ESPALDAR MÉDIO, SEM BRAÇO</t>
  </si>
  <si>
    <t>CARRINHO PARA TRANSPORTE DE LIVROS</t>
  </si>
  <si>
    <t>RESIDENCIAL - 1 LITRO</t>
  </si>
  <si>
    <t>FOGAO TIPO RESIDENCIAL</t>
  </si>
  <si>
    <t>MICROONDAS</t>
  </si>
  <si>
    <t>25 L</t>
  </si>
  <si>
    <t>31 L</t>
  </si>
  <si>
    <t>FORNO ELETRICO</t>
  </si>
  <si>
    <t xml:space="preserve"> 44 L</t>
  </si>
  <si>
    <t xml:space="preserve"> 50 L</t>
  </si>
  <si>
    <t xml:space="preserve">FOGÃO. </t>
  </si>
  <si>
    <t xml:space="preserve"> 06 BOCAS INDUSTRIAL</t>
  </si>
  <si>
    <t>FILMADORA DE VIDEO</t>
  </si>
  <si>
    <t>CAIXA DE SOM SUBWOOFER 2.1</t>
  </si>
  <si>
    <t>CAIXA ACÚSTICA (DE EMBUTIR)</t>
  </si>
  <si>
    <t>LIXADEIRA DE FITA PROFISSIONAL</t>
  </si>
  <si>
    <t>19,498,70</t>
  </si>
  <si>
    <t>CALIBRADOR DE PNEUS</t>
  </si>
  <si>
    <t>COMPRESSOR DE AR</t>
  </si>
  <si>
    <t>INDUSTRIAL - 2 ESTÁGIO - 10CV - 175 PSI - 380 L</t>
  </si>
  <si>
    <t>INDUSTRIAL - 2 ESTÁGIO - 5CV - 175 PSI - 220 L</t>
  </si>
  <si>
    <t>MOTOCOMPRESSOR - 1 ESTÁGIO -  2CV - 120 PSI - 24 L</t>
  </si>
  <si>
    <t>ELEVADOR PARA VEICULOS</t>
  </si>
  <si>
    <t>COLADEIRA</t>
  </si>
  <si>
    <t>MOTO ESMERIL DE BANCADA</t>
  </si>
  <si>
    <t>ESMERILHADEIRA DE SINTA  COM COLETOR DE PÓ</t>
  </si>
  <si>
    <t>FURADEIRA .</t>
  </si>
  <si>
    <t>HORIZONTAL</t>
  </si>
  <si>
    <t>12v</t>
  </si>
  <si>
    <t>FURADEIRA DE BANCADA</t>
  </si>
  <si>
    <t>SCHULZ MODELO FSB-13P</t>
  </si>
  <si>
    <t>GRAMPEADOR PNEUMATICO</t>
  </si>
  <si>
    <t>KIT</t>
  </si>
  <si>
    <t>PARAFUSADEIRA + FURADEIRA DE IMPACTO</t>
  </si>
  <si>
    <t>LIXADEIRA .</t>
  </si>
  <si>
    <t>PORTÁTIL</t>
  </si>
  <si>
    <t>VERSÁTIL</t>
  </si>
  <si>
    <t>MACACO HIDRAULICO TIPO JACARE</t>
  </si>
  <si>
    <t>2 TONELADA</t>
  </si>
  <si>
    <t xml:space="preserve">CONTAINER PARA LIXO </t>
  </si>
  <si>
    <t>1200L</t>
  </si>
  <si>
    <t>1600L</t>
  </si>
  <si>
    <t>BEBEDOURO DE AGUA TIPO GARRAFAO</t>
  </si>
  <si>
    <t xml:space="preserve">CIRCULADOR DE AR  </t>
  </si>
  <si>
    <t>130W</t>
  </si>
  <si>
    <t>GRAMPEADORA INDUSTRIAL PARA TIPOGRAFIA</t>
  </si>
  <si>
    <t>CANTEADORA PARA PAPEL</t>
  </si>
  <si>
    <t>LAVADORA DE ROUPA</t>
  </si>
  <si>
    <t>SERRA CIRCULAR</t>
  </si>
  <si>
    <t>CARRINHO PARA PROCESSO</t>
  </si>
  <si>
    <t>MICROFONE DE MESA GOOSENECK</t>
  </si>
  <si>
    <t xml:space="preserve">REFRIGERADOR </t>
  </si>
  <si>
    <t>260 A 294L</t>
  </si>
  <si>
    <t>407 A 450L</t>
  </si>
  <si>
    <t>FONE DE OUVIDO</t>
  </si>
  <si>
    <t>1000L</t>
  </si>
  <si>
    <t>CONTAINER PARA LIXO</t>
  </si>
  <si>
    <t>360L</t>
  </si>
  <si>
    <t>CARRO ARMAZÉM .</t>
  </si>
  <si>
    <t>LAVADORA E SECADORA DE PISO .</t>
  </si>
  <si>
    <t>LAVADORA DE ALTA PRESSÃO .</t>
  </si>
  <si>
    <t>2500W</t>
  </si>
  <si>
    <t>2200W</t>
  </si>
  <si>
    <t xml:space="preserve">FRIGOBAR </t>
  </si>
  <si>
    <t>120L</t>
  </si>
  <si>
    <t>124L</t>
  </si>
  <si>
    <t>VAPORIZADOR /HIGIENIZADOR</t>
  </si>
  <si>
    <t>CARRINHO PARA CHA/CAFÉ</t>
  </si>
  <si>
    <t>FREEZER HORIZONTAL</t>
  </si>
  <si>
    <t>FREEZER VERTICAL</t>
  </si>
  <si>
    <t xml:space="preserve">ASPIRADOR DE PÓ </t>
  </si>
  <si>
    <t>20L</t>
  </si>
  <si>
    <t>50/60L</t>
  </si>
  <si>
    <t>CADEIRA GIRATORIA</t>
  </si>
  <si>
    <t xml:space="preserve"> TECIDO E COM BRAÇO - COR AZUL</t>
  </si>
  <si>
    <t xml:space="preserve"> TECIDO E SEM BRAÇO - COR AZUL</t>
  </si>
  <si>
    <t>COURVIM SEM BRAÇO - COR BEGE</t>
  </si>
  <si>
    <t>TECIDO E SEM BRAÇO - COR PRETA</t>
  </si>
  <si>
    <t xml:space="preserve"> TECIDO E SEM BRAÇO - COR VERDE</t>
  </si>
  <si>
    <t>LAVADORA</t>
  </si>
  <si>
    <t>POLIDORA DE MÁRMORE E GRANIDO PROFISSIONAL</t>
  </si>
  <si>
    <t>BEBEDOUROS REFRIGERADORES.</t>
  </si>
  <si>
    <t>ESCADA DE DOIS DEGRAUS</t>
  </si>
  <si>
    <t>CARRINHO DOBRÁVEL EM ALUMÍNIO</t>
  </si>
  <si>
    <t>TELA DE PROJEÇÃO RETRÁTIL</t>
  </si>
  <si>
    <t>CARRINHO PLATAFORMA EM ALUMÍNIO</t>
  </si>
  <si>
    <t>CARRINHO HIDRAULICO PARA PALETEIRA</t>
  </si>
  <si>
    <t xml:space="preserve">TELEVISOR </t>
  </si>
  <si>
    <t xml:space="preserve"> LED 32"</t>
  </si>
  <si>
    <t>LED 42"</t>
  </si>
  <si>
    <t>LED 43"</t>
  </si>
  <si>
    <t>LED 55"</t>
  </si>
  <si>
    <t>LED 58"</t>
  </si>
  <si>
    <t>LED 60"</t>
  </si>
  <si>
    <t>LUMINARIA PARA ESTUDIOS</t>
  </si>
  <si>
    <t>MAQUINA FECHADORA ELÉTRICA</t>
  </si>
  <si>
    <t>SUBWOOFER ATIVO</t>
  </si>
  <si>
    <t>CARRINHO PARA CARREGAR MATERIAL DE LIMPEZA</t>
  </si>
  <si>
    <t>ALICATE AMPERIMETRO DIGITAL</t>
  </si>
  <si>
    <t>1000V</t>
  </si>
  <si>
    <t>MEDIDOR DE DISTANCIA A LASER</t>
  </si>
  <si>
    <t>80M</t>
  </si>
  <si>
    <t>RADIO TRANSCEPTOR PORTATIL</t>
  </si>
  <si>
    <t>APARELHO ESTETOSCOPIO</t>
  </si>
  <si>
    <t>TAMBOR PARA CURATIVO</t>
  </si>
  <si>
    <t>APARELHO LARINGOSCOPIO</t>
  </si>
  <si>
    <t>ESPREMEDOR DE LARANJA</t>
  </si>
  <si>
    <t>ARMARIO ALTO EM MADEIRA</t>
  </si>
  <si>
    <t>1,56 X 0,80 X 0,50 M</t>
  </si>
  <si>
    <t>ARMARIO ESTANTE EM MADEIRA</t>
  </si>
  <si>
    <t xml:space="preserve">PORTA DE CORRER </t>
  </si>
  <si>
    <t>2,08 X 1,00 X 0,60 M</t>
  </si>
  <si>
    <t>2,10 X 0,85 X 0,50 M</t>
  </si>
  <si>
    <t>TORNO DE BANCADA PARA MADEIRA</t>
  </si>
  <si>
    <t>1100W</t>
  </si>
  <si>
    <t xml:space="preserve">TUPIA DE MESA POT </t>
  </si>
  <si>
    <t xml:space="preserve"> 5CV</t>
  </si>
  <si>
    <t xml:space="preserve">TUPIA DE LAMINACAO </t>
  </si>
  <si>
    <t>530W 30000RPM</t>
  </si>
  <si>
    <t>SERRA CIRCULAR DE 7.14</t>
  </si>
  <si>
    <t xml:space="preserve"> 5800RPM 1800W</t>
  </si>
  <si>
    <t>GRAVADOR DIGITAL</t>
  </si>
  <si>
    <t>CORTADOR DE GRAMA</t>
  </si>
  <si>
    <t>TUPIA DE COLUNA</t>
  </si>
  <si>
    <t>SCANNER DE PAREDE</t>
  </si>
  <si>
    <t>SERRA MÁRMORE 4</t>
  </si>
  <si>
    <t>3/8"</t>
  </si>
  <si>
    <t>PLAINA</t>
  </si>
  <si>
    <t>SERRA DE FITA</t>
  </si>
  <si>
    <t>SERRA POLICORTE</t>
  </si>
  <si>
    <t>SERRA TICO-TICO</t>
  </si>
  <si>
    <t>MESA DE CENTRO.</t>
  </si>
  <si>
    <t xml:space="preserve">TAMPO DE VIDRO </t>
  </si>
  <si>
    <t>TAMPO DE VIDRO 42X60X60</t>
  </si>
  <si>
    <t xml:space="preserve">EM MADEIRA </t>
  </si>
  <si>
    <t xml:space="preserve">EM MADEIRA COR PRETA </t>
  </si>
  <si>
    <t>GUILHOTINA PARA ESCRITORIO</t>
  </si>
  <si>
    <t>SERRA DE ESQUADRIA</t>
  </si>
  <si>
    <t xml:space="preserve">MESA PARA REFEITÓRIO/COPA </t>
  </si>
  <si>
    <t>TRANSFORMADOR DE VOLTAGEM</t>
  </si>
  <si>
    <t>1.0 KVA</t>
  </si>
  <si>
    <t xml:space="preserve">REFLETOR </t>
  </si>
  <si>
    <t>TIPO FRESNE</t>
  </si>
  <si>
    <t>TIPO ELIPSOIDAL</t>
  </si>
  <si>
    <t xml:space="preserve">ARMARIO BAIXO EM MADEIRA </t>
  </si>
  <si>
    <t xml:space="preserve">2 PORTAS </t>
  </si>
  <si>
    <t>3 PORTAS</t>
  </si>
  <si>
    <t xml:space="preserve">4 PORTAS EXECUTIVO </t>
  </si>
  <si>
    <t xml:space="preserve">4 PORTAS </t>
  </si>
  <si>
    <t>GAVETEIRO VOLANTE</t>
  </si>
  <si>
    <t>3 GAVETAS 
MEDIDA: 0,66 X 0,40 X 0,49 M</t>
  </si>
  <si>
    <t>ARQUIVO EM MADEIRA</t>
  </si>
  <si>
    <t>CEREJEIRA
1,55 X 0,90 X 0,50 M</t>
  </si>
  <si>
    <t>SWITCHER .</t>
  </si>
  <si>
    <t>BLACKMAGIC (ATEM M/E BROADCAST)</t>
  </si>
  <si>
    <t>01 face 400mm eixo redondo 04 facas, trifásico</t>
  </si>
  <si>
    <t xml:space="preserve">ARMARIO ALTO EM MADEIRA            </t>
  </si>
  <si>
    <t>4 PORTAS</t>
  </si>
  <si>
    <t>10 PORTAS</t>
  </si>
  <si>
    <t>SERRA CIRCULAR DE BANCADA</t>
  </si>
  <si>
    <t>MAZUTTI</t>
  </si>
  <si>
    <t>FONE DE OUVIDO .</t>
  </si>
  <si>
    <t>SONY MODELO MDR-7506</t>
  </si>
  <si>
    <t>MÁQUINA PICOTADEIRA</t>
  </si>
  <si>
    <t>Cotar pelo IPCA</t>
  </si>
  <si>
    <t>MAQUINA PARA CORTAR E REFILAR BOBINA</t>
  </si>
  <si>
    <t>GUILHOTINA INDUSTRIAL PARA PAPEL - 5.000,00</t>
  </si>
  <si>
    <t>GUILHOTINA INDUSTRIAL PARA PAPEL - 95.000,00</t>
  </si>
  <si>
    <t>GUILHOTINA INDUSTRIAL PARA PAPEL - 131.000,00</t>
  </si>
  <si>
    <t xml:space="preserve">ARMARIO ALTO EM METAL </t>
  </si>
  <si>
    <t>02 PORTAS</t>
  </si>
  <si>
    <t>04 PORTAS</t>
  </si>
  <si>
    <t>06 PORTAS</t>
  </si>
  <si>
    <t>MICROCOMPUTADOR DESKTOP - R$ 4.813,00</t>
  </si>
  <si>
    <t>OPTIPLEX 7010 DESKTOP TIPO II</t>
  </si>
  <si>
    <t>MICROCOMPUTADOR DESKTOP - R$ 2.540,00</t>
  </si>
  <si>
    <t>OPTIPLEX 7020 (Cotar pelo IPCA)</t>
  </si>
  <si>
    <t>MICROCOMPUTADOR DESKTOP - R$ 17,91</t>
  </si>
  <si>
    <t>OPTIPLEX 990 ULTRA USFF</t>
  </si>
  <si>
    <t xml:space="preserve"> COMPUTADOR WORKSTATION </t>
  </si>
  <si>
    <t>DELL Precision 5820</t>
  </si>
  <si>
    <t>MICROCOMPUTADOR DESKTOP - R$ 7.800,00</t>
  </si>
  <si>
    <t>OPTIPLEX 7070 TIPO II</t>
  </si>
  <si>
    <t>MICROCOMPUTADOR DESKTOP - R$ 3.526,00</t>
  </si>
  <si>
    <t>THINKCENTRE M920S</t>
  </si>
  <si>
    <t>MICROCOMPUTADOR DESKTOP - R$ 3.850,00</t>
  </si>
  <si>
    <t>OPTIPLEX 5050</t>
  </si>
  <si>
    <t>MICROCOMPUTADOR DESKTOP - R$ 1.156,08</t>
  </si>
  <si>
    <t>TABO TS 2000</t>
  </si>
  <si>
    <t>MICROCOMPUTADOR DESKTOP - R$ 5.900,00</t>
  </si>
  <si>
    <t>OPTIPLEX 9030 All-in-One</t>
  </si>
  <si>
    <t>MICROCOMPUTADOR DESKTOP - R$ 1.500,00</t>
  </si>
  <si>
    <t>HP - COMPAQ DC 7900 (Cotar pelo IPCA)</t>
  </si>
  <si>
    <t>MICROCOMPUTADOR DESKTOP - R$ 1.300,00</t>
  </si>
  <si>
    <t>MEGAWARE UPD/LX CTIS</t>
  </si>
  <si>
    <t>MICROCOMPUTADOR DESKTOP - R$ 2.500,00</t>
  </si>
  <si>
    <t>THERMALTAKE VERSA H22 PLUS (Cotar pelo IPCA)</t>
  </si>
  <si>
    <t xml:space="preserve">ESTRADO .                        </t>
  </si>
  <si>
    <t>CHUVEIRO ELÉTRICO</t>
  </si>
  <si>
    <t>04 TEMPERATURAS</t>
  </si>
  <si>
    <t>CAFETEIRA ELETRICA .</t>
  </si>
  <si>
    <t>FREEZER .</t>
  </si>
  <si>
    <t>OTOSCOPIO MD</t>
  </si>
  <si>
    <t>TERMOMETRO DIGITAL</t>
  </si>
  <si>
    <t>ESFIGMOMANÔMETRO ANERÓIDE</t>
  </si>
  <si>
    <t>APARELHO DE PRESSÃO DIGITAL</t>
  </si>
  <si>
    <t>OXIMETRO DE PULSO DIGITAL PORTÁTIL DE DEDO</t>
  </si>
  <si>
    <t>Rossmax</t>
  </si>
  <si>
    <t>AZUL (Básico)</t>
  </si>
  <si>
    <t>COM BALCÃO</t>
  </si>
  <si>
    <t>PULVERIZADOR MANUAL</t>
  </si>
  <si>
    <t>MARCA: GUARANY</t>
  </si>
  <si>
    <t>MARCA: LACTO</t>
  </si>
  <si>
    <t>EXTINTOR DE INCENDIO CO2</t>
  </si>
  <si>
    <t>EXTINTOR DE INCENDIO PQS</t>
  </si>
  <si>
    <t>CILINDRO PARA OXIGENIO</t>
  </si>
  <si>
    <t>10/15 LITROS</t>
  </si>
  <si>
    <t>CAMERA POLICROMATICA</t>
  </si>
  <si>
    <t>IP AXIS M3004-V.</t>
  </si>
  <si>
    <t>REANIMADOR MANUAL(AMBU)</t>
  </si>
  <si>
    <t>PRANCHA DE RESGATE</t>
  </si>
  <si>
    <t>COLAR CERVICAL, CONFECCIONADO EM POLIPROPILENO.</t>
  </si>
  <si>
    <t xml:space="preserve">IMOBILIZADOR DE CABEÇA IMPERMEÁVEL                        
                        </t>
  </si>
  <si>
    <t xml:space="preserve">COLETE CERVICAL (TIPO KED)			
			</t>
  </si>
  <si>
    <t xml:space="preserve">ENCERADEIRA INDUSTRIAL </t>
  </si>
  <si>
    <t>ALGEMA DE PULSO</t>
  </si>
  <si>
    <t>TALHA .</t>
  </si>
  <si>
    <t>KOCH 5T</t>
  </si>
  <si>
    <t>SANDUICHEIRA INDUSTRIAL COM CHAPA E PRENSA .</t>
  </si>
  <si>
    <t>CROYDON CHAPA LISA</t>
  </si>
  <si>
    <t xml:space="preserve"> BOLSA DE EMERGENCIA</t>
  </si>
  <si>
    <t>CARREGADOR DE BATERIA PARA VEICULO</t>
  </si>
  <si>
    <t>ESTABILIZADOR DE VOLTAGEM</t>
  </si>
  <si>
    <t xml:space="preserve">1270 VA/W </t>
  </si>
  <si>
    <t xml:space="preserve">PARAFUSADEIRA . </t>
  </si>
  <si>
    <t>MAKITA 12V</t>
  </si>
  <si>
    <t xml:space="preserve">PARAFUSADEIRA .
</t>
  </si>
  <si>
    <t>DEWALT 20V</t>
  </si>
  <si>
    <t>DEWALT DW268-B2</t>
  </si>
  <si>
    <t>MEDIDOR DE QUALIDADE DE ENERGIA</t>
  </si>
  <si>
    <t>POSTE DE ILUMINACAO PUBLICA</t>
  </si>
  <si>
    <t>POSTE BALIZADOR PUBLICO</t>
  </si>
  <si>
    <t>LUMINARIA LED PUBLICA 200W</t>
  </si>
  <si>
    <t>PRENSA HIDRAULICA</t>
  </si>
  <si>
    <t>PERFURADOR DE EXPIRAIS</t>
  </si>
  <si>
    <t>PRENSA FOTOLITOGRAFICA</t>
  </si>
  <si>
    <t xml:space="preserve"> MAQUINA POLICORTE			
</t>
  </si>
  <si>
    <t>SOPRADOR TERMICO</t>
  </si>
  <si>
    <t xml:space="preserve"> ALICATE .</t>
  </si>
  <si>
    <t>CABO ISOLADO PARA CLIMPAGEM DE CABO LÓGICO</t>
  </si>
  <si>
    <t>QG PARA COMPRENSÃO</t>
  </si>
  <si>
    <t>ENCADERNADORA MANUAL PARA ESPIRAL</t>
  </si>
  <si>
    <t xml:space="preserve"> MOTO-SERRA PARA MADEIRA			
			</t>
  </si>
  <si>
    <t>GUILHOTINA INDUSTRIAL PARA PAPEL - MARCA IDEAL</t>
  </si>
  <si>
    <t>GUILHOTINA INDUSTRIAL PARA PAPEL - MARCA GUARANY</t>
  </si>
  <si>
    <t>CAVALETE PARA VEICULO</t>
  </si>
  <si>
    <t>ESMERILHADEIRA ANGULAR</t>
  </si>
  <si>
    <t>SERRA (KIT SERRA TICO TICO)</t>
  </si>
  <si>
    <t>PISTA DE ROLETE</t>
  </si>
  <si>
    <t>PALETEIRA MANUAL</t>
  </si>
  <si>
    <t xml:space="preserve"> ESMERILHADEIRA ANGULAR DE 4.1/2" 720W			
			</t>
  </si>
  <si>
    <t>MAQUINA PERFURADORA</t>
  </si>
  <si>
    <t>MÁQUINA SELADORA/EMPACOTADORA</t>
  </si>
  <si>
    <t>ESMERILHADEIRA ANGULAR DE 7" 2.200W</t>
  </si>
  <si>
    <t>FURADEIRA DE 3/8 450W</t>
  </si>
  <si>
    <t>ESCADA DE ABRIR</t>
  </si>
  <si>
    <t>SERRA CIRCULAR DE 7.1/4" 5800RPM 1800W</t>
  </si>
  <si>
    <t>BETONEIRA .</t>
  </si>
  <si>
    <t xml:space="preserve">LIXADEIRA ORBITAL 1.6MM .			
			</t>
  </si>
  <si>
    <t>PINADOR PNEUMATICO 15-50MM
18GA</t>
  </si>
  <si>
    <t xml:space="preserve"> APARADOR DE GRAMA ELETRICO</t>
  </si>
  <si>
    <t xml:space="preserve"> BOMBA DE DRENAGEM DE TETO TIPO SPLIT           
                        </t>
  </si>
  <si>
    <t>VALOR ASI: 6900,00</t>
  </si>
  <si>
    <t xml:space="preserve">BOMBA DE DRENAGEM DE TETO TIPO SPLIT			
			</t>
  </si>
  <si>
    <t>VALOR ASI: 1730,96</t>
  </si>
  <si>
    <t xml:space="preserve">BOMBA DE DRENAGEM DE TETO TIPO SPLIT                        
                        </t>
  </si>
  <si>
    <t>VALOR ASI: 2.000 Á 3.000</t>
  </si>
  <si>
    <t xml:space="preserve">COMPRESSOR HELMETICO			
			</t>
  </si>
  <si>
    <t>APARELHO DE TESTE DE CONECTIVIDADE</t>
  </si>
  <si>
    <t>MICROCOMPUTADOR PORTATIL NOTEBOOK - 3.406,70</t>
  </si>
  <si>
    <t>HP - ELITEBOOK 8440p</t>
  </si>
  <si>
    <t>MICROCOMPUTADOR PORTATIL NOTEBOOK - 1.400,00</t>
  </si>
  <si>
    <t>HP - ELITEBOOK 8460p</t>
  </si>
  <si>
    <t>MICROCOMPUTADOR PORTATIL NOTEBOOK - 7.150,00</t>
  </si>
  <si>
    <t>HP - ELITEBOOK REVOLVE 810 G2</t>
  </si>
  <si>
    <t>MICROCOMPUTADOR PORTATIL NOTEBOOK - 3.230,00</t>
  </si>
  <si>
    <t>ProBook 640 G2</t>
  </si>
  <si>
    <t>MICROCOMPUTADOR PORTATIL NOTEBOOK - 14.500,00</t>
  </si>
  <si>
    <t>ZBook 17</t>
  </si>
  <si>
    <t>MICROCOMPUTADOR PORTATIL NOTEBOOK - R$ 5.115,00</t>
  </si>
  <si>
    <t>(LATITUDE 3480) E (LATITUDE 3410)</t>
  </si>
  <si>
    <t>R$ 2.320,00</t>
  </si>
  <si>
    <t>MICROCOMPUTADOR PORTATIL NOTEBOOK - R$ 9.130,00</t>
  </si>
  <si>
    <t>LATITUDE 5400</t>
  </si>
  <si>
    <t xml:space="preserve"> PARAFUSADEIRA (TEKS)			
			</t>
  </si>
  <si>
    <t xml:space="preserve">APARADOR DE CERCA VIVA ..			
			</t>
  </si>
  <si>
    <t>CARRINHO PARA TRANSPORTE DE ÁGUA</t>
  </si>
  <si>
    <t>APARELHO DE AR CONDICIONADO</t>
  </si>
  <si>
    <t xml:space="preserve">PORTATIL </t>
  </si>
  <si>
    <t xml:space="preserve">DE PAREDE </t>
  </si>
  <si>
    <t>REGULADOR DE PRESSAO PARA CILINDRO</t>
  </si>
  <si>
    <t xml:space="preserve">CORTADOR DE GRAMA A GASOLINA			
			</t>
  </si>
  <si>
    <t>CONJUNTO DE LIXEIRA CILINDRICA</t>
  </si>
  <si>
    <t xml:space="preserve">BALANCA MECÂNICA, BASE: PLATAFORMA DE FERRO FUNDIDO, COM CAPACIDADE: 300KGX100G			
			</t>
  </si>
  <si>
    <t>FERRO DE PASSAR ROUPA</t>
  </si>
  <si>
    <t>FOGÃO INDUSTRIAL</t>
  </si>
  <si>
    <t>BATEDEIRA DE BOLO TIPO DOMESTICA</t>
  </si>
  <si>
    <t>CARRINHO PARA TRANSPORTE DE LIXO</t>
  </si>
  <si>
    <t>LAVADORA PROFISSIONAL DE ESTOFADO E CARPETES COM ESCOVA .</t>
  </si>
  <si>
    <t>FREEZER</t>
  </si>
  <si>
    <t>CLIMATIZADOR DE AR</t>
  </si>
  <si>
    <t xml:space="preserve"> CHUVEIRO ELÉTRICO (04 TEMPERATURAS)</t>
  </si>
  <si>
    <t xml:space="preserve"> MARMITEIRO ELETRICO PARA 100 MARMITAS</t>
  </si>
  <si>
    <t>SERVIDOR PARA PROCESSAMENTO DE DADOS</t>
  </si>
  <si>
    <t>FLASH PARA CAMERA FOTOGRAFICA</t>
  </si>
  <si>
    <t>CONJUNTO PARA TELEPROMPTER</t>
  </si>
  <si>
    <t>SCANNER DE MESA - R$ 500,00</t>
  </si>
  <si>
    <t>FUJITSU FI-6670</t>
  </si>
  <si>
    <t>SCANNER DE MESA - R$ 23.300,00</t>
  </si>
  <si>
    <t>KODAK I3400</t>
  </si>
  <si>
    <t>SCANNER DE MESA</t>
  </si>
  <si>
    <t>KODAK I2620</t>
  </si>
  <si>
    <t>MISTURADOR DE VÍDEO</t>
  </si>
  <si>
    <t>COLETOR DE DADOS</t>
  </si>
  <si>
    <t>COMPEX CPX 8000</t>
  </si>
  <si>
    <t>RACK PARA EQUIPAMENTOS DE TI</t>
  </si>
  <si>
    <t>TAMANHO MÉDIO</t>
  </si>
  <si>
    <t>BÁSICO</t>
  </si>
  <si>
    <t xml:space="preserve"> ARQUIVO EM AÇO</t>
  </si>
  <si>
    <t>QUADRO BRANCO</t>
  </si>
  <si>
    <t>BANCO DE ESPERA EM MADEIRA</t>
  </si>
  <si>
    <t>QUADRO DE AVISO</t>
  </si>
  <si>
    <t>MESA PARA ESCRITORIO .</t>
  </si>
  <si>
    <t xml:space="preserve">COM GAVETEIRO </t>
  </si>
  <si>
    <t xml:space="preserve">BIBLIOTECA </t>
  </si>
  <si>
    <t>0,72 X 0,80 X 0,60 M</t>
  </si>
  <si>
    <t>0,73 X 0,75 X 0,63 M</t>
  </si>
  <si>
    <t>MESA PARA REUNIÃO</t>
  </si>
  <si>
    <t>TARRACHA 1/2 A 2" DE CATRACA</t>
  </si>
  <si>
    <t xml:space="preserve"> MAQUINA DE SOLDA ELETRICA			
			</t>
  </si>
  <si>
    <t>V8</t>
  </si>
  <si>
    <t>SMARTPHONE</t>
  </si>
  <si>
    <t>MOTOROLA G73</t>
  </si>
  <si>
    <t>CARRINHO .</t>
  </si>
  <si>
    <t>Tipo armazem, capacidade de 400kg</t>
  </si>
  <si>
    <t>WEB CAM</t>
  </si>
  <si>
    <t>COTADA COM SEMELHANTES</t>
  </si>
  <si>
    <t>MICROFONE DE EXPANSÃO</t>
  </si>
  <si>
    <t>COLETOR BIOMETRICO, (COM INSTALAÇÃO)</t>
  </si>
  <si>
    <t>LUMINADOR DE LED</t>
  </si>
  <si>
    <t xml:space="preserve">BOTIJAO . </t>
  </si>
  <si>
    <t xml:space="preserve">GRAMPEADOR DE MESA SEMIINDUSTRIAL </t>
  </si>
  <si>
    <t xml:space="preserve"> KIT EXTENSOR HDMI -(MODELO NDS-652HD-RX)</t>
  </si>
  <si>
    <t xml:space="preserve">ARMARIO BAIXO EM MADEIRA - 3 PORTAS                        
                        </t>
  </si>
  <si>
    <t>KIT EXTENSOR HDMI -(NDS-SW1-RX)</t>
  </si>
  <si>
    <t xml:space="preserve">PENTA SCANNER </t>
  </si>
  <si>
    <t xml:space="preserve">IMPRESSORA TIPO PLOTTER </t>
  </si>
  <si>
    <t xml:space="preserve">SOLUÇÃO CODEC DE
VIDEOCONFERÊNCIA </t>
  </si>
  <si>
    <t>LUMINARIA DE PEDESTAL</t>
  </si>
  <si>
    <t xml:space="preserve">MESA DE COMANDO                        </t>
  </si>
  <si>
    <t>CÂMERA DE VIDEOCONFERÊNCIA</t>
  </si>
  <si>
    <t xml:space="preserve">PONTO DE ACESSO (ACESS POINT)                        </t>
  </si>
  <si>
    <t xml:space="preserve">ARMARIO BAIXO EM MADEIRA - 4 PORTAS                        </t>
  </si>
  <si>
    <t xml:space="preserve">DIMMERBOX  </t>
  </si>
  <si>
    <t xml:space="preserve">EXTRATOR DE SUCO TIPO DOMESTICO                        </t>
  </si>
  <si>
    <t>LOUSA INTERATIVA SMART BOARD SB 640</t>
  </si>
  <si>
    <t xml:space="preserve">ARMARIO BAIXO EM MADEIRA - 2 PORTAS                        </t>
  </si>
  <si>
    <t>MICROFONE ¿</t>
  </si>
  <si>
    <t>MONITOR DE VIDEO .</t>
  </si>
  <si>
    <t>LG - L17NS - 7 (17 POLEGADAS)</t>
  </si>
  <si>
    <t>19 POLEGADAS</t>
  </si>
  <si>
    <t>SYNCMASTER 215TW</t>
  </si>
  <si>
    <t>AOC - E2243FWK</t>
  </si>
  <si>
    <t>HP - LA2405wg</t>
  </si>
  <si>
    <t>PHILIPS - 231B4LPYCB</t>
  </si>
  <si>
    <t>DELL - P2722H</t>
  </si>
  <si>
    <t>PHILIPS - 271P4QPJKEB</t>
  </si>
  <si>
    <t>1588.66</t>
  </si>
  <si>
    <t>MONITOR TV 46 E 48 PL</t>
  </si>
  <si>
    <t>LG - 55LV75D-B</t>
  </si>
  <si>
    <t>LG - 49VL5B</t>
  </si>
  <si>
    <t xml:space="preserve">POLTRONA PARA AUDITORIO                        
</t>
  </si>
  <si>
    <t xml:space="preserve">ARMARIO ALTO EM METAL - 02 PORTAS </t>
  </si>
  <si>
    <t>ARMARIO ALTO EM METAL - 04 PORTAS</t>
  </si>
  <si>
    <t>ARMARIO ALTO EM METAL - 06 PORTAS</t>
  </si>
  <si>
    <t xml:space="preserve"> CAIXA ACUSTICA			
			</t>
  </si>
  <si>
    <t xml:space="preserve">ACOPLADA </t>
  </si>
  <si>
    <t>CAIXA ACUSTICA</t>
  </si>
  <si>
    <t>QSC K10.2</t>
  </si>
  <si>
    <t>TELA ELETRICA,  DE PROJECAO RETRATIL</t>
  </si>
  <si>
    <t>MICROFONE DE LAPELA</t>
  </si>
  <si>
    <t>GAVETEIRO FIXO</t>
  </si>
  <si>
    <t xml:space="preserve">SUPORTE PARA BOBINA DE PAPEL                        
                        </t>
  </si>
  <si>
    <t>ESTANTE EM MADEIRA - 1,20 X 1,10 X 0,35 M</t>
  </si>
  <si>
    <t>ESTANTE EM MADEIRA - 1,90 X 1,16 X 0,45 M</t>
  </si>
  <si>
    <t>ESTANTE EM MADEIRA - 2,10 X 0,85 X 0,50 M</t>
  </si>
  <si>
    <t>LEITOR DE CÓDIGO DE BARRA</t>
  </si>
  <si>
    <t>(HS 950)</t>
  </si>
  <si>
    <t xml:space="preserve"> CIPHERLAB 1266</t>
  </si>
  <si>
    <t xml:space="preserve">ESTACAO DE TRABALHO                        
                        </t>
  </si>
  <si>
    <t xml:space="preserve">PAINEL FRONTAL DIVISORIA EM MDF
                        </t>
  </si>
  <si>
    <t>SWITCH ACESSO</t>
  </si>
  <si>
    <t>(modelo 9200)</t>
  </si>
  <si>
    <t xml:space="preserve">BANCO DE ESPERA EM MADEIRA                        </t>
  </si>
  <si>
    <t>PONTO DE ACESSO (ACESS POINT)</t>
  </si>
  <si>
    <t xml:space="preserve">MACA                         
                        </t>
  </si>
  <si>
    <t xml:space="preserve">COLCHÃO                        </t>
  </si>
  <si>
    <t>PARAFUSADEIRA DRYWALL .</t>
  </si>
  <si>
    <t>POLTRONA RECLINÁVEL</t>
  </si>
  <si>
    <t xml:space="preserve">POLTRONA GIRATORIA                       
                        </t>
  </si>
  <si>
    <t xml:space="preserve">DIRETOR EM COURO </t>
  </si>
  <si>
    <t>IMPRESSORA MODELO XEROX</t>
  </si>
  <si>
    <t>SOFÁ</t>
  </si>
  <si>
    <t>1 Acento</t>
  </si>
  <si>
    <t>2 Acentos (TECIDO)</t>
  </si>
  <si>
    <t>TRIPE.</t>
  </si>
  <si>
    <t>MANFROTTO</t>
  </si>
  <si>
    <t>DIGIPOD</t>
  </si>
  <si>
    <t>PARA ESTUDIO</t>
  </si>
  <si>
    <t xml:space="preserve"> POLTRONA GIRATORIA</t>
  </si>
  <si>
    <t xml:space="preserve">ESPALDAR MÉDIO </t>
  </si>
  <si>
    <t>AZUL</t>
  </si>
  <si>
    <t xml:space="preserve">MARROM </t>
  </si>
  <si>
    <t xml:space="preserve">2500, COURO </t>
  </si>
  <si>
    <t>MESA DIGITALIZADORA  - TAMANHO A3 PARA SCANNER</t>
  </si>
  <si>
    <t xml:space="preserve">SOFÁ </t>
  </si>
  <si>
    <t>2 Lugares Courvin</t>
  </si>
  <si>
    <t>3 Lugares Courvin</t>
  </si>
  <si>
    <t xml:space="preserve">MESA PARA REUNIÃO </t>
  </si>
  <si>
    <t xml:space="preserve">74 X 120 </t>
  </si>
  <si>
    <t>MONITOR .</t>
  </si>
  <si>
    <t>DATAVIDEO</t>
  </si>
  <si>
    <t>(R$ 1.225,00) 7 POLEGADAS</t>
  </si>
  <si>
    <t>SONY - PVM-A250</t>
  </si>
  <si>
    <t xml:space="preserve">BANCO         </t>
  </si>
  <si>
    <t>com cabideiro</t>
  </si>
  <si>
    <t>vestiário</t>
  </si>
  <si>
    <t xml:space="preserve">MESA PARA REFEITÓRIO/COPA                     </t>
  </si>
  <si>
    <t xml:space="preserve">ARQUIVO EM MADEIRA                        </t>
  </si>
  <si>
    <t>SONY NEX-FS100N</t>
  </si>
  <si>
    <t>MESA DE SOM DIGITAL</t>
  </si>
  <si>
    <t xml:space="preserve">16 CANAIS </t>
  </si>
  <si>
    <t xml:space="preserve">MESA DE SOM ANALOGICA                   </t>
  </si>
  <si>
    <t>24 CANAIS</t>
  </si>
  <si>
    <t xml:space="preserve">COLETOR DE MESA - BIOMINI, SUPREMA. (COM INSTALAÇÃO)			</t>
  </si>
  <si>
    <t xml:space="preserve">ESTANTE EM METAL                         </t>
  </si>
  <si>
    <t>MEDIDA: 2,03 X 1,05 X 0,55 M</t>
  </si>
  <si>
    <t>CREDENZA</t>
  </si>
  <si>
    <t>SWITCH TOR TOPO DE RACK ITEM</t>
  </si>
  <si>
    <t xml:space="preserve">MINI TRILHO . </t>
  </si>
  <si>
    <t>CONVERSOR .</t>
  </si>
  <si>
    <t>CARREGADOR DE BATERIA</t>
  </si>
  <si>
    <t xml:space="preserve">CONTROLE REMOTO DE CÂMERA                        </t>
  </si>
  <si>
    <t xml:space="preserve">DISTRIBUIDOR                       </t>
  </si>
  <si>
    <t xml:space="preserve">CAMERA PROFISSIONAL                        </t>
  </si>
  <si>
    <t xml:space="preserve">CARRINHO PARA TRANSPORTE DE LIVROS                       </t>
  </si>
  <si>
    <t xml:space="preserve">CARRINHO TIPO PALLET                     </t>
  </si>
  <si>
    <t>2. 359,90</t>
  </si>
  <si>
    <t>EQUIPAMENTO DE GERENCIAMENTO UNIFICADO DE AMEAÇAS UTM - UTM Fortinet FortiGate FG-101F</t>
  </si>
  <si>
    <t>TAPETE COMUM LISO</t>
  </si>
  <si>
    <t xml:space="preserve">PORTA .                       </t>
  </si>
  <si>
    <t xml:space="preserve">AMPLIFICADOR DE SOM                        </t>
  </si>
  <si>
    <t xml:space="preserve">PINCA HEMOSTATICA RETA KELLY			
			</t>
  </si>
  <si>
    <t>PINCA HEMOSTATICA CURVA KELLY</t>
  </si>
  <si>
    <t>POLTRONA FIXA</t>
  </si>
  <si>
    <t>COR AZUL, EM TECIDO, ESPALDAR MEDIO</t>
  </si>
  <si>
    <t>MODELO: BARCELONA</t>
  </si>
  <si>
    <t>SOFÁ / POLTRONA</t>
  </si>
  <si>
    <t>MODELO: BERGER</t>
  </si>
  <si>
    <t>MODELO: KIKO SERGIO RODRIGUES</t>
  </si>
  <si>
    <t>PINCA MICRO DENTE DE RATO CURVA</t>
  </si>
  <si>
    <t>APARELHO GLICOSIMETRO</t>
  </si>
  <si>
    <t>TESOURA KELLY RETA 14CM</t>
  </si>
  <si>
    <t xml:space="preserve"> TESOURA KELLY CURVA 14CM</t>
  </si>
  <si>
    <t>SUPORTE PARA HAMPER</t>
  </si>
  <si>
    <t>COFRE EM ACO DE CHAO</t>
  </si>
  <si>
    <t xml:space="preserve">MESA DE RETOQUE                        </t>
  </si>
  <si>
    <t xml:space="preserve">IMPRESSORA TÉRMICA                       </t>
  </si>
  <si>
    <t xml:space="preserve">TERMOMETRO DIGITAL                     </t>
  </si>
  <si>
    <t xml:space="preserve">PAR DE ANTENAS + CENTRAL ANTIFURTO                        </t>
  </si>
  <si>
    <t>CARRO ELEVADOR</t>
  </si>
  <si>
    <t>MARTELETE PERFURADOR/ROMPEDOR</t>
  </si>
  <si>
    <t>Está cotado com esse nome: MARTELETE COMBINADO SDS PLUS</t>
  </si>
  <si>
    <t>DEWALT</t>
  </si>
  <si>
    <t xml:space="preserve">SERRA TICO-TICO                        </t>
  </si>
  <si>
    <t>GTS700</t>
  </si>
  <si>
    <t xml:space="preserve">ESMERILHADEIRA ANGULAR DE 7 2.200W                        </t>
  </si>
  <si>
    <t xml:space="preserve"> SERRA TICO-TICO			
</t>
  </si>
  <si>
    <t>VVR 220V -700WDW DW 31K</t>
  </si>
  <si>
    <t>SERRA ESQUADRIA 10 1650W</t>
  </si>
  <si>
    <t>APARELHO DE SOM</t>
  </si>
  <si>
    <t>MINI SYSTEM</t>
  </si>
  <si>
    <t>RADIO GRAVADOR</t>
  </si>
  <si>
    <t>BOOMBOX</t>
  </si>
  <si>
    <t>RADIO AM / FM</t>
  </si>
  <si>
    <t>TANQUE PARA CHAPA DE REVELACAO</t>
  </si>
  <si>
    <t>APARELHO DE VIDEO CASSETE</t>
  </si>
  <si>
    <t>(DVD - BLU-RAY)</t>
  </si>
  <si>
    <t>BANCADA DE TRABALHO .</t>
  </si>
  <si>
    <t>ABERTA</t>
  </si>
  <si>
    <t>FECHADA, 04 PORTAS</t>
  </si>
  <si>
    <t>GRAVADORA DE CD INTERNA</t>
  </si>
  <si>
    <t>PORTA-BOLSAS EM MDF</t>
  </si>
  <si>
    <t>IMPRESSORA DE CRACHA E CARTAO</t>
  </si>
  <si>
    <t>CATRACA ELETRÔNICA</t>
  </si>
  <si>
    <t xml:space="preserve"> </t>
  </si>
  <si>
    <t>BALCAO EM MADEIRA</t>
  </si>
  <si>
    <t>TELA DE PROJEÇÃO - ELETRICA</t>
  </si>
  <si>
    <t>AMPLIFICADOR DE SOM</t>
  </si>
  <si>
    <t xml:space="preserve"> 4 OHM_ 8 Canais _150 W - IPCA_BRASIL (FVG)</t>
  </si>
  <si>
    <t>240L</t>
  </si>
  <si>
    <t>PERFURADOR ELETRICO PARA ESPIRAL</t>
  </si>
  <si>
    <t>MARMITEIRO ELETRICO PARA 100 MARMITAS</t>
  </si>
  <si>
    <t>ESTANTE EM MADEIRA</t>
  </si>
  <si>
    <t>1,90 X 1,16 X 0,45 M</t>
  </si>
  <si>
    <t>1,20 X 1,10 X 0,35 M</t>
  </si>
  <si>
    <t>2 PORTAS (90X50X60CM)</t>
  </si>
  <si>
    <t>2 PORTAS (2,08 X 1,00 X 0,60 M)</t>
  </si>
  <si>
    <t>1 PORTA</t>
  </si>
  <si>
    <t>CLIMATIZADOR DE AR .</t>
  </si>
  <si>
    <t xml:space="preserve">LAVADORA PROFISSIONAL </t>
  </si>
  <si>
    <t xml:space="preserve"> ESTOFADO E CARPETES COM ESCOVA .</t>
  </si>
  <si>
    <t>TERMOMERTRO INFRAVERMELHO - MODELO: E127</t>
  </si>
  <si>
    <t>INFANTIL - TH1027</t>
  </si>
  <si>
    <t xml:space="preserve">LIXEIRA CILINDRICA			
			</t>
  </si>
  <si>
    <t>EXTRATOR DE SUCO TIPO DOMESTICO</t>
  </si>
  <si>
    <t xml:space="preserve">BALCAO PARA RECEPCAO                        
                        </t>
  </si>
  <si>
    <t xml:space="preserve">TESTADOR DE CABOS UTP-STP E COAXIL			
		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</si>
</sst>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&quot;/&quot;mm&quot;/&quot;yyyy"/>
    <numFmt numFmtId="165" formatCode="_-* #,##0.00_-;\-* #,##0.00_-;_-* \-??_-;_-@"/>
    <numFmt numFmtId="166" formatCode="d/m/yyyy"/>
    <numFmt numFmtId="167" formatCode="dd/mm/yyyy"/>
  </numFmts>
  <fonts count="13" x14ac:knownFonts="1">
    <font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</font>
    <font>
      <sz val="11"/>
      <color rgb="FFFFC000"/>
      <name val="Calibri"/>
    </font>
    <font>
      <sz val="16"/>
      <color rgb="FFFF0000"/>
      <name val="Calibri"/>
    </font>
    <font>
      <sz val="11"/>
      <name val="Calibri"/>
    </font>
    <font>
      <sz val="12"/>
      <color rgb="FF000000"/>
      <name val="Calibri"/>
    </font>
    <font>
      <sz val="10"/>
      <color theme="1"/>
      <name val="Calibri"/>
    </font>
    <font>
      <sz val="11"/>
      <color rgb="FF000000"/>
      <name val="Calibri"/>
    </font>
    <font>
      <sz val="12"/>
      <color theme="1"/>
      <name val="Calibri"/>
    </font>
    <font>
      <sz val="11"/>
      <color theme="1"/>
      <name val="Calibri"/>
      <scheme val="minor"/>
    </font>
    <font>
      <sz val="9"/>
      <color rgb="FF777777"/>
      <name val="Trebuchet MS"/>
    </font>
    <font>
      <b/>
      <sz val="12"/>
      <color rgb="FF0070C0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FFC000"/>
        <bgColor rgb="FFFFC000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8DB3E2"/>
        <bgColor rgb="FF8DB3E2"/>
      </patternFill>
    </fill>
    <fill>
      <patternFill patternType="solid">
        <fgColor rgb="FF00FF00"/>
        <bgColor rgb="FF00FF00"/>
      </patternFill>
    </fill>
    <fill>
      <patternFill patternType="solid">
        <fgColor rgb="FFFFFF00"/>
        <bgColor rgb="FFFFFF00"/>
      </patternFill>
    </fill>
    <fill>
      <patternFill patternType="solid">
        <fgColor theme="6"/>
        <bgColor theme="6"/>
      </patternFill>
    </fill>
    <fill>
      <patternFill patternType="solid">
        <fgColor rgb="FFFFFFFF"/>
        <bgColor rgb="FFFFFFFF"/>
      </patternFill>
    </fill>
  </fills>
  <borders count="51">
    <border>
      <left/>
      <right/>
      <top/>
      <bottom/>
      <diagonal/>
    </border>
    <border>
      <left style="thick">
        <color rgb="FF0070C0"/>
      </left>
      <right style="thick">
        <color rgb="FF0070C0"/>
      </right>
      <top style="thick">
        <color rgb="FF0070C0"/>
      </top>
      <bottom/>
      <diagonal/>
    </border>
    <border>
      <left/>
      <right/>
      <top/>
      <bottom/>
      <diagonal/>
    </border>
    <border>
      <left style="medium">
        <color rgb="FF000000"/>
      </left>
      <right/>
      <top style="thick">
        <color rgb="FF0070C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4" borderId="5" xfId="0" applyFont="1" applyFill="1" applyBorder="1" applyAlignment="1">
      <alignment vertical="center"/>
    </xf>
    <xf numFmtId="0" fontId="2" fillId="4" borderId="5" xfId="0" applyFont="1" applyFill="1" applyBorder="1" applyAlignment="1">
      <alignment vertical="center"/>
    </xf>
    <xf numFmtId="0" fontId="2" fillId="4" borderId="4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4" borderId="6" xfId="0" applyFont="1" applyFill="1" applyBorder="1" applyAlignment="1">
      <alignment vertical="center"/>
    </xf>
    <xf numFmtId="0" fontId="2" fillId="4" borderId="7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3" borderId="9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right" vertical="center"/>
    </xf>
    <xf numFmtId="0" fontId="2" fillId="0" borderId="8" xfId="0" applyFont="1" applyBorder="1" applyAlignment="1">
      <alignment vertical="center"/>
    </xf>
    <xf numFmtId="0" fontId="4" fillId="4" borderId="12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left" vertical="center"/>
    </xf>
    <xf numFmtId="1" fontId="2" fillId="6" borderId="21" xfId="0" applyNumberFormat="1" applyFont="1" applyFill="1" applyBorder="1" applyAlignment="1">
      <alignment horizontal="left" vertical="center"/>
    </xf>
    <xf numFmtId="4" fontId="6" fillId="0" borderId="22" xfId="0" applyNumberFormat="1" applyFont="1" applyBorder="1" applyAlignment="1">
      <alignment horizontal="center" vertical="center" shrinkToFit="1"/>
    </xf>
    <xf numFmtId="4" fontId="6" fillId="0" borderId="23" xfId="0" applyNumberFormat="1" applyFont="1" applyBorder="1" applyAlignment="1">
      <alignment horizontal="center" vertical="center" shrinkToFit="1"/>
    </xf>
    <xf numFmtId="4" fontId="2" fillId="0" borderId="20" xfId="0" applyNumberFormat="1" applyFont="1" applyBorder="1" applyAlignment="1">
      <alignment horizontal="right" vertical="center"/>
    </xf>
    <xf numFmtId="10" fontId="2" fillId="0" borderId="24" xfId="0" applyNumberFormat="1" applyFont="1" applyBorder="1" applyAlignment="1">
      <alignment horizontal="center" vertical="center"/>
    </xf>
    <xf numFmtId="10" fontId="2" fillId="0" borderId="25" xfId="0" applyNumberFormat="1" applyFont="1" applyBorder="1" applyAlignment="1">
      <alignment horizontal="center" vertical="center"/>
    </xf>
    <xf numFmtId="164" fontId="2" fillId="0" borderId="26" xfId="0" applyNumberFormat="1" applyFont="1" applyBorder="1" applyAlignment="1">
      <alignment horizontal="center" vertical="center"/>
    </xf>
    <xf numFmtId="164" fontId="2" fillId="0" borderId="27" xfId="0" applyNumberFormat="1" applyFont="1" applyBorder="1" applyAlignment="1">
      <alignment horizontal="center" vertical="center"/>
    </xf>
    <xf numFmtId="1" fontId="2" fillId="6" borderId="28" xfId="0" applyNumberFormat="1" applyFont="1" applyFill="1" applyBorder="1" applyAlignment="1">
      <alignment horizontal="left" vertical="center"/>
    </xf>
    <xf numFmtId="4" fontId="6" fillId="0" borderId="29" xfId="0" applyNumberFormat="1" applyFont="1" applyBorder="1" applyAlignment="1">
      <alignment horizontal="center" vertical="center" shrinkToFit="1"/>
    </xf>
    <xf numFmtId="4" fontId="6" fillId="0" borderId="20" xfId="0" applyNumberFormat="1" applyFont="1" applyBorder="1" applyAlignment="1">
      <alignment horizontal="center" vertical="center" shrinkToFit="1"/>
    </xf>
    <xf numFmtId="10" fontId="2" fillId="0" borderId="30" xfId="0" applyNumberFormat="1" applyFont="1" applyBorder="1" applyAlignment="1">
      <alignment horizontal="center" vertical="center"/>
    </xf>
    <xf numFmtId="164" fontId="2" fillId="0" borderId="28" xfId="0" applyNumberFormat="1" applyFont="1" applyBorder="1" applyAlignment="1">
      <alignment horizontal="center" vertical="center"/>
    </xf>
    <xf numFmtId="1" fontId="7" fillId="6" borderId="28" xfId="0" applyNumberFormat="1" applyFont="1" applyFill="1" applyBorder="1" applyAlignment="1">
      <alignment horizontal="left" vertical="center"/>
    </xf>
    <xf numFmtId="0" fontId="8" fillId="6" borderId="28" xfId="0" applyFont="1" applyFill="1" applyBorder="1" applyAlignment="1">
      <alignment horizontal="left" vertical="center" shrinkToFit="1"/>
    </xf>
    <xf numFmtId="4" fontId="9" fillId="0" borderId="29" xfId="0" applyNumberFormat="1" applyFont="1" applyBorder="1" applyAlignment="1">
      <alignment horizontal="center" vertical="center" shrinkToFit="1"/>
    </xf>
    <xf numFmtId="4" fontId="2" fillId="0" borderId="20" xfId="0" applyNumberFormat="1" applyFont="1" applyBorder="1" applyAlignment="1">
      <alignment horizontal="center" vertical="center" shrinkToFit="1"/>
    </xf>
    <xf numFmtId="4" fontId="9" fillId="0" borderId="20" xfId="0" applyNumberFormat="1" applyFont="1" applyBorder="1" applyAlignment="1">
      <alignment horizontal="center" vertical="center" shrinkToFit="1"/>
    </xf>
    <xf numFmtId="4" fontId="8" fillId="0" borderId="29" xfId="0" applyNumberFormat="1" applyFont="1" applyBorder="1" applyAlignment="1">
      <alignment horizontal="center" vertical="center" shrinkToFit="1"/>
    </xf>
    <xf numFmtId="4" fontId="8" fillId="0" borderId="20" xfId="0" applyNumberFormat="1" applyFont="1" applyBorder="1" applyAlignment="1">
      <alignment horizontal="center" vertical="center" shrinkToFit="1"/>
    </xf>
    <xf numFmtId="164" fontId="2" fillId="0" borderId="29" xfId="0" applyNumberFormat="1" applyFont="1" applyBorder="1" applyAlignment="1">
      <alignment horizontal="center" vertical="center"/>
    </xf>
    <xf numFmtId="1" fontId="7" fillId="6" borderId="31" xfId="0" applyNumberFormat="1" applyFont="1" applyFill="1" applyBorder="1" applyAlignment="1">
      <alignment horizontal="left" vertical="center"/>
    </xf>
    <xf numFmtId="4" fontId="2" fillId="0" borderId="26" xfId="0" applyNumberFormat="1" applyFont="1" applyBorder="1" applyAlignment="1">
      <alignment horizontal="center" vertical="center" shrinkToFit="1"/>
    </xf>
    <xf numFmtId="4" fontId="2" fillId="0" borderId="32" xfId="0" applyNumberFormat="1" applyFont="1" applyBorder="1" applyAlignment="1">
      <alignment horizontal="center" vertical="center" shrinkToFit="1"/>
    </xf>
    <xf numFmtId="4" fontId="2" fillId="0" borderId="29" xfId="0" applyNumberFormat="1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/>
    </xf>
    <xf numFmtId="0" fontId="2" fillId="0" borderId="20" xfId="0" applyFont="1" applyBorder="1" applyAlignment="1">
      <alignment horizontal="left" vertical="center"/>
    </xf>
    <xf numFmtId="1" fontId="2" fillId="0" borderId="28" xfId="0" applyNumberFormat="1" applyFont="1" applyBorder="1" applyAlignment="1">
      <alignment horizontal="left" vertical="center"/>
    </xf>
    <xf numFmtId="0" fontId="2" fillId="0" borderId="34" xfId="0" applyFont="1" applyBorder="1" applyAlignment="1">
      <alignment horizontal="left" vertical="center"/>
    </xf>
    <xf numFmtId="1" fontId="2" fillId="0" borderId="27" xfId="0" applyNumberFormat="1" applyFont="1" applyBorder="1" applyAlignment="1">
      <alignment horizontal="left" vertical="center"/>
    </xf>
    <xf numFmtId="4" fontId="8" fillId="0" borderId="35" xfId="0" applyNumberFormat="1" applyFont="1" applyBorder="1" applyAlignment="1">
      <alignment horizontal="center" vertical="center" shrinkToFit="1"/>
    </xf>
    <xf numFmtId="10" fontId="2" fillId="0" borderId="36" xfId="0" applyNumberFormat="1" applyFont="1" applyBorder="1" applyAlignment="1">
      <alignment horizontal="center" vertical="center"/>
    </xf>
    <xf numFmtId="4" fontId="2" fillId="0" borderId="25" xfId="0" applyNumberFormat="1" applyFont="1" applyBorder="1" applyAlignment="1">
      <alignment horizontal="right" vertical="center"/>
    </xf>
    <xf numFmtId="0" fontId="2" fillId="7" borderId="37" xfId="0" applyFont="1" applyFill="1" applyBorder="1" applyAlignment="1">
      <alignment horizontal="left" vertical="center"/>
    </xf>
    <xf numFmtId="4" fontId="2" fillId="0" borderId="35" xfId="0" applyNumberFormat="1" applyFont="1" applyBorder="1" applyAlignment="1">
      <alignment horizontal="center" vertical="center" shrinkToFit="1"/>
    </xf>
    <xf numFmtId="4" fontId="2" fillId="0" borderId="38" xfId="0" applyNumberFormat="1" applyFont="1" applyBorder="1" applyAlignment="1">
      <alignment horizontal="center" vertical="center" shrinkToFit="1"/>
    </xf>
    <xf numFmtId="0" fontId="2" fillId="6" borderId="34" xfId="0" applyFont="1" applyFill="1" applyBorder="1" applyAlignment="1">
      <alignment horizontal="left" vertical="center"/>
    </xf>
    <xf numFmtId="0" fontId="2" fillId="8" borderId="20" xfId="0" applyFont="1" applyFill="1" applyBorder="1" applyAlignment="1">
      <alignment horizontal="center" vertical="center"/>
    </xf>
    <xf numFmtId="1" fontId="2" fillId="0" borderId="27" xfId="0" applyNumberFormat="1" applyFont="1" applyBorder="1" applyAlignment="1">
      <alignment horizontal="left" vertical="center" wrapText="1"/>
    </xf>
    <xf numFmtId="4" fontId="2" fillId="0" borderId="25" xfId="0" applyNumberFormat="1" applyFont="1" applyBorder="1" applyAlignment="1">
      <alignment horizontal="center" vertical="center" shrinkToFit="1"/>
    </xf>
    <xf numFmtId="165" fontId="2" fillId="0" borderId="0" xfId="0" applyNumberFormat="1" applyFont="1" applyAlignment="1">
      <alignment vertical="center"/>
    </xf>
    <xf numFmtId="165" fontId="2" fillId="0" borderId="28" xfId="0" applyNumberFormat="1" applyFont="1" applyBorder="1" applyAlignment="1">
      <alignment horizontal="left" vertical="center"/>
    </xf>
    <xf numFmtId="165" fontId="8" fillId="0" borderId="35" xfId="0" applyNumberFormat="1" applyFont="1" applyBorder="1" applyAlignment="1">
      <alignment horizontal="center" vertical="center" shrinkToFit="1"/>
    </xf>
    <xf numFmtId="165" fontId="8" fillId="0" borderId="20" xfId="0" applyNumberFormat="1" applyFont="1" applyBorder="1" applyAlignment="1">
      <alignment horizontal="center" vertical="center" shrinkToFit="1"/>
    </xf>
    <xf numFmtId="165" fontId="2" fillId="0" borderId="20" xfId="0" applyNumberFormat="1" applyFont="1" applyBorder="1" applyAlignment="1">
      <alignment horizontal="right" vertical="center"/>
    </xf>
    <xf numFmtId="9" fontId="2" fillId="0" borderId="30" xfId="0" applyNumberFormat="1" applyFont="1" applyBorder="1" applyAlignment="1">
      <alignment horizontal="center" vertical="center"/>
    </xf>
    <xf numFmtId="165" fontId="2" fillId="0" borderId="25" xfId="0" applyNumberFormat="1" applyFont="1" applyBorder="1" applyAlignment="1">
      <alignment horizontal="center" vertical="center"/>
    </xf>
    <xf numFmtId="166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left" vertical="center"/>
    </xf>
    <xf numFmtId="0" fontId="8" fillId="0" borderId="28" xfId="0" applyFont="1" applyBorder="1" applyAlignment="1">
      <alignment horizontal="left" vertical="center" shrinkToFit="1"/>
    </xf>
    <xf numFmtId="0" fontId="2" fillId="0" borderId="28" xfId="0" applyFont="1" applyBorder="1" applyAlignment="1">
      <alignment horizontal="left" vertical="center" shrinkToFit="1"/>
    </xf>
    <xf numFmtId="4" fontId="8" fillId="0" borderId="38" xfId="0" applyNumberFormat="1" applyFont="1" applyBorder="1" applyAlignment="1">
      <alignment horizontal="center" vertical="center" shrinkToFit="1"/>
    </xf>
    <xf numFmtId="167" fontId="2" fillId="0" borderId="29" xfId="0" applyNumberFormat="1" applyFont="1" applyBorder="1" applyAlignment="1">
      <alignment horizontal="center" vertical="center"/>
    </xf>
    <xf numFmtId="4" fontId="2" fillId="0" borderId="33" xfId="0" applyNumberFormat="1" applyFont="1" applyBorder="1" applyAlignment="1">
      <alignment horizontal="center" vertical="center" shrinkToFit="1"/>
    </xf>
    <xf numFmtId="0" fontId="2" fillId="2" borderId="20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left" vertical="center"/>
    </xf>
    <xf numFmtId="1" fontId="2" fillId="2" borderId="28" xfId="0" applyNumberFormat="1" applyFont="1" applyFill="1" applyBorder="1" applyAlignment="1">
      <alignment horizontal="left" vertical="center"/>
    </xf>
    <xf numFmtId="4" fontId="2" fillId="2" borderId="38" xfId="0" applyNumberFormat="1" applyFont="1" applyFill="1" applyBorder="1" applyAlignment="1">
      <alignment horizontal="center" vertical="center" shrinkToFit="1"/>
    </xf>
    <xf numFmtId="4" fontId="2" fillId="2" borderId="20" xfId="0" applyNumberFormat="1" applyFont="1" applyFill="1" applyBorder="1" applyAlignment="1">
      <alignment horizontal="center" vertical="center" shrinkToFit="1"/>
    </xf>
    <xf numFmtId="4" fontId="2" fillId="2" borderId="20" xfId="0" applyNumberFormat="1" applyFont="1" applyFill="1" applyBorder="1" applyAlignment="1">
      <alignment horizontal="right" vertical="center"/>
    </xf>
    <xf numFmtId="10" fontId="2" fillId="2" borderId="30" xfId="0" applyNumberFormat="1" applyFont="1" applyFill="1" applyBorder="1" applyAlignment="1">
      <alignment horizontal="center" vertical="center"/>
    </xf>
    <xf numFmtId="10" fontId="2" fillId="2" borderId="25" xfId="0" applyNumberFormat="1" applyFont="1" applyFill="1" applyBorder="1" applyAlignment="1">
      <alignment horizontal="center" vertical="center"/>
    </xf>
    <xf numFmtId="164" fontId="2" fillId="2" borderId="29" xfId="0" applyNumberFormat="1" applyFont="1" applyFill="1" applyBorder="1" applyAlignment="1">
      <alignment horizontal="center" vertical="center"/>
    </xf>
    <xf numFmtId="164" fontId="2" fillId="2" borderId="28" xfId="0" applyNumberFormat="1" applyFont="1" applyFill="1" applyBorder="1" applyAlignment="1">
      <alignment horizontal="center" vertical="center"/>
    </xf>
    <xf numFmtId="164" fontId="2" fillId="2" borderId="27" xfId="0" applyNumberFormat="1" applyFont="1" applyFill="1" applyBorder="1" applyAlignment="1">
      <alignment horizontal="center" vertical="center"/>
    </xf>
    <xf numFmtId="4" fontId="2" fillId="2" borderId="35" xfId="0" applyNumberFormat="1" applyFont="1" applyFill="1" applyBorder="1" applyAlignment="1">
      <alignment horizontal="center" vertical="center" shrinkToFit="1"/>
    </xf>
    <xf numFmtId="4" fontId="8" fillId="2" borderId="35" xfId="0" applyNumberFormat="1" applyFont="1" applyFill="1" applyBorder="1" applyAlignment="1">
      <alignment horizontal="center" vertical="center" shrinkToFit="1"/>
    </xf>
    <xf numFmtId="4" fontId="8" fillId="2" borderId="20" xfId="0" applyNumberFormat="1" applyFont="1" applyFill="1" applyBorder="1" applyAlignment="1">
      <alignment horizontal="center" vertical="center" shrinkToFit="1"/>
    </xf>
    <xf numFmtId="4" fontId="8" fillId="2" borderId="29" xfId="0" applyNumberFormat="1" applyFont="1" applyFill="1" applyBorder="1" applyAlignment="1">
      <alignment horizontal="center" vertical="center" shrinkToFit="1"/>
    </xf>
    <xf numFmtId="4" fontId="8" fillId="2" borderId="38" xfId="0" applyNumberFormat="1" applyFont="1" applyFill="1" applyBorder="1" applyAlignment="1">
      <alignment horizontal="center" vertical="center" shrinkToFit="1"/>
    </xf>
    <xf numFmtId="4" fontId="2" fillId="2" borderId="25" xfId="0" applyNumberFormat="1" applyFont="1" applyFill="1" applyBorder="1" applyAlignment="1">
      <alignment horizontal="right" vertical="center"/>
    </xf>
    <xf numFmtId="0" fontId="2" fillId="0" borderId="34" xfId="0" applyFont="1" applyBorder="1" applyAlignment="1">
      <alignment horizontal="left"/>
    </xf>
    <xf numFmtId="0" fontId="10" fillId="0" borderId="0" xfId="0" applyFont="1" applyAlignment="1">
      <alignment horizontal="center"/>
    </xf>
    <xf numFmtId="49" fontId="2" fillId="0" borderId="28" xfId="0" applyNumberFormat="1" applyFont="1" applyBorder="1" applyAlignment="1">
      <alignment horizontal="left" vertical="center"/>
    </xf>
    <xf numFmtId="0" fontId="2" fillId="0" borderId="34" xfId="0" applyFont="1" applyBorder="1" applyAlignment="1">
      <alignment horizontal="left" vertical="center" wrapText="1"/>
    </xf>
    <xf numFmtId="4" fontId="8" fillId="0" borderId="33" xfId="0" applyNumberFormat="1" applyFont="1" applyBorder="1" applyAlignment="1">
      <alignment horizontal="center" vertical="center" shrinkToFit="1"/>
    </xf>
    <xf numFmtId="0" fontId="10" fillId="0" borderId="0" xfId="0" applyFont="1"/>
    <xf numFmtId="4" fontId="2" fillId="0" borderId="34" xfId="0" applyNumberFormat="1" applyFont="1" applyBorder="1" applyAlignment="1">
      <alignment horizontal="left" vertical="center"/>
    </xf>
    <xf numFmtId="4" fontId="8" fillId="0" borderId="39" xfId="0" applyNumberFormat="1" applyFont="1" applyBorder="1" applyAlignment="1">
      <alignment horizontal="center" vertical="center" shrinkToFit="1"/>
    </xf>
    <xf numFmtId="0" fontId="2" fillId="7" borderId="0" xfId="0" applyFont="1" applyFill="1" applyAlignment="1">
      <alignment vertical="center"/>
    </xf>
    <xf numFmtId="0" fontId="2" fillId="9" borderId="20" xfId="0" applyFont="1" applyFill="1" applyBorder="1" applyAlignment="1">
      <alignment horizontal="center" vertical="center"/>
    </xf>
    <xf numFmtId="0" fontId="10" fillId="0" borderId="20" xfId="0" applyFont="1" applyBorder="1" applyAlignment="1">
      <alignment horizontal="center"/>
    </xf>
    <xf numFmtId="164" fontId="2" fillId="0" borderId="40" xfId="0" applyNumberFormat="1" applyFont="1" applyBorder="1" applyAlignment="1">
      <alignment horizontal="center" vertical="center"/>
    </xf>
    <xf numFmtId="164" fontId="2" fillId="0" borderId="41" xfId="0" applyNumberFormat="1" applyFont="1" applyBorder="1" applyAlignment="1">
      <alignment horizontal="center" vertical="center"/>
    </xf>
    <xf numFmtId="164" fontId="2" fillId="0" borderId="42" xfId="0" applyNumberFormat="1" applyFont="1" applyBorder="1" applyAlignment="1">
      <alignment horizontal="center" vertical="center"/>
    </xf>
    <xf numFmtId="10" fontId="2" fillId="0" borderId="43" xfId="0" applyNumberFormat="1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 vertical="center"/>
    </xf>
    <xf numFmtId="164" fontId="2" fillId="0" borderId="44" xfId="0" applyNumberFormat="1" applyFont="1" applyBorder="1" applyAlignment="1">
      <alignment horizontal="center" vertical="center"/>
    </xf>
    <xf numFmtId="10" fontId="2" fillId="0" borderId="35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45" xfId="0" applyFont="1" applyBorder="1" applyAlignment="1">
      <alignment horizontal="left" vertical="center"/>
    </xf>
    <xf numFmtId="1" fontId="2" fillId="0" borderId="44" xfId="0" applyNumberFormat="1" applyFont="1" applyBorder="1" applyAlignment="1">
      <alignment horizontal="left" vertical="center"/>
    </xf>
    <xf numFmtId="4" fontId="8" fillId="0" borderId="46" xfId="0" applyNumberFormat="1" applyFont="1" applyBorder="1" applyAlignment="1">
      <alignment horizontal="center" vertical="center" shrinkToFit="1"/>
    </xf>
    <xf numFmtId="4" fontId="8" fillId="0" borderId="47" xfId="0" applyNumberFormat="1" applyFont="1" applyBorder="1" applyAlignment="1">
      <alignment horizontal="center" vertical="center" shrinkToFit="1"/>
    </xf>
    <xf numFmtId="4" fontId="2" fillId="0" borderId="47" xfId="0" applyNumberFormat="1" applyFont="1" applyBorder="1" applyAlignment="1">
      <alignment horizontal="right" vertical="center"/>
    </xf>
    <xf numFmtId="10" fontId="2" fillId="0" borderId="48" xfId="0" applyNumberFormat="1" applyFont="1" applyBorder="1" applyAlignment="1">
      <alignment horizontal="center" vertical="center"/>
    </xf>
    <xf numFmtId="164" fontId="2" fillId="0" borderId="45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49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2" fillId="2" borderId="28" xfId="0" applyFont="1" applyFill="1" applyBorder="1" applyAlignment="1">
      <alignment horizontal="left" vertical="center" shrinkToFit="1"/>
    </xf>
    <xf numFmtId="0" fontId="8" fillId="2" borderId="28" xfId="0" applyFont="1" applyFill="1" applyBorder="1" applyAlignment="1">
      <alignment horizontal="left" vertical="center" shrinkToFit="1"/>
    </xf>
    <xf numFmtId="4" fontId="2" fillId="2" borderId="29" xfId="0" applyNumberFormat="1" applyFont="1" applyFill="1" applyBorder="1" applyAlignment="1">
      <alignment horizontal="center" vertical="center" shrinkToFit="1"/>
    </xf>
    <xf numFmtId="0" fontId="2" fillId="2" borderId="20" xfId="0" applyFont="1" applyFill="1" applyBorder="1" applyAlignment="1">
      <alignment horizontal="left" vertical="center"/>
    </xf>
    <xf numFmtId="164" fontId="2" fillId="0" borderId="50" xfId="0" applyNumberFormat="1" applyFont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5" fillId="0" borderId="11" xfId="0" applyFont="1" applyBorder="1"/>
    <xf numFmtId="0" fontId="4" fillId="4" borderId="13" xfId="0" applyFont="1" applyFill="1" applyBorder="1" applyAlignment="1">
      <alignment horizontal="center" vertical="center"/>
    </xf>
    <xf numFmtId="0" fontId="5" fillId="0" borderId="14" xfId="0" applyFont="1" applyBorder="1"/>
    <xf numFmtId="0" fontId="5" fillId="0" borderId="15" xfId="0" applyFont="1" applyBorder="1"/>
  </cellXfs>
  <cellStyles count="1">
    <cellStyle name="Normal" xfId="0" builtinId="0"/>
  </cellStyles>
  <dxfs count="5"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sz val="11"/>
        <color rgb="FF000000"/>
        <name val="Calibri"/>
      </font>
      <fill>
        <patternFill patternType="none"/>
      </fill>
    </dxf>
    <dxf>
      <font>
        <color rgb="FFFFFFFF"/>
      </font>
      <fill>
        <patternFill patternType="none"/>
      </fill>
    </dxf>
    <dxf>
      <font>
        <color rgb="FF000000"/>
      </font>
      <fill>
        <patternFill patternType="solid">
          <fgColor rgb="FFFFFF0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12" Type="http://schemas.openxmlformats.org/officeDocument/2006/relationships/calcChain" Target="calcChain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3352800</xdr:colOff>
      <xdr:row>2</xdr:row>
      <xdr:rowOff>114300</xdr:rowOff>
    </xdr:from>
    <xdr:ext cx="723900" cy="5715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142875</xdr:colOff>
      <xdr:row>3</xdr:row>
      <xdr:rowOff>0</xdr:rowOff>
    </xdr:from>
    <xdr:ext cx="1019175" cy="409575"/>
    <xdr:pic>
      <xdr:nvPicPr>
        <xdr:cNvPr id="3" name="image2.pn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981"/>
  <sheetViews>
    <sheetView showGridLines="0" tabSelected="1" workbookViewId="0">
      <pane ySplit="8" topLeftCell="A9" activePane="bottomLeft" state="frozen"/>
      <selection pane="bottomLeft" activeCell="I17" sqref="I17"/>
    </sheetView>
  </sheetViews>
  <sheetFormatPr defaultColWidth="14.42578125" defaultRowHeight="15" customHeight="1" x14ac:dyDescent="0.25"/>
  <cols>
    <col min="1" max="1" width="1.42578125" customWidth="1"/>
    <col min="2" max="2" width="17.5703125" customWidth="1"/>
    <col min="3" max="3" width="59.7109375" customWidth="1"/>
    <col min="4" max="4" width="50.140625" customWidth="1"/>
    <col min="5" max="5" width="14.28515625" customWidth="1"/>
    <col min="6" max="6" width="11.5703125" customWidth="1"/>
    <col min="7" max="7" width="10.7109375" customWidth="1"/>
    <col min="8" max="8" width="11.42578125" customWidth="1"/>
    <col min="9" max="9" width="13.42578125" customWidth="1"/>
    <col min="10" max="10" width="11.5703125" hidden="1" customWidth="1"/>
    <col min="11" max="11" width="17.28515625" customWidth="1"/>
    <col min="12" max="12" width="17.7109375" customWidth="1"/>
    <col min="13" max="26" width="9.140625" customWidth="1"/>
  </cols>
  <sheetData>
    <row r="1" spans="1:26" x14ac:dyDescent="0.25">
      <c r="A1" s="7" t="s">
        <v>595</v>
      </c>
      <c r="B1" s="1" t="s">
        <v>0</v>
      </c>
      <c r="C1" s="2" t="s">
        <v>1</v>
      </c>
      <c r="D1" s="3"/>
      <c r="E1" s="4"/>
      <c r="F1" s="5"/>
      <c r="G1" s="5"/>
      <c r="H1" s="6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ht="24" customHeight="1" x14ac:dyDescent="0.25">
      <c r="A2" s="7"/>
      <c r="B2" s="129"/>
      <c r="C2" s="130"/>
      <c r="D2" s="131"/>
      <c r="E2" s="4"/>
      <c r="F2" s="5"/>
      <c r="G2" s="5"/>
      <c r="H2" s="6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/>
      <c r="B3" s="8"/>
      <c r="C3" s="9"/>
      <c r="D3" s="10"/>
      <c r="E3" s="4"/>
      <c r="F3" s="5"/>
      <c r="G3" s="5"/>
      <c r="H3" s="6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/>
      <c r="B4" s="11"/>
      <c r="C4" s="9"/>
      <c r="D4" s="10"/>
      <c r="E4" s="4"/>
      <c r="F4" s="5"/>
      <c r="G4" s="5"/>
      <c r="H4" s="6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7"/>
      <c r="B5" s="12"/>
      <c r="C5" s="13"/>
      <c r="D5" s="14"/>
      <c r="E5" s="4"/>
      <c r="F5" s="5"/>
      <c r="G5" s="5"/>
      <c r="H5" s="6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5">
      <c r="A6" s="7"/>
      <c r="B6" s="15"/>
      <c r="C6" s="16"/>
      <c r="D6" s="17"/>
      <c r="E6" s="18"/>
      <c r="F6" s="19"/>
      <c r="G6" s="19"/>
      <c r="H6" s="20"/>
      <c r="I6" s="21"/>
      <c r="J6" s="21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ht="21" x14ac:dyDescent="0.25">
      <c r="A7" s="7"/>
      <c r="B7" s="137" t="s">
        <v>2</v>
      </c>
      <c r="C7" s="138"/>
      <c r="D7" s="22" t="s">
        <v>3</v>
      </c>
      <c r="E7" s="139" t="s">
        <v>4</v>
      </c>
      <c r="F7" s="140"/>
      <c r="G7" s="140"/>
      <c r="H7" s="140"/>
      <c r="I7" s="140"/>
      <c r="J7" s="141"/>
      <c r="K7" s="139" t="s">
        <v>5</v>
      </c>
      <c r="L7" s="141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5">
      <c r="A8" s="7"/>
      <c r="B8" s="23" t="s">
        <v>0</v>
      </c>
      <c r="C8" s="24" t="s">
        <v>1</v>
      </c>
      <c r="D8" s="23" t="s">
        <v>6</v>
      </c>
      <c r="E8" s="25" t="s">
        <v>7</v>
      </c>
      <c r="F8" s="26" t="s">
        <v>8</v>
      </c>
      <c r="G8" s="26" t="s">
        <v>9</v>
      </c>
      <c r="H8" s="26" t="s">
        <v>10</v>
      </c>
      <c r="I8" s="26" t="s">
        <v>11</v>
      </c>
      <c r="J8" s="27" t="s">
        <v>12</v>
      </c>
      <c r="K8" s="28" t="s">
        <v>13</v>
      </c>
      <c r="L8" s="28" t="s">
        <v>14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ht="15.75" x14ac:dyDescent="0.25">
      <c r="A9" s="7"/>
      <c r="B9" s="29">
        <v>100011968</v>
      </c>
      <c r="C9" s="30" t="s">
        <v>15</v>
      </c>
      <c r="D9" s="31" t="s">
        <v>16</v>
      </c>
      <c r="E9" s="32">
        <v>49813</v>
      </c>
      <c r="F9" s="33">
        <v>49813</v>
      </c>
      <c r="G9" s="33">
        <v>49813</v>
      </c>
      <c r="H9" s="34">
        <f t="shared" ref="H9:H263" si="0">SUM(E9:G9)/3</f>
        <v>49813</v>
      </c>
      <c r="I9" s="35">
        <f t="shared" ref="I9:I59" si="1">IF(ISERROR(MAX(E9:G9)/MIN(E9:G9)-1),"",(MAX(E9:G9)/MIN(E9:G9)-1))</f>
        <v>0</v>
      </c>
      <c r="J9" s="36">
        <f t="shared" ref="J9:J13" si="2">IF(ISERROR(MAX(E9:G9)/H9-1),"",(MAX(E9:G9)/H9-1))</f>
        <v>0</v>
      </c>
      <c r="K9" s="37">
        <v>45932</v>
      </c>
      <c r="L9" s="38">
        <f t="shared" ref="L9:L33" si="3">EDATE(K9,6)</f>
        <v>46114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15.75" x14ac:dyDescent="0.25">
      <c r="A10" s="7"/>
      <c r="B10" s="29">
        <v>100011968</v>
      </c>
      <c r="C10" s="30" t="s">
        <v>15</v>
      </c>
      <c r="D10" s="39" t="s">
        <v>17</v>
      </c>
      <c r="E10" s="40">
        <v>79518</v>
      </c>
      <c r="F10" s="41">
        <v>76197</v>
      </c>
      <c r="G10" s="41">
        <v>74353</v>
      </c>
      <c r="H10" s="34">
        <f t="shared" si="0"/>
        <v>76689.333333333328</v>
      </c>
      <c r="I10" s="42">
        <f t="shared" si="1"/>
        <v>6.9465926055438221E-2</v>
      </c>
      <c r="J10" s="36">
        <f t="shared" si="2"/>
        <v>3.6884747118243411E-2</v>
      </c>
      <c r="K10" s="37">
        <v>45932</v>
      </c>
      <c r="L10" s="43">
        <f t="shared" si="3"/>
        <v>46114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ht="15.75" x14ac:dyDescent="0.25">
      <c r="A11" s="7"/>
      <c r="B11" s="29">
        <v>100011968</v>
      </c>
      <c r="C11" s="30" t="s">
        <v>15</v>
      </c>
      <c r="D11" s="44" t="s">
        <v>18</v>
      </c>
      <c r="E11" s="40">
        <v>111862</v>
      </c>
      <c r="F11" s="41">
        <v>111862</v>
      </c>
      <c r="G11" s="41">
        <v>111862</v>
      </c>
      <c r="H11" s="34">
        <f t="shared" si="0"/>
        <v>111862</v>
      </c>
      <c r="I11" s="42">
        <f t="shared" si="1"/>
        <v>0</v>
      </c>
      <c r="J11" s="36">
        <f t="shared" si="2"/>
        <v>0</v>
      </c>
      <c r="K11" s="37">
        <v>45932</v>
      </c>
      <c r="L11" s="43">
        <f t="shared" si="3"/>
        <v>46114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ht="15.75" x14ac:dyDescent="0.25">
      <c r="A12" s="7"/>
      <c r="B12" s="29">
        <v>100011966</v>
      </c>
      <c r="C12" s="30" t="s">
        <v>19</v>
      </c>
      <c r="D12" s="45" t="s">
        <v>20</v>
      </c>
      <c r="E12" s="46">
        <v>23338</v>
      </c>
      <c r="F12" s="47">
        <v>22550</v>
      </c>
      <c r="G12" s="48">
        <v>22550</v>
      </c>
      <c r="H12" s="34">
        <f t="shared" si="0"/>
        <v>22812.666666666668</v>
      </c>
      <c r="I12" s="42">
        <f t="shared" si="1"/>
        <v>3.4944567627494427E-2</v>
      </c>
      <c r="J12" s="36">
        <f t="shared" si="2"/>
        <v>2.302814226014771E-2</v>
      </c>
      <c r="K12" s="37">
        <v>45931</v>
      </c>
      <c r="L12" s="43">
        <f t="shared" si="3"/>
        <v>46113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5">
      <c r="A13" s="7"/>
      <c r="B13" s="29">
        <v>100011966</v>
      </c>
      <c r="C13" s="30" t="s">
        <v>19</v>
      </c>
      <c r="D13" s="39" t="s">
        <v>21</v>
      </c>
      <c r="E13" s="49">
        <v>102680</v>
      </c>
      <c r="F13" s="49">
        <v>102680</v>
      </c>
      <c r="G13" s="50">
        <v>102708.8</v>
      </c>
      <c r="H13" s="34">
        <f t="shared" si="0"/>
        <v>102689.59999999999</v>
      </c>
      <c r="I13" s="42">
        <f t="shared" si="1"/>
        <v>2.8048305414873909E-4</v>
      </c>
      <c r="J13" s="36">
        <f t="shared" si="2"/>
        <v>1.8697122201283278E-4</v>
      </c>
      <c r="K13" s="37">
        <v>45931</v>
      </c>
      <c r="L13" s="43">
        <f t="shared" si="3"/>
        <v>46113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5">
      <c r="A14" s="7"/>
      <c r="B14" s="29">
        <v>100011966</v>
      </c>
      <c r="C14" s="30" t="s">
        <v>19</v>
      </c>
      <c r="D14" s="44" t="s">
        <v>22</v>
      </c>
      <c r="E14" s="49">
        <v>102656</v>
      </c>
      <c r="F14" s="50">
        <v>102656</v>
      </c>
      <c r="G14" s="50">
        <v>103154</v>
      </c>
      <c r="H14" s="34">
        <f t="shared" si="0"/>
        <v>102822</v>
      </c>
      <c r="I14" s="42">
        <f t="shared" si="1"/>
        <v>4.8511533665835938E-3</v>
      </c>
      <c r="J14" s="36"/>
      <c r="K14" s="37">
        <v>45932</v>
      </c>
      <c r="L14" s="43">
        <f t="shared" si="3"/>
        <v>46114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5">
      <c r="A15" s="7"/>
      <c r="B15" s="29">
        <v>100011966</v>
      </c>
      <c r="C15" s="30" t="s">
        <v>19</v>
      </c>
      <c r="D15" s="39" t="s">
        <v>23</v>
      </c>
      <c r="E15" s="49">
        <v>31725</v>
      </c>
      <c r="F15" s="50">
        <v>29900</v>
      </c>
      <c r="G15" s="50">
        <v>31725</v>
      </c>
      <c r="H15" s="34">
        <f t="shared" si="0"/>
        <v>31116.666666666668</v>
      </c>
      <c r="I15" s="42">
        <f t="shared" si="1"/>
        <v>6.1036789297658878E-2</v>
      </c>
      <c r="J15" s="36">
        <f t="shared" ref="J15:J16" si="4">IF(ISERROR(MAX(E15:G15)/H15-1),"",(MAX(E15:G15)/H15-1))</f>
        <v>1.9550080342795928E-2</v>
      </c>
      <c r="K15" s="51">
        <v>45932</v>
      </c>
      <c r="L15" s="43">
        <f t="shared" si="3"/>
        <v>46114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5">
      <c r="A16" s="7"/>
      <c r="B16" s="29">
        <v>100011966</v>
      </c>
      <c r="C16" s="30" t="s">
        <v>19</v>
      </c>
      <c r="D16" s="52" t="s">
        <v>24</v>
      </c>
      <c r="E16" s="53">
        <v>93938</v>
      </c>
      <c r="F16" s="47">
        <v>93591.11</v>
      </c>
      <c r="G16" s="54">
        <v>93938</v>
      </c>
      <c r="H16" s="34">
        <f t="shared" si="0"/>
        <v>93822.37</v>
      </c>
      <c r="I16" s="42">
        <f t="shared" si="1"/>
        <v>3.7064417763610358E-3</v>
      </c>
      <c r="J16" s="36">
        <f t="shared" si="4"/>
        <v>1.2324352923509529E-3</v>
      </c>
      <c r="K16" s="51">
        <v>45932</v>
      </c>
      <c r="L16" s="38">
        <f t="shared" si="3"/>
        <v>46114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5">
      <c r="A17" s="7"/>
      <c r="B17" s="29">
        <v>100011966</v>
      </c>
      <c r="C17" s="30" t="s">
        <v>19</v>
      </c>
      <c r="D17" s="52" t="s">
        <v>25</v>
      </c>
      <c r="E17" s="53">
        <v>38030</v>
      </c>
      <c r="F17" s="47">
        <v>39722.86</v>
      </c>
      <c r="G17" s="54">
        <v>37980</v>
      </c>
      <c r="H17" s="34">
        <f t="shared" si="0"/>
        <v>38577.620000000003</v>
      </c>
      <c r="I17" s="42">
        <f t="shared" si="1"/>
        <v>4.5888888888888868E-2</v>
      </c>
      <c r="J17" s="36"/>
      <c r="K17" s="51">
        <v>45931</v>
      </c>
      <c r="L17" s="38">
        <f t="shared" si="3"/>
        <v>46113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5">
      <c r="A18" s="7"/>
      <c r="B18" s="29">
        <v>100011966</v>
      </c>
      <c r="C18" s="30" t="s">
        <v>19</v>
      </c>
      <c r="D18" s="52" t="s">
        <v>26</v>
      </c>
      <c r="E18" s="53">
        <v>37122</v>
      </c>
      <c r="F18" s="47">
        <v>33133.33</v>
      </c>
      <c r="G18" s="54">
        <v>37122</v>
      </c>
      <c r="H18" s="34">
        <f t="shared" si="0"/>
        <v>35792.443333333336</v>
      </c>
      <c r="I18" s="42">
        <f t="shared" si="1"/>
        <v>0.1203824064771033</v>
      </c>
      <c r="J18" s="36"/>
      <c r="K18" s="51">
        <v>45932</v>
      </c>
      <c r="L18" s="38">
        <f t="shared" si="3"/>
        <v>46114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5">
      <c r="A19" s="7"/>
      <c r="B19" s="29">
        <v>100011966</v>
      </c>
      <c r="C19" s="30" t="s">
        <v>19</v>
      </c>
      <c r="D19" s="52" t="s">
        <v>27</v>
      </c>
      <c r="E19" s="53">
        <v>39663</v>
      </c>
      <c r="F19" s="47">
        <v>40539.919999999998</v>
      </c>
      <c r="G19" s="47">
        <v>37000</v>
      </c>
      <c r="H19" s="34">
        <f t="shared" si="0"/>
        <v>39067.64</v>
      </c>
      <c r="I19" s="42">
        <f t="shared" si="1"/>
        <v>9.5673513513513386E-2</v>
      </c>
      <c r="J19" s="36">
        <f>IF(ISERROR(MAX(E19:G19)/H19-1),"",(MAX(E19:G19)/H19-1))</f>
        <v>3.7685409203115361E-2</v>
      </c>
      <c r="K19" s="51">
        <v>45932</v>
      </c>
      <c r="L19" s="38">
        <f t="shared" si="3"/>
        <v>46114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5">
      <c r="A20" s="7"/>
      <c r="B20" s="29">
        <v>100011966</v>
      </c>
      <c r="C20" s="30" t="s">
        <v>19</v>
      </c>
      <c r="D20" s="52" t="s">
        <v>28</v>
      </c>
      <c r="E20" s="53">
        <v>67299</v>
      </c>
      <c r="F20" s="47">
        <v>67299</v>
      </c>
      <c r="G20" s="47">
        <v>66262</v>
      </c>
      <c r="H20" s="34">
        <f t="shared" si="0"/>
        <v>66953.333333333328</v>
      </c>
      <c r="I20" s="42">
        <f t="shared" si="1"/>
        <v>1.5649995472518219E-2</v>
      </c>
      <c r="J20" s="36"/>
      <c r="K20" s="51">
        <v>45931</v>
      </c>
      <c r="L20" s="38">
        <f t="shared" si="3"/>
        <v>46113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ht="15.75" customHeight="1" x14ac:dyDescent="0.25">
      <c r="A21" s="7"/>
      <c r="B21" s="29">
        <v>100011973</v>
      </c>
      <c r="C21" s="30" t="s">
        <v>29</v>
      </c>
      <c r="D21" s="52" t="s">
        <v>30</v>
      </c>
      <c r="E21" s="53">
        <v>44651</v>
      </c>
      <c r="F21" s="47">
        <v>44651</v>
      </c>
      <c r="G21" s="47">
        <v>44651</v>
      </c>
      <c r="H21" s="34">
        <f t="shared" si="0"/>
        <v>44651</v>
      </c>
      <c r="I21" s="42">
        <f t="shared" si="1"/>
        <v>0</v>
      </c>
      <c r="J21" s="36">
        <f t="shared" ref="J21:J24" si="5">IF(ISERROR(MAX(E21:G21)/H21-1),"",(MAX(E21:G21)/H21-1))</f>
        <v>0</v>
      </c>
      <c r="K21" s="51">
        <v>45932</v>
      </c>
      <c r="L21" s="43">
        <f t="shared" si="3"/>
        <v>46114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5.75" customHeight="1" x14ac:dyDescent="0.25">
      <c r="A22" s="7"/>
      <c r="B22" s="29">
        <v>100011972</v>
      </c>
      <c r="C22" s="30" t="s">
        <v>31</v>
      </c>
      <c r="D22" s="44" t="s">
        <v>32</v>
      </c>
      <c r="E22" s="55">
        <v>39278</v>
      </c>
      <c r="F22" s="47">
        <v>38992</v>
      </c>
      <c r="G22" s="47">
        <v>39278</v>
      </c>
      <c r="H22" s="34">
        <f t="shared" si="0"/>
        <v>39182.666666666664</v>
      </c>
      <c r="I22" s="42">
        <f t="shared" si="1"/>
        <v>7.3348379154698495E-3</v>
      </c>
      <c r="J22" s="36">
        <f t="shared" si="5"/>
        <v>2.4330486269439344E-3</v>
      </c>
      <c r="K22" s="51">
        <v>45932</v>
      </c>
      <c r="L22" s="43">
        <f t="shared" si="3"/>
        <v>46114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5.75" customHeight="1" x14ac:dyDescent="0.25">
      <c r="A23" s="7"/>
      <c r="B23" s="29">
        <v>100012246</v>
      </c>
      <c r="C23" s="30" t="s">
        <v>33</v>
      </c>
      <c r="D23" s="39" t="s">
        <v>34</v>
      </c>
      <c r="E23" s="55">
        <v>418</v>
      </c>
      <c r="F23" s="47">
        <v>430.2</v>
      </c>
      <c r="G23" s="47">
        <v>436</v>
      </c>
      <c r="H23" s="34">
        <f t="shared" si="0"/>
        <v>428.06666666666666</v>
      </c>
      <c r="I23" s="42">
        <f t="shared" si="1"/>
        <v>4.3062200956937691E-2</v>
      </c>
      <c r="J23" s="36">
        <f t="shared" si="5"/>
        <v>1.8532938794580289E-2</v>
      </c>
      <c r="K23" s="51">
        <v>45799</v>
      </c>
      <c r="L23" s="43">
        <f t="shared" si="3"/>
        <v>45983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5.75" customHeight="1" x14ac:dyDescent="0.25">
      <c r="A24" s="7"/>
      <c r="B24" s="29">
        <v>100012804</v>
      </c>
      <c r="C24" s="30" t="s">
        <v>35</v>
      </c>
      <c r="D24" s="39" t="s">
        <v>36</v>
      </c>
      <c r="E24" s="55">
        <v>733.22</v>
      </c>
      <c r="F24" s="47">
        <v>919</v>
      </c>
      <c r="G24" s="47">
        <v>999.9</v>
      </c>
      <c r="H24" s="34">
        <f t="shared" si="0"/>
        <v>884.04</v>
      </c>
      <c r="I24" s="42">
        <f t="shared" si="1"/>
        <v>0.36371075529854613</v>
      </c>
      <c r="J24" s="36">
        <f t="shared" si="5"/>
        <v>0.1310574182163704</v>
      </c>
      <c r="K24" s="51">
        <v>45938</v>
      </c>
      <c r="L24" s="43">
        <f t="shared" si="3"/>
        <v>46120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5.75" customHeight="1" x14ac:dyDescent="0.25">
      <c r="A25" s="7"/>
      <c r="B25" s="29">
        <v>100010436</v>
      </c>
      <c r="C25" s="30" t="s">
        <v>37</v>
      </c>
      <c r="D25" s="39" t="s">
        <v>38</v>
      </c>
      <c r="E25" s="55">
        <v>1568.64</v>
      </c>
      <c r="F25" s="47">
        <v>1951.58</v>
      </c>
      <c r="G25" s="47">
        <v>1650</v>
      </c>
      <c r="H25" s="34">
        <f t="shared" si="0"/>
        <v>1723.4066666666668</v>
      </c>
      <c r="I25" s="42">
        <f t="shared" si="1"/>
        <v>0.24412229702162369</v>
      </c>
      <c r="J25" s="36"/>
      <c r="K25" s="51"/>
      <c r="L25" s="43">
        <f t="shared" si="3"/>
        <v>182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ht="15.75" customHeight="1" x14ac:dyDescent="0.25">
      <c r="A26" s="7"/>
      <c r="B26" s="29">
        <v>100010439</v>
      </c>
      <c r="C26" s="30" t="s">
        <v>39</v>
      </c>
      <c r="D26" s="39" t="s">
        <v>40</v>
      </c>
      <c r="E26" s="55">
        <v>1370</v>
      </c>
      <c r="F26" s="47">
        <v>1659.9</v>
      </c>
      <c r="G26" s="47">
        <v>1399</v>
      </c>
      <c r="H26" s="34">
        <f t="shared" si="0"/>
        <v>1476.3</v>
      </c>
      <c r="I26" s="42">
        <f t="shared" si="1"/>
        <v>0.21160583941605848</v>
      </c>
      <c r="J26" s="36"/>
      <c r="K26" s="51"/>
      <c r="L26" s="43">
        <f t="shared" si="3"/>
        <v>182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ht="15.75" customHeight="1" x14ac:dyDescent="0.25">
      <c r="A27" s="7"/>
      <c r="B27" s="29">
        <v>100010435</v>
      </c>
      <c r="C27" s="30" t="s">
        <v>41</v>
      </c>
      <c r="D27" s="39" t="s">
        <v>40</v>
      </c>
      <c r="E27" s="55">
        <v>1128.29</v>
      </c>
      <c r="F27" s="47">
        <v>1129.5</v>
      </c>
      <c r="G27" s="47">
        <v>1288</v>
      </c>
      <c r="H27" s="34">
        <f t="shared" si="0"/>
        <v>1181.93</v>
      </c>
      <c r="I27" s="42">
        <f t="shared" si="1"/>
        <v>0.14155048790647795</v>
      </c>
      <c r="J27" s="36"/>
      <c r="K27" s="51">
        <v>45938</v>
      </c>
      <c r="L27" s="43">
        <f t="shared" si="3"/>
        <v>46120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ht="15.75" customHeight="1" x14ac:dyDescent="0.25">
      <c r="A28" s="7"/>
      <c r="B28" s="29">
        <v>100010435</v>
      </c>
      <c r="C28" s="30" t="s">
        <v>41</v>
      </c>
      <c r="D28" s="39" t="s">
        <v>42</v>
      </c>
      <c r="E28" s="55">
        <v>1509.3</v>
      </c>
      <c r="F28" s="47">
        <v>1648</v>
      </c>
      <c r="G28" s="47">
        <v>1669.72</v>
      </c>
      <c r="H28" s="34">
        <f t="shared" si="0"/>
        <v>1609.0066666666669</v>
      </c>
      <c r="I28" s="42">
        <f t="shared" si="1"/>
        <v>0.10628768303186908</v>
      </c>
      <c r="J28" s="36"/>
      <c r="K28" s="51">
        <v>45938</v>
      </c>
      <c r="L28" s="43">
        <f t="shared" si="3"/>
        <v>46120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ht="15.75" customHeight="1" x14ac:dyDescent="0.25">
      <c r="A29" s="7"/>
      <c r="B29" s="56">
        <v>100011373</v>
      </c>
      <c r="C29" s="57" t="s">
        <v>43</v>
      </c>
      <c r="D29" s="58"/>
      <c r="E29" s="55">
        <v>1297</v>
      </c>
      <c r="F29" s="47">
        <v>1468.5</v>
      </c>
      <c r="G29" s="47">
        <v>1590</v>
      </c>
      <c r="H29" s="34">
        <f t="shared" si="0"/>
        <v>1451.8333333333333</v>
      </c>
      <c r="I29" s="42">
        <f t="shared" si="1"/>
        <v>0.22590593677717807</v>
      </c>
      <c r="J29" s="36">
        <f t="shared" ref="J29:J33" si="6">IF(ISERROR(MAX(E29:G29)/H29-1),"",(MAX(E29:G29)/H29-1))</f>
        <v>9.5167030191711577E-2</v>
      </c>
      <c r="K29" s="51"/>
      <c r="L29" s="43">
        <f t="shared" si="3"/>
        <v>182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ht="15.75" customHeight="1" x14ac:dyDescent="0.25">
      <c r="A30" s="7"/>
      <c r="B30" s="29">
        <v>100002346</v>
      </c>
      <c r="C30" s="30" t="s">
        <v>44</v>
      </c>
      <c r="D30" s="39"/>
      <c r="E30" s="84">
        <v>307.67</v>
      </c>
      <c r="F30" s="47">
        <v>276.55</v>
      </c>
      <c r="G30" s="47">
        <v>285</v>
      </c>
      <c r="H30" s="34">
        <f t="shared" si="0"/>
        <v>289.74</v>
      </c>
      <c r="I30" s="42">
        <f t="shared" si="1"/>
        <v>0.1125293798589766</v>
      </c>
      <c r="J30" s="36">
        <f t="shared" si="6"/>
        <v>6.1883067577828355E-2</v>
      </c>
      <c r="K30" s="51">
        <v>45814</v>
      </c>
      <c r="L30" s="43">
        <f t="shared" si="3"/>
        <v>45997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ht="15.75" customHeight="1" x14ac:dyDescent="0.25">
      <c r="A31" s="7"/>
      <c r="B31" s="29">
        <v>100002356</v>
      </c>
      <c r="C31" s="30" t="s">
        <v>45</v>
      </c>
      <c r="D31" s="39"/>
      <c r="E31" s="55">
        <v>3780</v>
      </c>
      <c r="F31" s="47">
        <v>3780</v>
      </c>
      <c r="G31" s="47">
        <v>4751.05</v>
      </c>
      <c r="H31" s="34">
        <f t="shared" si="0"/>
        <v>4103.6833333333334</v>
      </c>
      <c r="I31" s="42">
        <f t="shared" si="1"/>
        <v>0.25689153439153434</v>
      </c>
      <c r="J31" s="36">
        <f t="shared" si="6"/>
        <v>0.15775258812205295</v>
      </c>
      <c r="K31" s="51">
        <v>45799</v>
      </c>
      <c r="L31" s="38">
        <f t="shared" si="3"/>
        <v>45983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ht="15.75" customHeight="1" x14ac:dyDescent="0.25">
      <c r="A32" s="7"/>
      <c r="B32" s="29">
        <v>100010489</v>
      </c>
      <c r="C32" s="30" t="s">
        <v>46</v>
      </c>
      <c r="D32" s="39" t="s">
        <v>47</v>
      </c>
      <c r="E32" s="49">
        <v>172</v>
      </c>
      <c r="F32" s="50">
        <v>179.9</v>
      </c>
      <c r="G32" s="50">
        <v>173.87</v>
      </c>
      <c r="H32" s="34">
        <f t="shared" si="0"/>
        <v>175.25666666666666</v>
      </c>
      <c r="I32" s="42">
        <f t="shared" si="1"/>
        <v>4.5930232558139661E-2</v>
      </c>
      <c r="J32" s="36">
        <f t="shared" si="6"/>
        <v>2.649447477033684E-2</v>
      </c>
      <c r="K32" s="51">
        <v>45814</v>
      </c>
      <c r="L32" s="43">
        <f t="shared" si="3"/>
        <v>45997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ht="15.75" customHeight="1" x14ac:dyDescent="0.25">
      <c r="A33" s="7"/>
      <c r="B33" s="29">
        <v>100012795</v>
      </c>
      <c r="C33" s="30" t="s">
        <v>48</v>
      </c>
      <c r="D33" s="39"/>
      <c r="E33" s="49">
        <v>3399</v>
      </c>
      <c r="F33" s="50">
        <v>3632.59</v>
      </c>
      <c r="G33" s="50">
        <v>3420.48</v>
      </c>
      <c r="H33" s="34">
        <f t="shared" si="0"/>
        <v>3484.0233333333331</v>
      </c>
      <c r="I33" s="42">
        <f t="shared" si="1"/>
        <v>6.8723153868784914E-2</v>
      </c>
      <c r="J33" s="36">
        <f t="shared" si="6"/>
        <v>4.2642270861178888E-2</v>
      </c>
      <c r="K33" s="51">
        <v>45814</v>
      </c>
      <c r="L33" s="43">
        <f t="shared" si="3"/>
        <v>45997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ht="15.75" customHeight="1" x14ac:dyDescent="0.25">
      <c r="A34" s="7"/>
      <c r="B34" s="56">
        <v>100002305</v>
      </c>
      <c r="C34" s="59" t="s">
        <v>49</v>
      </c>
      <c r="D34" s="60"/>
      <c r="E34" s="61">
        <v>4693.8999999999996</v>
      </c>
      <c r="F34" s="50">
        <v>4618.58</v>
      </c>
      <c r="G34" s="50">
        <v>4999.99</v>
      </c>
      <c r="H34" s="34">
        <f t="shared" si="0"/>
        <v>4770.8233333333328</v>
      </c>
      <c r="I34" s="62">
        <f t="shared" si="1"/>
        <v>8.2581659297879417E-2</v>
      </c>
      <c r="J34" s="63">
        <v>25092.35</v>
      </c>
      <c r="K34" s="51"/>
      <c r="L34" s="43">
        <v>44680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ht="15.75" customHeight="1" x14ac:dyDescent="0.25">
      <c r="A35" s="7"/>
      <c r="B35" s="56">
        <v>100012598</v>
      </c>
      <c r="C35" s="64" t="s">
        <v>50</v>
      </c>
      <c r="D35" s="58"/>
      <c r="E35" s="61">
        <v>357.28</v>
      </c>
      <c r="F35" s="50">
        <v>299.89999999999998</v>
      </c>
      <c r="G35" s="50">
        <v>363</v>
      </c>
      <c r="H35" s="34">
        <f t="shared" si="0"/>
        <v>340.06</v>
      </c>
      <c r="I35" s="42">
        <f t="shared" si="1"/>
        <v>0.21040346782260766</v>
      </c>
      <c r="J35" s="36">
        <f t="shared" ref="J35:J36" si="7">IF(ISERROR(MAX(E35:G35)/H35-1),"",(MAX(E35:G35)/H35-1))</f>
        <v>6.7458683761689064E-2</v>
      </c>
      <c r="K35" s="51"/>
      <c r="L35" s="43">
        <f t="shared" ref="L35:L36" si="8">EDATE(K35,6)</f>
        <v>182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ht="15.75" customHeight="1" x14ac:dyDescent="0.25">
      <c r="A36" s="7"/>
      <c r="B36" s="56">
        <v>100012911</v>
      </c>
      <c r="C36" s="59" t="s">
        <v>51</v>
      </c>
      <c r="D36" s="60"/>
      <c r="E36" s="65">
        <v>539.9</v>
      </c>
      <c r="F36" s="47">
        <v>589</v>
      </c>
      <c r="G36" s="66">
        <v>515</v>
      </c>
      <c r="H36" s="34">
        <f t="shared" si="0"/>
        <v>547.9666666666667</v>
      </c>
      <c r="I36" s="62">
        <f t="shared" si="1"/>
        <v>0.14368932038834958</v>
      </c>
      <c r="J36" s="36">
        <f t="shared" si="7"/>
        <v>7.4882900419733556E-2</v>
      </c>
      <c r="K36" s="51"/>
      <c r="L36" s="43">
        <f t="shared" si="8"/>
        <v>182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ht="15.75" customHeight="1" x14ac:dyDescent="0.25">
      <c r="A37" s="7"/>
      <c r="B37" s="56">
        <v>100010595</v>
      </c>
      <c r="C37" s="59" t="s">
        <v>52</v>
      </c>
      <c r="D37" s="58"/>
      <c r="E37" s="65">
        <v>5239.7</v>
      </c>
      <c r="F37" s="47">
        <v>5599</v>
      </c>
      <c r="G37" s="66">
        <v>4319</v>
      </c>
      <c r="H37" s="34">
        <f t="shared" si="0"/>
        <v>5052.5666666666666</v>
      </c>
      <c r="I37" s="62">
        <f t="shared" si="1"/>
        <v>0.29636489928224119</v>
      </c>
      <c r="J37" s="36"/>
      <c r="K37" s="51"/>
      <c r="L37" s="43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ht="15.75" customHeight="1" x14ac:dyDescent="0.25">
      <c r="A38" s="7"/>
      <c r="B38" s="56">
        <v>100012592</v>
      </c>
      <c r="C38" s="59" t="s">
        <v>53</v>
      </c>
      <c r="D38" s="58"/>
      <c r="E38" s="65">
        <v>7990</v>
      </c>
      <c r="F38" s="47">
        <v>7479.06</v>
      </c>
      <c r="G38" s="66">
        <v>7973</v>
      </c>
      <c r="H38" s="34">
        <f t="shared" si="0"/>
        <v>7814.02</v>
      </c>
      <c r="I38" s="62">
        <f t="shared" si="1"/>
        <v>6.8316071805815115E-2</v>
      </c>
      <c r="J38" s="36"/>
      <c r="K38" s="51"/>
      <c r="L38" s="43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ht="15.75" customHeight="1" x14ac:dyDescent="0.25">
      <c r="A39" s="7"/>
      <c r="B39" s="56">
        <v>100012607</v>
      </c>
      <c r="C39" s="59" t="s">
        <v>54</v>
      </c>
      <c r="D39" s="58"/>
      <c r="E39" s="65">
        <v>984.87</v>
      </c>
      <c r="F39" s="47">
        <v>1012.77</v>
      </c>
      <c r="G39" s="66">
        <v>1136.75</v>
      </c>
      <c r="H39" s="34">
        <f t="shared" si="0"/>
        <v>1044.7966666666666</v>
      </c>
      <c r="I39" s="42">
        <f t="shared" si="1"/>
        <v>0.15421324641830902</v>
      </c>
      <c r="J39" s="36"/>
      <c r="K39" s="51"/>
      <c r="L39" s="43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ht="15.75" customHeight="1" x14ac:dyDescent="0.25">
      <c r="A40" s="7"/>
      <c r="B40" s="56">
        <v>100012917</v>
      </c>
      <c r="C40" s="59" t="s">
        <v>55</v>
      </c>
      <c r="D40" s="58"/>
      <c r="E40" s="65">
        <v>21428.560000000001</v>
      </c>
      <c r="F40" s="47">
        <v>18720</v>
      </c>
      <c r="G40" s="66">
        <v>18997.95</v>
      </c>
      <c r="H40" s="34">
        <f t="shared" si="0"/>
        <v>19715.50333333333</v>
      </c>
      <c r="I40" s="42">
        <f t="shared" si="1"/>
        <v>0.14468803418803433</v>
      </c>
      <c r="J40" s="36"/>
      <c r="K40" s="51"/>
      <c r="L40" s="43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ht="15.75" customHeight="1" x14ac:dyDescent="0.25">
      <c r="A41" s="7"/>
      <c r="B41" s="56">
        <v>100010474</v>
      </c>
      <c r="C41" s="59" t="s">
        <v>56</v>
      </c>
      <c r="D41" s="58"/>
      <c r="E41" s="65">
        <v>1771.54</v>
      </c>
      <c r="F41" s="47">
        <v>2045</v>
      </c>
      <c r="G41" s="66">
        <v>2065.5</v>
      </c>
      <c r="H41" s="34">
        <f t="shared" si="0"/>
        <v>1960.68</v>
      </c>
      <c r="I41" s="42">
        <f t="shared" si="1"/>
        <v>0.16593472346094362</v>
      </c>
      <c r="J41" s="36"/>
      <c r="K41" s="51"/>
      <c r="L41" s="43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ht="15.75" customHeight="1" x14ac:dyDescent="0.25">
      <c r="A42" s="7"/>
      <c r="B42" s="56">
        <v>100012268</v>
      </c>
      <c r="C42" s="59" t="s">
        <v>57</v>
      </c>
      <c r="D42" s="58"/>
      <c r="E42" s="65">
        <v>1834.2</v>
      </c>
      <c r="F42" s="47">
        <v>1834.2</v>
      </c>
      <c r="G42" s="66">
        <v>2119.11</v>
      </c>
      <c r="H42" s="34">
        <f t="shared" si="0"/>
        <v>1929.17</v>
      </c>
      <c r="I42" s="42">
        <f t="shared" si="1"/>
        <v>0.15533202486097486</v>
      </c>
      <c r="J42" s="36"/>
      <c r="K42" s="51"/>
      <c r="L42" s="43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ht="15.75" customHeight="1" x14ac:dyDescent="0.25">
      <c r="A43" s="7"/>
      <c r="B43" s="56">
        <v>100012882</v>
      </c>
      <c r="C43" s="59" t="s">
        <v>58</v>
      </c>
      <c r="D43" s="58"/>
      <c r="E43" s="65">
        <v>8300</v>
      </c>
      <c r="F43" s="47">
        <v>8065.5</v>
      </c>
      <c r="G43" s="66">
        <v>8490</v>
      </c>
      <c r="H43" s="34">
        <f t="shared" si="0"/>
        <v>8285.1666666666661</v>
      </c>
      <c r="I43" s="42">
        <f t="shared" si="1"/>
        <v>5.2631578947368363E-2</v>
      </c>
      <c r="J43" s="36"/>
      <c r="K43" s="51"/>
      <c r="L43" s="43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ht="15.75" customHeight="1" x14ac:dyDescent="0.25">
      <c r="A44" s="7"/>
      <c r="B44" s="56">
        <v>100012582</v>
      </c>
      <c r="C44" s="59" t="s">
        <v>59</v>
      </c>
      <c r="D44" s="58"/>
      <c r="E44" s="65">
        <v>6168</v>
      </c>
      <c r="F44" s="47">
        <v>7473.63</v>
      </c>
      <c r="G44" s="66">
        <v>7978.05</v>
      </c>
      <c r="H44" s="34">
        <f t="shared" si="0"/>
        <v>7206.56</v>
      </c>
      <c r="I44" s="42">
        <f t="shared" si="1"/>
        <v>0.29345817120622564</v>
      </c>
      <c r="J44" s="36"/>
      <c r="K44" s="51"/>
      <c r="L44" s="43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ht="15.75" customHeight="1" x14ac:dyDescent="0.25">
      <c r="A45" s="7"/>
      <c r="B45" s="56">
        <v>100012860</v>
      </c>
      <c r="C45" s="59" t="s">
        <v>60</v>
      </c>
      <c r="D45" s="58"/>
      <c r="E45" s="65">
        <v>8300</v>
      </c>
      <c r="F45" s="47">
        <v>8500</v>
      </c>
      <c r="G45" s="66">
        <v>9135</v>
      </c>
      <c r="H45" s="34">
        <f t="shared" si="0"/>
        <v>8645</v>
      </c>
      <c r="I45" s="42">
        <f t="shared" si="1"/>
        <v>0.10060240963855427</v>
      </c>
      <c r="J45" s="36"/>
      <c r="K45" s="51"/>
      <c r="L45" s="43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ht="15.75" customHeight="1" x14ac:dyDescent="0.25">
      <c r="A46" s="7"/>
      <c r="B46" s="56">
        <v>100012595</v>
      </c>
      <c r="C46" s="59" t="s">
        <v>61</v>
      </c>
      <c r="D46" s="58"/>
      <c r="E46" s="65">
        <v>230.41</v>
      </c>
      <c r="F46" s="47">
        <v>298.43</v>
      </c>
      <c r="G46" s="66">
        <v>231.66</v>
      </c>
      <c r="H46" s="34">
        <f t="shared" si="0"/>
        <v>253.5</v>
      </c>
      <c r="I46" s="42">
        <f t="shared" si="1"/>
        <v>0.29521288138535651</v>
      </c>
      <c r="J46" s="36"/>
      <c r="K46" s="51"/>
      <c r="L46" s="43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ht="15.75" customHeight="1" x14ac:dyDescent="0.25">
      <c r="A47" s="7"/>
      <c r="B47" s="56">
        <v>100010473</v>
      </c>
      <c r="C47" s="59" t="s">
        <v>62</v>
      </c>
      <c r="D47" s="58"/>
      <c r="E47" s="65">
        <v>339.9</v>
      </c>
      <c r="F47" s="47">
        <v>300</v>
      </c>
      <c r="G47" s="66">
        <v>364.1</v>
      </c>
      <c r="H47" s="34">
        <f t="shared" si="0"/>
        <v>334.66666666666669</v>
      </c>
      <c r="I47" s="42">
        <f t="shared" si="1"/>
        <v>0.21366666666666667</v>
      </c>
      <c r="J47" s="36"/>
      <c r="K47" s="51">
        <v>45855</v>
      </c>
      <c r="L47" s="43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ht="15.75" customHeight="1" x14ac:dyDescent="0.25">
      <c r="A48" s="7"/>
      <c r="B48" s="29">
        <v>100012601</v>
      </c>
      <c r="C48" s="67" t="s">
        <v>63</v>
      </c>
      <c r="D48" s="39" t="s">
        <v>64</v>
      </c>
      <c r="E48" s="65">
        <v>2690.9</v>
      </c>
      <c r="F48" s="47">
        <v>2690</v>
      </c>
      <c r="G48" s="66">
        <v>2600</v>
      </c>
      <c r="H48" s="34">
        <f t="shared" si="0"/>
        <v>2660.2999999999997</v>
      </c>
      <c r="I48" s="42">
        <f t="shared" si="1"/>
        <v>3.4961538461538488E-2</v>
      </c>
      <c r="J48" s="36"/>
      <c r="K48" s="51"/>
      <c r="L48" s="43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ht="15.75" customHeight="1" x14ac:dyDescent="0.25">
      <c r="A49" s="7"/>
      <c r="B49" s="29">
        <v>100012601</v>
      </c>
      <c r="C49" s="67" t="s">
        <v>63</v>
      </c>
      <c r="D49" s="39" t="s">
        <v>65</v>
      </c>
      <c r="E49" s="65">
        <v>664.05</v>
      </c>
      <c r="F49" s="47">
        <v>790</v>
      </c>
      <c r="G49" s="66">
        <v>652.16999999999996</v>
      </c>
      <c r="H49" s="34">
        <f t="shared" si="0"/>
        <v>702.07333333333327</v>
      </c>
      <c r="I49" s="42">
        <f t="shared" si="1"/>
        <v>0.21134060137694166</v>
      </c>
      <c r="J49" s="36"/>
      <c r="K49" s="51"/>
      <c r="L49" s="43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ht="15.75" customHeight="1" x14ac:dyDescent="0.25">
      <c r="A50" s="7"/>
      <c r="B50" s="56">
        <v>100012861</v>
      </c>
      <c r="C50" s="59" t="s">
        <v>66</v>
      </c>
      <c r="D50" s="58" t="s">
        <v>67</v>
      </c>
      <c r="E50" s="65">
        <v>555.14</v>
      </c>
      <c r="F50" s="47">
        <v>520.71</v>
      </c>
      <c r="G50" s="66">
        <v>599.71</v>
      </c>
      <c r="H50" s="34">
        <f t="shared" si="0"/>
        <v>558.52</v>
      </c>
      <c r="I50" s="42">
        <f t="shared" si="1"/>
        <v>0.15171592633135522</v>
      </c>
      <c r="J50" s="36"/>
      <c r="K50" s="51"/>
      <c r="L50" s="43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ht="15.75" customHeight="1" x14ac:dyDescent="0.25">
      <c r="A51" s="7"/>
      <c r="B51" s="56">
        <v>100012861</v>
      </c>
      <c r="C51" s="59" t="s">
        <v>66</v>
      </c>
      <c r="D51" s="58" t="s">
        <v>68</v>
      </c>
      <c r="E51" s="65">
        <v>1165.56</v>
      </c>
      <c r="F51" s="47">
        <v>1296.0899999999999</v>
      </c>
      <c r="G51" s="66">
        <v>1359.15</v>
      </c>
      <c r="H51" s="34">
        <f t="shared" si="0"/>
        <v>1273.5999999999999</v>
      </c>
      <c r="I51" s="42">
        <f t="shared" si="1"/>
        <v>0.16609183568413477</v>
      </c>
      <c r="J51" s="36"/>
      <c r="K51" s="51"/>
      <c r="L51" s="43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ht="15.75" customHeight="1" x14ac:dyDescent="0.25">
      <c r="A52" s="7"/>
      <c r="B52" s="56">
        <v>100012861</v>
      </c>
      <c r="C52" s="59" t="s">
        <v>66</v>
      </c>
      <c r="D52" s="58" t="s">
        <v>69</v>
      </c>
      <c r="E52" s="65">
        <v>4663.33</v>
      </c>
      <c r="F52" s="47">
        <v>5099.1499999999996</v>
      </c>
      <c r="G52" s="66">
        <v>5319.91</v>
      </c>
      <c r="H52" s="34">
        <f t="shared" si="0"/>
        <v>5027.4633333333331</v>
      </c>
      <c r="I52" s="42">
        <f t="shared" si="1"/>
        <v>0.14079638370005987</v>
      </c>
      <c r="J52" s="36"/>
      <c r="K52" s="51"/>
      <c r="L52" s="43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ht="15.75" customHeight="1" x14ac:dyDescent="0.25">
      <c r="A53" s="7"/>
      <c r="B53" s="85">
        <v>100012861</v>
      </c>
      <c r="C53" s="86" t="s">
        <v>66</v>
      </c>
      <c r="D53" s="87" t="s">
        <v>70</v>
      </c>
      <c r="E53" s="96">
        <v>10576.72</v>
      </c>
      <c r="F53" s="89"/>
      <c r="G53" s="88"/>
      <c r="H53" s="90">
        <f t="shared" si="0"/>
        <v>3525.5733333333333</v>
      </c>
      <c r="I53" s="91">
        <f t="shared" si="1"/>
        <v>0</v>
      </c>
      <c r="J53" s="92"/>
      <c r="K53" s="93"/>
      <c r="L53" s="94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ht="15.75" customHeight="1" x14ac:dyDescent="0.25">
      <c r="A54" s="7"/>
      <c r="B54" s="56">
        <v>100012861</v>
      </c>
      <c r="C54" s="59" t="s">
        <v>66</v>
      </c>
      <c r="D54" s="58" t="s">
        <v>71</v>
      </c>
      <c r="E54" s="65">
        <v>2178.9899999999998</v>
      </c>
      <c r="F54" s="47">
        <v>2449</v>
      </c>
      <c r="G54" s="66">
        <v>2984</v>
      </c>
      <c r="H54" s="34">
        <f t="shared" si="0"/>
        <v>2537.33</v>
      </c>
      <c r="I54" s="42">
        <f t="shared" si="1"/>
        <v>0.36944180560718509</v>
      </c>
      <c r="J54" s="36"/>
      <c r="K54" s="51"/>
      <c r="L54" s="43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ht="15.75" customHeight="1" x14ac:dyDescent="0.25">
      <c r="A55" s="7"/>
      <c r="B55" s="56">
        <v>100010686</v>
      </c>
      <c r="C55" s="59" t="s">
        <v>72</v>
      </c>
      <c r="D55" s="58" t="s">
        <v>73</v>
      </c>
      <c r="E55" s="65">
        <v>3465.51</v>
      </c>
      <c r="F55" s="47">
        <v>3999</v>
      </c>
      <c r="G55" s="66">
        <v>3156.7</v>
      </c>
      <c r="H55" s="34">
        <f t="shared" si="0"/>
        <v>3540.4033333333332</v>
      </c>
      <c r="I55" s="42">
        <f t="shared" si="1"/>
        <v>0.26682928374568382</v>
      </c>
      <c r="J55" s="36"/>
      <c r="K55" s="51"/>
      <c r="L55" s="43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ht="15.75" customHeight="1" x14ac:dyDescent="0.25">
      <c r="A56" s="7"/>
      <c r="B56" s="56">
        <v>100012332</v>
      </c>
      <c r="C56" s="59" t="s">
        <v>594</v>
      </c>
      <c r="D56" s="58"/>
      <c r="E56" s="65">
        <v>5590</v>
      </c>
      <c r="F56" s="47">
        <v>6957</v>
      </c>
      <c r="G56" s="66">
        <v>5410</v>
      </c>
      <c r="H56" s="34">
        <f t="shared" si="0"/>
        <v>5985.666666666667</v>
      </c>
      <c r="I56" s="42">
        <f t="shared" si="1"/>
        <v>0.28595194085027731</v>
      </c>
      <c r="J56" s="36"/>
      <c r="K56" s="51"/>
      <c r="L56" s="43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ht="15.75" customHeight="1" x14ac:dyDescent="0.25">
      <c r="A57" s="7"/>
      <c r="B57" s="56">
        <v>100012342</v>
      </c>
      <c r="C57" s="59" t="s">
        <v>74</v>
      </c>
      <c r="D57" s="58"/>
      <c r="E57" s="65">
        <v>2381.1</v>
      </c>
      <c r="F57" s="47">
        <v>2480.5</v>
      </c>
      <c r="G57" s="66">
        <v>2373.84</v>
      </c>
      <c r="H57" s="34">
        <f t="shared" si="0"/>
        <v>2411.8133333333335</v>
      </c>
      <c r="I57" s="42">
        <f t="shared" si="1"/>
        <v>4.4931419135240791E-2</v>
      </c>
      <c r="J57" s="36"/>
      <c r="K57" s="51"/>
      <c r="L57" s="43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ht="15.75" customHeight="1" x14ac:dyDescent="0.25">
      <c r="A58" s="7"/>
      <c r="B58" s="56">
        <v>100012838</v>
      </c>
      <c r="C58" s="59" t="s">
        <v>75</v>
      </c>
      <c r="D58" s="58"/>
      <c r="E58" s="65">
        <v>219.9</v>
      </c>
      <c r="F58" s="47">
        <v>228.22</v>
      </c>
      <c r="G58" s="66">
        <v>267.74</v>
      </c>
      <c r="H58" s="34">
        <f t="shared" si="0"/>
        <v>238.62</v>
      </c>
      <c r="I58" s="42">
        <f t="shared" si="1"/>
        <v>0.2175534333788085</v>
      </c>
      <c r="J58" s="36"/>
      <c r="K58" s="51"/>
      <c r="L58" s="43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ht="15.75" customHeight="1" x14ac:dyDescent="0.25">
      <c r="A59" s="7"/>
      <c r="B59" s="56">
        <v>100012881</v>
      </c>
      <c r="C59" s="59" t="s">
        <v>76</v>
      </c>
      <c r="D59" s="58"/>
      <c r="E59" s="65">
        <v>4355.66</v>
      </c>
      <c r="F59" s="47">
        <v>4381.8999999999996</v>
      </c>
      <c r="G59" s="66">
        <v>4360.2700000000004</v>
      </c>
      <c r="H59" s="34">
        <f t="shared" si="0"/>
        <v>4365.9433333333336</v>
      </c>
      <c r="I59" s="42">
        <f t="shared" si="1"/>
        <v>6.0243453345760756E-3</v>
      </c>
      <c r="J59" s="36"/>
      <c r="K59" s="51"/>
      <c r="L59" s="43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ht="15.75" customHeight="1" x14ac:dyDescent="0.25">
      <c r="A60" s="7"/>
      <c r="B60" s="85">
        <v>100012849</v>
      </c>
      <c r="C60" s="86" t="s">
        <v>77</v>
      </c>
      <c r="D60" s="87"/>
      <c r="E60" s="96"/>
      <c r="F60" s="89"/>
      <c r="G60" s="88"/>
      <c r="H60" s="90">
        <f t="shared" si="0"/>
        <v>0</v>
      </c>
      <c r="I60" s="91"/>
      <c r="J60" s="92"/>
      <c r="K60" s="93"/>
      <c r="L60" s="94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ht="15.75" customHeight="1" x14ac:dyDescent="0.25">
      <c r="A61" s="7"/>
      <c r="B61" s="85">
        <v>100012850</v>
      </c>
      <c r="C61" s="86" t="s">
        <v>78</v>
      </c>
      <c r="D61" s="87" t="s">
        <v>79</v>
      </c>
      <c r="E61" s="96">
        <v>135692.04</v>
      </c>
      <c r="F61" s="89">
        <v>135692.04</v>
      </c>
      <c r="G61" s="88">
        <v>135692.04</v>
      </c>
      <c r="H61" s="90">
        <f t="shared" si="0"/>
        <v>135692.04</v>
      </c>
      <c r="I61" s="91"/>
      <c r="J61" s="92"/>
      <c r="K61" s="93"/>
      <c r="L61" s="94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ht="15.75" customHeight="1" x14ac:dyDescent="0.25">
      <c r="A62" s="7"/>
      <c r="B62" s="56">
        <v>100012810</v>
      </c>
      <c r="C62" s="59" t="s">
        <v>314</v>
      </c>
      <c r="D62" s="58"/>
      <c r="E62" s="61">
        <v>3200</v>
      </c>
      <c r="F62" s="50">
        <v>3220.39</v>
      </c>
      <c r="G62" s="50">
        <v>2855.44</v>
      </c>
      <c r="H62" s="34">
        <f t="shared" si="0"/>
        <v>3091.9433333333332</v>
      </c>
      <c r="I62" s="42">
        <f t="shared" ref="I62:I316" si="9">IF(ISERROR(MAX(E62:G62)/MIN(E62:G62)-1),"",(MAX(E62:G62)/MIN(E62:G62)-1))</f>
        <v>0.12780867396968576</v>
      </c>
      <c r="J62" s="36">
        <f t="shared" ref="J62:J74" si="10">IF(ISERROR(MAX(E62:G62)/H62-1),"",(MAX(E62:G62)/H62-1))</f>
        <v>4.1542374105605573E-2</v>
      </c>
      <c r="K62" s="51"/>
      <c r="L62" s="43">
        <f t="shared" ref="L62:L88" si="11">EDATE(K62,6)</f>
        <v>182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ht="15.75" customHeight="1" x14ac:dyDescent="0.25">
      <c r="A63" s="7"/>
      <c r="B63" s="56">
        <v>100010070</v>
      </c>
      <c r="C63" s="59" t="s">
        <v>80</v>
      </c>
      <c r="D63" s="58" t="s">
        <v>81</v>
      </c>
      <c r="E63" s="61">
        <v>595</v>
      </c>
      <c r="F63" s="50">
        <v>603.57000000000005</v>
      </c>
      <c r="G63" s="50">
        <v>597.09</v>
      </c>
      <c r="H63" s="34">
        <f t="shared" si="0"/>
        <v>598.5533333333334</v>
      </c>
      <c r="I63" s="42">
        <f t="shared" si="9"/>
        <v>1.4403361344537791E-2</v>
      </c>
      <c r="J63" s="36">
        <f t="shared" si="10"/>
        <v>8.3813194034505489E-3</v>
      </c>
      <c r="K63" s="51"/>
      <c r="L63" s="43">
        <f t="shared" si="11"/>
        <v>182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ht="15.75" customHeight="1" x14ac:dyDescent="0.25">
      <c r="A64" s="7"/>
      <c r="B64" s="56">
        <v>100010124</v>
      </c>
      <c r="C64" s="59" t="s">
        <v>82</v>
      </c>
      <c r="D64" s="58" t="s">
        <v>83</v>
      </c>
      <c r="E64" s="65">
        <v>2690.1</v>
      </c>
      <c r="F64" s="47">
        <v>2154.59</v>
      </c>
      <c r="G64" s="66">
        <v>2385</v>
      </c>
      <c r="H64" s="34">
        <f t="shared" si="0"/>
        <v>2409.896666666667</v>
      </c>
      <c r="I64" s="42">
        <f t="shared" si="9"/>
        <v>0.24854380647826257</v>
      </c>
      <c r="J64" s="36">
        <f t="shared" si="10"/>
        <v>0.11627192867190694</v>
      </c>
      <c r="K64" s="51"/>
      <c r="L64" s="43">
        <f t="shared" si="11"/>
        <v>182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ht="15.75" customHeight="1" x14ac:dyDescent="0.25">
      <c r="A65" s="7"/>
      <c r="B65" s="56">
        <v>100002334</v>
      </c>
      <c r="C65" s="59" t="s">
        <v>84</v>
      </c>
      <c r="D65" s="58"/>
      <c r="E65" s="65">
        <v>16898.7</v>
      </c>
      <c r="F65" s="47">
        <v>13981.15</v>
      </c>
      <c r="G65" s="47">
        <v>14855.99</v>
      </c>
      <c r="H65" s="34">
        <f t="shared" si="0"/>
        <v>15245.279999999999</v>
      </c>
      <c r="I65" s="42">
        <f t="shared" si="9"/>
        <v>0.20867739778201377</v>
      </c>
      <c r="J65" s="36">
        <f t="shared" si="10"/>
        <v>0.10845455117911929</v>
      </c>
      <c r="K65" s="51"/>
      <c r="L65" s="43">
        <f t="shared" si="11"/>
        <v>182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ht="15.75" customHeight="1" x14ac:dyDescent="0.25">
      <c r="A66" s="7"/>
      <c r="B66" s="56">
        <v>100010073</v>
      </c>
      <c r="C66" s="64" t="s">
        <v>85</v>
      </c>
      <c r="D66" s="58" t="s">
        <v>86</v>
      </c>
      <c r="E66" s="65">
        <v>699.9</v>
      </c>
      <c r="F66" s="47">
        <v>715</v>
      </c>
      <c r="G66" s="47">
        <v>718</v>
      </c>
      <c r="H66" s="34">
        <f t="shared" si="0"/>
        <v>710.9666666666667</v>
      </c>
      <c r="I66" s="42">
        <f t="shared" si="9"/>
        <v>2.5860837262466019E-2</v>
      </c>
      <c r="J66" s="36">
        <f t="shared" si="10"/>
        <v>9.8926344413707845E-3</v>
      </c>
      <c r="K66" s="51"/>
      <c r="L66" s="38">
        <f t="shared" si="11"/>
        <v>182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ht="15.75" customHeight="1" x14ac:dyDescent="0.25">
      <c r="A67" s="7"/>
      <c r="B67" s="68">
        <v>100010680</v>
      </c>
      <c r="C67" s="59" t="s">
        <v>87</v>
      </c>
      <c r="D67" s="58" t="s">
        <v>88</v>
      </c>
      <c r="E67" s="65">
        <v>9562.41</v>
      </c>
      <c r="F67" s="47">
        <v>9199.9</v>
      </c>
      <c r="G67" s="47">
        <v>11525</v>
      </c>
      <c r="H67" s="34">
        <f t="shared" si="0"/>
        <v>10095.769999999999</v>
      </c>
      <c r="I67" s="42">
        <f t="shared" si="9"/>
        <v>0.25273100794573855</v>
      </c>
      <c r="J67" s="36">
        <f t="shared" si="10"/>
        <v>0.14156721082195833</v>
      </c>
      <c r="K67" s="51"/>
      <c r="L67" s="43">
        <f t="shared" si="11"/>
        <v>182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ht="15.75" customHeight="1" x14ac:dyDescent="0.25">
      <c r="A68" s="7"/>
      <c r="B68" s="56">
        <v>100012746</v>
      </c>
      <c r="C68" s="59" t="s">
        <v>89</v>
      </c>
      <c r="D68" s="69" t="s">
        <v>90</v>
      </c>
      <c r="E68" s="70">
        <v>285</v>
      </c>
      <c r="F68" s="54">
        <v>325</v>
      </c>
      <c r="G68" s="54">
        <v>345</v>
      </c>
      <c r="H68" s="34">
        <f t="shared" si="0"/>
        <v>318.33333333333331</v>
      </c>
      <c r="I68" s="42">
        <f t="shared" si="9"/>
        <v>0.21052631578947367</v>
      </c>
      <c r="J68" s="36">
        <f t="shared" si="10"/>
        <v>8.3769633507853491E-2</v>
      </c>
      <c r="K68" s="51"/>
      <c r="L68" s="38">
        <f t="shared" si="11"/>
        <v>182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ht="15.75" customHeight="1" x14ac:dyDescent="0.25">
      <c r="A69" s="7"/>
      <c r="B69" s="56">
        <v>100002274</v>
      </c>
      <c r="C69" s="59" t="s">
        <v>91</v>
      </c>
      <c r="D69" s="58"/>
      <c r="E69" s="65">
        <v>1430.1</v>
      </c>
      <c r="F69" s="47">
        <v>1369.9</v>
      </c>
      <c r="G69" s="47">
        <v>1519</v>
      </c>
      <c r="H69" s="34">
        <f t="shared" si="0"/>
        <v>1439.6666666666667</v>
      </c>
      <c r="I69" s="42">
        <f t="shared" si="9"/>
        <v>0.10884006131834423</v>
      </c>
      <c r="J69" s="36">
        <f t="shared" si="10"/>
        <v>5.5105348460291692E-2</v>
      </c>
      <c r="K69" s="51"/>
      <c r="L69" s="43">
        <f t="shared" si="11"/>
        <v>182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ht="15.75" customHeight="1" x14ac:dyDescent="0.25">
      <c r="A70" s="7"/>
      <c r="B70" s="56">
        <v>100010073</v>
      </c>
      <c r="C70" s="64" t="s">
        <v>85</v>
      </c>
      <c r="D70" s="58" t="s">
        <v>92</v>
      </c>
      <c r="E70" s="65">
        <v>159.99</v>
      </c>
      <c r="F70" s="47">
        <v>177.21</v>
      </c>
      <c r="G70" s="47">
        <v>180.41</v>
      </c>
      <c r="H70" s="34">
        <f t="shared" si="0"/>
        <v>172.53666666666666</v>
      </c>
      <c r="I70" s="42">
        <f t="shared" si="9"/>
        <v>0.12763297706106624</v>
      </c>
      <c r="J70" s="36">
        <f t="shared" si="10"/>
        <v>4.563281234906591E-2</v>
      </c>
      <c r="K70" s="51">
        <v>45855</v>
      </c>
      <c r="L70" s="38">
        <f t="shared" si="11"/>
        <v>46039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ht="15.75" customHeight="1" x14ac:dyDescent="0.25">
      <c r="A71" s="7"/>
      <c r="B71" s="56">
        <v>100010123</v>
      </c>
      <c r="C71" s="59" t="s">
        <v>93</v>
      </c>
      <c r="D71" s="58"/>
      <c r="E71" s="61">
        <v>1076.67</v>
      </c>
      <c r="F71" s="50">
        <v>1032.22</v>
      </c>
      <c r="G71" s="50">
        <v>1055.68</v>
      </c>
      <c r="H71" s="34">
        <f t="shared" si="0"/>
        <v>1054.8566666666668</v>
      </c>
      <c r="I71" s="42">
        <f t="shared" si="9"/>
        <v>4.3062525430625387E-2</v>
      </c>
      <c r="J71" s="36">
        <f t="shared" si="10"/>
        <v>2.0678954802706206E-2</v>
      </c>
      <c r="K71" s="51"/>
      <c r="L71" s="43">
        <f t="shared" si="11"/>
        <v>182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ht="15.75" customHeight="1" x14ac:dyDescent="0.25">
      <c r="A72" s="71"/>
      <c r="B72" s="56">
        <v>100012554</v>
      </c>
      <c r="C72" s="59" t="s">
        <v>94</v>
      </c>
      <c r="D72" s="72" t="s">
        <v>95</v>
      </c>
      <c r="E72" s="73">
        <v>512.91</v>
      </c>
      <c r="F72" s="74">
        <v>549</v>
      </c>
      <c r="G72" s="73">
        <v>526</v>
      </c>
      <c r="H72" s="75">
        <f t="shared" si="0"/>
        <v>529.30333333333328</v>
      </c>
      <c r="I72" s="76">
        <f t="shared" si="9"/>
        <v>7.036322161782782E-2</v>
      </c>
      <c r="J72" s="77">
        <f t="shared" si="10"/>
        <v>3.7212436473099908E-2</v>
      </c>
      <c r="K72" s="51"/>
      <c r="L72" s="43">
        <f t="shared" si="11"/>
        <v>182</v>
      </c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ht="15.75" customHeight="1" x14ac:dyDescent="0.25">
      <c r="A73" s="7"/>
      <c r="B73" s="56">
        <v>100012554</v>
      </c>
      <c r="C73" s="59" t="s">
        <v>94</v>
      </c>
      <c r="D73" s="58" t="s">
        <v>96</v>
      </c>
      <c r="E73" s="65">
        <v>584.97</v>
      </c>
      <c r="F73" s="47">
        <v>597.54999999999995</v>
      </c>
      <c r="G73" s="47">
        <v>628.9</v>
      </c>
      <c r="H73" s="34">
        <f t="shared" si="0"/>
        <v>603.80666666666673</v>
      </c>
      <c r="I73" s="42">
        <f t="shared" si="9"/>
        <v>7.5097868266748691E-2</v>
      </c>
      <c r="J73" s="36">
        <f t="shared" si="10"/>
        <v>4.1558556270770763E-2</v>
      </c>
      <c r="K73" s="51"/>
      <c r="L73" s="43">
        <f t="shared" si="11"/>
        <v>182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ht="15.75" customHeight="1" x14ac:dyDescent="0.25">
      <c r="A74" s="7"/>
      <c r="B74" s="56">
        <v>100010127</v>
      </c>
      <c r="C74" s="59" t="s">
        <v>97</v>
      </c>
      <c r="D74" s="58" t="s">
        <v>98</v>
      </c>
      <c r="E74" s="65">
        <v>761.75</v>
      </c>
      <c r="F74" s="47">
        <v>735.81</v>
      </c>
      <c r="G74" s="47">
        <v>729</v>
      </c>
      <c r="H74" s="34">
        <f t="shared" si="0"/>
        <v>742.18666666666661</v>
      </c>
      <c r="I74" s="42">
        <f t="shared" si="9"/>
        <v>4.492455418381347E-2</v>
      </c>
      <c r="J74" s="36">
        <f t="shared" si="10"/>
        <v>2.6359047139982827E-2</v>
      </c>
      <c r="K74" s="51"/>
      <c r="L74" s="43">
        <f t="shared" si="11"/>
        <v>182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ht="15.75" customHeight="1" x14ac:dyDescent="0.25">
      <c r="A75" s="7"/>
      <c r="B75" s="56">
        <v>100010127</v>
      </c>
      <c r="C75" s="59" t="s">
        <v>97</v>
      </c>
      <c r="D75" s="58" t="s">
        <v>99</v>
      </c>
      <c r="E75" s="65">
        <v>785.7</v>
      </c>
      <c r="F75" s="47">
        <v>764.03</v>
      </c>
      <c r="G75" s="47">
        <v>845.57</v>
      </c>
      <c r="H75" s="34">
        <f t="shared" si="0"/>
        <v>798.43333333333339</v>
      </c>
      <c r="I75" s="42">
        <f t="shared" si="9"/>
        <v>0.10672355797547217</v>
      </c>
      <c r="J75" s="78"/>
      <c r="K75" s="43"/>
      <c r="L75" s="43">
        <f t="shared" si="11"/>
        <v>182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ht="15.75" customHeight="1" x14ac:dyDescent="0.25">
      <c r="A76" s="7"/>
      <c r="B76" s="56">
        <v>100010125</v>
      </c>
      <c r="C76" s="59" t="s">
        <v>100</v>
      </c>
      <c r="D76" s="58" t="s">
        <v>101</v>
      </c>
      <c r="E76" s="65">
        <v>4011.53</v>
      </c>
      <c r="F76" s="47">
        <v>3760.77</v>
      </c>
      <c r="G76" s="47">
        <v>3393</v>
      </c>
      <c r="H76" s="34">
        <f t="shared" si="0"/>
        <v>3721.7666666666664</v>
      </c>
      <c r="I76" s="42">
        <f t="shared" si="9"/>
        <v>0.18229590333038614</v>
      </c>
      <c r="J76" s="36">
        <f t="shared" ref="J76:J78" si="12">IF(ISERROR(MAX(E76:G76)/H76-1),"",(MAX(E76:G76)/H76-1))</f>
        <v>7.7856394364683501E-2</v>
      </c>
      <c r="K76" s="51"/>
      <c r="L76" s="43">
        <f t="shared" si="11"/>
        <v>182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ht="15.75" customHeight="1" x14ac:dyDescent="0.25">
      <c r="A77" s="7"/>
      <c r="B77" s="56">
        <v>100010149</v>
      </c>
      <c r="C77" s="59" t="s">
        <v>596</v>
      </c>
      <c r="D77" s="58"/>
      <c r="E77" s="65">
        <v>1259.9000000000001</v>
      </c>
      <c r="F77" s="47">
        <v>921.48</v>
      </c>
      <c r="G77" s="47">
        <v>944.1</v>
      </c>
      <c r="H77" s="34">
        <f t="shared" si="0"/>
        <v>1041.8266666666666</v>
      </c>
      <c r="I77" s="42">
        <f t="shared" si="9"/>
        <v>0.3672570213135391</v>
      </c>
      <c r="J77" s="36">
        <f t="shared" si="12"/>
        <v>0.20931824871699733</v>
      </c>
      <c r="K77" s="51"/>
      <c r="L77" s="43">
        <f t="shared" si="11"/>
        <v>182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ht="15.75" customHeight="1" x14ac:dyDescent="0.25">
      <c r="A78" s="7"/>
      <c r="B78" s="56">
        <v>100002248</v>
      </c>
      <c r="C78" s="59" t="s">
        <v>102</v>
      </c>
      <c r="D78" s="58"/>
      <c r="E78" s="65">
        <v>23521.32</v>
      </c>
      <c r="F78" s="47">
        <v>19999.990000000002</v>
      </c>
      <c r="G78" s="47">
        <v>21991.08</v>
      </c>
      <c r="H78" s="34">
        <f t="shared" si="0"/>
        <v>21837.463333333333</v>
      </c>
      <c r="I78" s="42">
        <f t="shared" si="9"/>
        <v>0.17606658803329389</v>
      </c>
      <c r="J78" s="36">
        <f t="shared" si="12"/>
        <v>7.7108620216725487E-2</v>
      </c>
      <c r="K78" s="51"/>
      <c r="L78" s="43">
        <f t="shared" si="11"/>
        <v>182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ht="15.75" customHeight="1" x14ac:dyDescent="0.25">
      <c r="A79" s="7"/>
      <c r="B79" s="85">
        <v>100010455</v>
      </c>
      <c r="C79" s="86" t="s">
        <v>597</v>
      </c>
      <c r="D79" s="87"/>
      <c r="E79" s="96">
        <v>7000</v>
      </c>
      <c r="F79" s="89">
        <v>7214.95</v>
      </c>
      <c r="G79" s="89"/>
      <c r="H79" s="90">
        <f t="shared" si="0"/>
        <v>4738.3166666666666</v>
      </c>
      <c r="I79" s="91">
        <f t="shared" si="9"/>
        <v>3.0707142857142822E-2</v>
      </c>
      <c r="J79" s="92"/>
      <c r="K79" s="93"/>
      <c r="L79" s="94">
        <f t="shared" si="11"/>
        <v>182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ht="15.75" customHeight="1" x14ac:dyDescent="0.25">
      <c r="A80" s="7"/>
      <c r="B80" s="85">
        <v>100010711</v>
      </c>
      <c r="C80" s="86" t="s">
        <v>598</v>
      </c>
      <c r="D80" s="87" t="s">
        <v>599</v>
      </c>
      <c r="E80" s="96"/>
      <c r="F80" s="89"/>
      <c r="G80" s="89"/>
      <c r="H80" s="90">
        <f t="shared" si="0"/>
        <v>0</v>
      </c>
      <c r="I80" s="91" t="str">
        <f t="shared" si="9"/>
        <v/>
      </c>
      <c r="J80" s="92"/>
      <c r="K80" s="93"/>
      <c r="L80" s="94">
        <f t="shared" si="11"/>
        <v>182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ht="15.75" customHeight="1" x14ac:dyDescent="0.25">
      <c r="A81" s="7"/>
      <c r="B81" s="56">
        <v>100013111</v>
      </c>
      <c r="C81" s="59" t="s">
        <v>103</v>
      </c>
      <c r="D81" s="58"/>
      <c r="E81" s="65">
        <v>319</v>
      </c>
      <c r="F81" s="47">
        <v>349</v>
      </c>
      <c r="G81" s="47">
        <v>282.32</v>
      </c>
      <c r="H81" s="34">
        <f t="shared" si="0"/>
        <v>316.77333333333331</v>
      </c>
      <c r="I81" s="42">
        <f t="shared" si="9"/>
        <v>0.23618588835364118</v>
      </c>
      <c r="J81" s="36">
        <f t="shared" ref="J81:J85" si="13">IF(ISERROR(MAX(E81:G81)/H81-1),"",(MAX(E81:G81)/H81-1))</f>
        <v>0.1017341527064568</v>
      </c>
      <c r="K81" s="51"/>
      <c r="L81" s="43">
        <f t="shared" si="11"/>
        <v>182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ht="15.75" customHeight="1" x14ac:dyDescent="0.25">
      <c r="A82" s="7"/>
      <c r="B82" s="56">
        <v>100010773</v>
      </c>
      <c r="C82" s="59" t="s">
        <v>104</v>
      </c>
      <c r="D82" s="58"/>
      <c r="E82" s="61">
        <v>404.1</v>
      </c>
      <c r="F82" s="50">
        <v>449</v>
      </c>
      <c r="G82" s="50">
        <v>494.1</v>
      </c>
      <c r="H82" s="34">
        <f t="shared" si="0"/>
        <v>449.06666666666666</v>
      </c>
      <c r="I82" s="42">
        <f t="shared" si="9"/>
        <v>0.22271714922049002</v>
      </c>
      <c r="J82" s="36">
        <f t="shared" si="13"/>
        <v>0.10028206650831351</v>
      </c>
      <c r="K82" s="51"/>
      <c r="L82" s="43">
        <f t="shared" si="11"/>
        <v>182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ht="15.75" customHeight="1" x14ac:dyDescent="0.25">
      <c r="A83" s="7"/>
      <c r="B83" s="56">
        <v>100010788</v>
      </c>
      <c r="C83" s="59" t="s">
        <v>105</v>
      </c>
      <c r="D83" s="79"/>
      <c r="E83" s="65" t="s">
        <v>106</v>
      </c>
      <c r="F83" s="47">
        <v>17999.990000000002</v>
      </c>
      <c r="G83" s="47">
        <v>21799.9</v>
      </c>
      <c r="H83" s="34">
        <f t="shared" si="0"/>
        <v>13266.63</v>
      </c>
      <c r="I83" s="42">
        <f t="shared" si="9"/>
        <v>0.21110622839234905</v>
      </c>
      <c r="J83" s="36">
        <f t="shared" si="13"/>
        <v>0.64321308425726831</v>
      </c>
      <c r="K83" s="51"/>
      <c r="L83" s="43">
        <f t="shared" si="11"/>
        <v>182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ht="15.75" customHeight="1" x14ac:dyDescent="0.25">
      <c r="A84" s="7"/>
      <c r="B84" s="56">
        <v>100010828</v>
      </c>
      <c r="C84" s="59" t="s">
        <v>107</v>
      </c>
      <c r="D84" s="58"/>
      <c r="E84" s="65">
        <v>999</v>
      </c>
      <c r="F84" s="47">
        <v>1149.98</v>
      </c>
      <c r="G84" s="47">
        <v>1129.99</v>
      </c>
      <c r="H84" s="34">
        <f t="shared" si="0"/>
        <v>1092.99</v>
      </c>
      <c r="I84" s="42">
        <f t="shared" si="9"/>
        <v>0.15113113113113119</v>
      </c>
      <c r="J84" s="36">
        <f t="shared" si="13"/>
        <v>5.2141373663070922E-2</v>
      </c>
      <c r="K84" s="51"/>
      <c r="L84" s="43">
        <f t="shared" si="11"/>
        <v>182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ht="15.75" customHeight="1" x14ac:dyDescent="0.25">
      <c r="A85" s="7"/>
      <c r="B85" s="56">
        <v>100010813</v>
      </c>
      <c r="C85" s="59" t="s">
        <v>108</v>
      </c>
      <c r="D85" s="58" t="s">
        <v>109</v>
      </c>
      <c r="E85" s="61">
        <v>11543.9</v>
      </c>
      <c r="F85" s="50">
        <v>12083.91</v>
      </c>
      <c r="G85" s="50">
        <v>15232.99</v>
      </c>
      <c r="H85" s="34">
        <f t="shared" si="0"/>
        <v>12953.599999999999</v>
      </c>
      <c r="I85" s="42">
        <f t="shared" si="9"/>
        <v>0.31957050910004425</v>
      </c>
      <c r="J85" s="36">
        <f t="shared" si="13"/>
        <v>0.17596575469367592</v>
      </c>
      <c r="K85" s="51"/>
      <c r="L85" s="43">
        <f t="shared" si="11"/>
        <v>182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ht="15.75" customHeight="1" x14ac:dyDescent="0.25">
      <c r="A86" s="7"/>
      <c r="B86" s="56">
        <v>100010813</v>
      </c>
      <c r="C86" s="59" t="s">
        <v>108</v>
      </c>
      <c r="D86" s="58" t="s">
        <v>110</v>
      </c>
      <c r="E86" s="61">
        <v>6598.24</v>
      </c>
      <c r="F86" s="50">
        <v>6119.9</v>
      </c>
      <c r="G86" s="50">
        <v>6198</v>
      </c>
      <c r="H86" s="34">
        <f t="shared" si="0"/>
        <v>6305.38</v>
      </c>
      <c r="I86" s="42">
        <f t="shared" si="9"/>
        <v>7.8161407866141674E-2</v>
      </c>
      <c r="J86" s="36"/>
      <c r="K86" s="51"/>
      <c r="L86" s="43">
        <f t="shared" si="11"/>
        <v>182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ht="15.75" customHeight="1" x14ac:dyDescent="0.25">
      <c r="A87" s="7"/>
      <c r="B87" s="56">
        <v>100010813</v>
      </c>
      <c r="C87" s="59" t="s">
        <v>108</v>
      </c>
      <c r="D87" s="58" t="s">
        <v>111</v>
      </c>
      <c r="E87" s="61">
        <v>1133.0899999999999</v>
      </c>
      <c r="F87" s="50">
        <v>1099.99</v>
      </c>
      <c r="G87" s="50">
        <v>1198.99</v>
      </c>
      <c r="H87" s="34">
        <f t="shared" si="0"/>
        <v>1144.0233333333333</v>
      </c>
      <c r="I87" s="42">
        <f t="shared" si="9"/>
        <v>9.0000818189256204E-2</v>
      </c>
      <c r="J87" s="36">
        <f t="shared" ref="J87:J88" si="14">IF(ISERROR(MAX(E87:G87)/H87-1),"",(MAX(E87:G87)/H87-1))</f>
        <v>4.8046805572147466E-2</v>
      </c>
      <c r="K87" s="51"/>
      <c r="L87" s="43">
        <f t="shared" si="11"/>
        <v>182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ht="15.75" customHeight="1" x14ac:dyDescent="0.25">
      <c r="A88" s="7"/>
      <c r="B88" s="56">
        <v>100010829</v>
      </c>
      <c r="C88" s="59" t="s">
        <v>112</v>
      </c>
      <c r="D88" s="58"/>
      <c r="E88" s="61">
        <v>10404.049999999999</v>
      </c>
      <c r="F88" s="50">
        <v>10167.32</v>
      </c>
      <c r="G88" s="50">
        <v>10400</v>
      </c>
      <c r="H88" s="34">
        <f t="shared" si="0"/>
        <v>10323.789999999999</v>
      </c>
      <c r="I88" s="42">
        <f t="shared" si="9"/>
        <v>2.3283421786665537E-2</v>
      </c>
      <c r="J88" s="36">
        <f t="shared" si="14"/>
        <v>7.774276694896054E-3</v>
      </c>
      <c r="K88" s="51"/>
      <c r="L88" s="43">
        <f t="shared" si="11"/>
        <v>182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ht="15.75" customHeight="1" x14ac:dyDescent="0.25">
      <c r="A89" s="7"/>
      <c r="B89" s="56">
        <v>100012776</v>
      </c>
      <c r="C89" s="59" t="s">
        <v>113</v>
      </c>
      <c r="D89" s="58"/>
      <c r="E89" s="65">
        <v>6584.07</v>
      </c>
      <c r="F89" s="47">
        <v>7883.53</v>
      </c>
      <c r="G89" s="47">
        <v>6383.22</v>
      </c>
      <c r="H89" s="34">
        <f t="shared" si="0"/>
        <v>6950.2733333333335</v>
      </c>
      <c r="I89" s="42">
        <f t="shared" si="9"/>
        <v>0.2350396821666807</v>
      </c>
      <c r="J89" s="63">
        <v>19494</v>
      </c>
      <c r="K89" s="51"/>
      <c r="L89" s="43">
        <v>44680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ht="15.75" customHeight="1" x14ac:dyDescent="0.25">
      <c r="A90" s="7"/>
      <c r="B90" s="56">
        <v>100012003</v>
      </c>
      <c r="C90" s="59" t="s">
        <v>114</v>
      </c>
      <c r="D90" s="58"/>
      <c r="E90" s="65">
        <v>393.95</v>
      </c>
      <c r="F90" s="47">
        <v>396.9</v>
      </c>
      <c r="G90" s="47">
        <v>449.99</v>
      </c>
      <c r="H90" s="34">
        <f t="shared" si="0"/>
        <v>413.61333333333329</v>
      </c>
      <c r="I90" s="42">
        <f t="shared" si="9"/>
        <v>0.14225155476583318</v>
      </c>
      <c r="J90" s="63"/>
      <c r="K90" s="51"/>
      <c r="L90" s="43">
        <v>44681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ht="15.75" customHeight="1" x14ac:dyDescent="0.25">
      <c r="A91" s="7"/>
      <c r="B91" s="56">
        <v>100012490</v>
      </c>
      <c r="C91" s="59" t="s">
        <v>115</v>
      </c>
      <c r="D91" s="58"/>
      <c r="E91" s="65">
        <v>949.52</v>
      </c>
      <c r="F91" s="47">
        <v>972</v>
      </c>
      <c r="G91" s="47">
        <v>971.72</v>
      </c>
      <c r="H91" s="34">
        <f t="shared" si="0"/>
        <v>964.4133333333333</v>
      </c>
      <c r="I91" s="42">
        <f t="shared" si="9"/>
        <v>2.3675120060662191E-2</v>
      </c>
      <c r="J91" s="63"/>
      <c r="K91" s="51"/>
      <c r="L91" s="43">
        <v>44682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ht="15.75" customHeight="1" x14ac:dyDescent="0.25">
      <c r="A92" s="7"/>
      <c r="B92" s="56">
        <v>100012796</v>
      </c>
      <c r="C92" s="59" t="s">
        <v>116</v>
      </c>
      <c r="D92" s="58" t="s">
        <v>117</v>
      </c>
      <c r="E92" s="65">
        <v>10599.9</v>
      </c>
      <c r="F92" s="47">
        <v>10743.55</v>
      </c>
      <c r="G92" s="47">
        <v>10439.1</v>
      </c>
      <c r="H92" s="34">
        <f t="shared" si="0"/>
        <v>10594.183333333332</v>
      </c>
      <c r="I92" s="42">
        <f t="shared" si="9"/>
        <v>2.9164391566322667E-2</v>
      </c>
      <c r="J92" s="63"/>
      <c r="K92" s="51"/>
      <c r="L92" s="43">
        <v>44683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ht="15.75" customHeight="1" x14ac:dyDescent="0.25">
      <c r="A93" s="7"/>
      <c r="B93" s="56">
        <v>100012796</v>
      </c>
      <c r="C93" s="59" t="s">
        <v>116</v>
      </c>
      <c r="D93" s="58" t="s">
        <v>118</v>
      </c>
      <c r="E93" s="65">
        <v>498.65</v>
      </c>
      <c r="F93" s="47">
        <v>566.67999999999995</v>
      </c>
      <c r="G93" s="47">
        <v>599</v>
      </c>
      <c r="H93" s="34">
        <f t="shared" si="0"/>
        <v>554.77666666666664</v>
      </c>
      <c r="I93" s="42">
        <f t="shared" si="9"/>
        <v>0.20124335706407304</v>
      </c>
      <c r="J93" s="63"/>
      <c r="K93" s="51"/>
      <c r="L93" s="43">
        <v>44684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ht="15.75" customHeight="1" x14ac:dyDescent="0.25">
      <c r="A94" s="7"/>
      <c r="B94" s="56">
        <v>100011988</v>
      </c>
      <c r="C94" s="59" t="s">
        <v>119</v>
      </c>
      <c r="D94" s="58" t="s">
        <v>120</v>
      </c>
      <c r="E94" s="65">
        <v>615.9</v>
      </c>
      <c r="F94" s="47">
        <v>668.99</v>
      </c>
      <c r="G94" s="47">
        <v>664.99</v>
      </c>
      <c r="H94" s="34">
        <f t="shared" si="0"/>
        <v>649.95999999999992</v>
      </c>
      <c r="I94" s="42">
        <f t="shared" si="9"/>
        <v>8.619905828868335E-2</v>
      </c>
      <c r="J94" s="63"/>
      <c r="K94" s="51"/>
      <c r="L94" s="43">
        <v>44685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ht="15.75" customHeight="1" x14ac:dyDescent="0.25">
      <c r="A95" s="7"/>
      <c r="B95" s="56">
        <v>100012896</v>
      </c>
      <c r="C95" s="59" t="s">
        <v>121</v>
      </c>
      <c r="D95" s="58"/>
      <c r="E95" s="65">
        <v>169.99</v>
      </c>
      <c r="F95" s="47">
        <v>165.9</v>
      </c>
      <c r="G95" s="47">
        <v>179.89</v>
      </c>
      <c r="H95" s="34">
        <f t="shared" si="0"/>
        <v>171.92666666666665</v>
      </c>
      <c r="I95" s="42">
        <f t="shared" si="9"/>
        <v>8.4327908378541094E-2</v>
      </c>
      <c r="J95" s="63"/>
      <c r="K95" s="51"/>
      <c r="L95" s="43">
        <v>44686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ht="15.75" customHeight="1" x14ac:dyDescent="0.25">
      <c r="A96" s="7"/>
      <c r="B96" s="56">
        <v>100012770</v>
      </c>
      <c r="C96" s="59" t="s">
        <v>122</v>
      </c>
      <c r="D96" s="58" t="s">
        <v>123</v>
      </c>
      <c r="E96" s="65">
        <v>997.99</v>
      </c>
      <c r="F96" s="47">
        <v>1048.6199999999999</v>
      </c>
      <c r="G96" s="47">
        <v>928.8</v>
      </c>
      <c r="H96" s="34">
        <f t="shared" si="0"/>
        <v>991.80333333333328</v>
      </c>
      <c r="I96" s="42">
        <f t="shared" si="9"/>
        <v>0.12900516795865635</v>
      </c>
      <c r="J96" s="63"/>
      <c r="K96" s="51"/>
      <c r="L96" s="43">
        <v>44687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ht="15.75" customHeight="1" x14ac:dyDescent="0.25">
      <c r="A97" s="7"/>
      <c r="B97" s="56">
        <v>100012798</v>
      </c>
      <c r="C97" s="59" t="s">
        <v>124</v>
      </c>
      <c r="D97" s="58" t="s">
        <v>125</v>
      </c>
      <c r="E97" s="65">
        <v>484.99</v>
      </c>
      <c r="F97" s="47">
        <v>560.9</v>
      </c>
      <c r="G97" s="47">
        <v>669.3</v>
      </c>
      <c r="H97" s="34">
        <f t="shared" si="0"/>
        <v>571.7299999999999</v>
      </c>
      <c r="I97" s="42">
        <f t="shared" si="9"/>
        <v>0.3800284541949317</v>
      </c>
      <c r="J97" s="63"/>
      <c r="K97" s="51"/>
      <c r="L97" s="43">
        <v>44688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ht="15.75" customHeight="1" x14ac:dyDescent="0.25">
      <c r="A98" s="7"/>
      <c r="B98" s="56">
        <v>100012798</v>
      </c>
      <c r="C98" s="59" t="s">
        <v>124</v>
      </c>
      <c r="D98" s="58" t="s">
        <v>126</v>
      </c>
      <c r="E98" s="65">
        <v>12738.7</v>
      </c>
      <c r="F98" s="47">
        <v>13156.55</v>
      </c>
      <c r="G98" s="47">
        <v>12998.7</v>
      </c>
      <c r="H98" s="34">
        <f t="shared" si="0"/>
        <v>12964.65</v>
      </c>
      <c r="I98" s="42">
        <f t="shared" si="9"/>
        <v>3.2801620259524045E-2</v>
      </c>
      <c r="J98" s="63"/>
      <c r="K98" s="51"/>
      <c r="L98" s="43">
        <v>44689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ht="15.75" customHeight="1" x14ac:dyDescent="0.25">
      <c r="A99" s="7"/>
      <c r="B99" s="56">
        <v>100010780</v>
      </c>
      <c r="C99" s="59" t="s">
        <v>127</v>
      </c>
      <c r="D99" s="58" t="s">
        <v>128</v>
      </c>
      <c r="E99" s="65">
        <v>1099</v>
      </c>
      <c r="F99" s="47">
        <v>1199.9000000000001</v>
      </c>
      <c r="G99" s="47">
        <v>1299.99</v>
      </c>
      <c r="H99" s="34">
        <f t="shared" si="0"/>
        <v>1199.6300000000001</v>
      </c>
      <c r="I99" s="42">
        <f t="shared" si="9"/>
        <v>0.182884440400364</v>
      </c>
      <c r="J99" s="63"/>
      <c r="K99" s="51"/>
      <c r="L99" s="43">
        <v>44690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ht="15.75" customHeight="1" x14ac:dyDescent="0.25">
      <c r="A100" s="7"/>
      <c r="B100" s="56">
        <v>100010849</v>
      </c>
      <c r="C100" s="59" t="s">
        <v>129</v>
      </c>
      <c r="D100" s="58" t="s">
        <v>600</v>
      </c>
      <c r="E100" s="61">
        <v>489</v>
      </c>
      <c r="F100" s="50">
        <v>611.41999999999996</v>
      </c>
      <c r="G100" s="50">
        <v>599</v>
      </c>
      <c r="H100" s="34">
        <f t="shared" si="0"/>
        <v>566.47333333333336</v>
      </c>
      <c r="I100" s="42">
        <f t="shared" si="9"/>
        <v>0.25034764826175859</v>
      </c>
      <c r="J100" s="36">
        <f t="shared" ref="J100:J105" si="15">IF(ISERROR(MAX(E100:G100)/H100-1),"",(MAX(E100:G100)/H100-1))</f>
        <v>7.9344717609537208E-2</v>
      </c>
      <c r="K100" s="51">
        <v>45849</v>
      </c>
      <c r="L100" s="43">
        <v>44691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ht="15.75" customHeight="1" x14ac:dyDescent="0.25">
      <c r="A101" s="7"/>
      <c r="B101" s="56">
        <v>100010849</v>
      </c>
      <c r="C101" s="59" t="s">
        <v>129</v>
      </c>
      <c r="D101" s="58" t="s">
        <v>130</v>
      </c>
      <c r="E101" s="61">
        <v>2099</v>
      </c>
      <c r="F101" s="50">
        <v>2490</v>
      </c>
      <c r="G101" s="50">
        <v>2622.68</v>
      </c>
      <c r="H101" s="34">
        <f t="shared" si="0"/>
        <v>2403.8933333333334</v>
      </c>
      <c r="I101" s="42">
        <f t="shared" si="9"/>
        <v>0.24949023344449728</v>
      </c>
      <c r="J101" s="36">
        <f t="shared" si="15"/>
        <v>9.1013467042353469E-2</v>
      </c>
      <c r="K101" s="51">
        <v>45849</v>
      </c>
      <c r="L101" s="43">
        <f t="shared" ref="L101:L228" si="16">EDATE(K101,6)</f>
        <v>46033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ht="15.75" customHeight="1" x14ac:dyDescent="0.25">
      <c r="A102" s="7"/>
      <c r="B102" s="56">
        <v>100010849</v>
      </c>
      <c r="C102" s="59" t="s">
        <v>129</v>
      </c>
      <c r="D102" s="58" t="s">
        <v>131</v>
      </c>
      <c r="E102" s="65">
        <v>5599</v>
      </c>
      <c r="F102" s="47">
        <v>5699</v>
      </c>
      <c r="G102" s="47">
        <v>4792.5</v>
      </c>
      <c r="H102" s="34">
        <f t="shared" si="0"/>
        <v>5363.5</v>
      </c>
      <c r="I102" s="42">
        <f t="shared" si="9"/>
        <v>0.18914971309337503</v>
      </c>
      <c r="J102" s="36">
        <f t="shared" si="15"/>
        <v>6.2552437773841785E-2</v>
      </c>
      <c r="K102" s="51">
        <v>45848</v>
      </c>
      <c r="L102" s="43">
        <f t="shared" si="16"/>
        <v>46032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ht="15.75" customHeight="1" x14ac:dyDescent="0.25">
      <c r="A103" s="7"/>
      <c r="B103" s="56">
        <v>100010851</v>
      </c>
      <c r="C103" s="59" t="s">
        <v>132</v>
      </c>
      <c r="D103" s="58"/>
      <c r="E103" s="65">
        <v>956.87</v>
      </c>
      <c r="F103" s="47">
        <v>899</v>
      </c>
      <c r="G103" s="47">
        <v>800.11</v>
      </c>
      <c r="H103" s="34">
        <f t="shared" si="0"/>
        <v>885.32666666666671</v>
      </c>
      <c r="I103" s="42">
        <f t="shared" si="9"/>
        <v>0.19592306057917042</v>
      </c>
      <c r="J103" s="36">
        <f t="shared" si="15"/>
        <v>8.0810096461569669E-2</v>
      </c>
      <c r="K103" s="51">
        <v>45818</v>
      </c>
      <c r="L103" s="43">
        <f t="shared" si="16"/>
        <v>46001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ht="15.75" customHeight="1" x14ac:dyDescent="0.25">
      <c r="A104" s="7"/>
      <c r="B104" s="56">
        <v>100010865</v>
      </c>
      <c r="C104" s="59" t="s">
        <v>133</v>
      </c>
      <c r="D104" s="58" t="s">
        <v>134</v>
      </c>
      <c r="E104" s="65">
        <v>499.9</v>
      </c>
      <c r="F104" s="47">
        <v>424</v>
      </c>
      <c r="G104" s="47">
        <v>499</v>
      </c>
      <c r="H104" s="34">
        <f t="shared" si="0"/>
        <v>474.3</v>
      </c>
      <c r="I104" s="42">
        <f t="shared" si="9"/>
        <v>0.1790094339622641</v>
      </c>
      <c r="J104" s="36">
        <f t="shared" si="15"/>
        <v>5.3974277883196198E-2</v>
      </c>
      <c r="K104" s="51">
        <v>45848</v>
      </c>
      <c r="L104" s="43">
        <f t="shared" si="16"/>
        <v>46032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ht="15.75" customHeight="1" x14ac:dyDescent="0.25">
      <c r="A105" s="7"/>
      <c r="B105" s="56">
        <v>100011316</v>
      </c>
      <c r="C105" s="59" t="s">
        <v>135</v>
      </c>
      <c r="D105" s="58"/>
      <c r="E105" s="65">
        <v>1073</v>
      </c>
      <c r="F105" s="55">
        <v>1244.9100000000001</v>
      </c>
      <c r="G105" s="47">
        <v>1634.99</v>
      </c>
      <c r="H105" s="34">
        <f t="shared" si="0"/>
        <v>1317.6333333333332</v>
      </c>
      <c r="I105" s="42">
        <f t="shared" si="9"/>
        <v>0.52375582479030758</v>
      </c>
      <c r="J105" s="36">
        <f t="shared" si="15"/>
        <v>0.24085355055781843</v>
      </c>
      <c r="K105" s="51">
        <v>45882</v>
      </c>
      <c r="L105" s="43">
        <f t="shared" si="16"/>
        <v>46066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ht="15.75" customHeight="1" x14ac:dyDescent="0.25">
      <c r="A106" s="7"/>
      <c r="B106" s="56">
        <v>100011324</v>
      </c>
      <c r="C106" s="59" t="s">
        <v>136</v>
      </c>
      <c r="D106" s="58"/>
      <c r="E106" s="65">
        <v>356.4</v>
      </c>
      <c r="F106" s="55">
        <v>396.21</v>
      </c>
      <c r="G106" s="47">
        <v>347.23</v>
      </c>
      <c r="H106" s="34">
        <f t="shared" si="0"/>
        <v>366.61333333333329</v>
      </c>
      <c r="I106" s="42">
        <f t="shared" si="9"/>
        <v>0.14105924027301775</v>
      </c>
      <c r="J106" s="36"/>
      <c r="K106" s="51">
        <v>45849</v>
      </c>
      <c r="L106" s="43">
        <f t="shared" si="16"/>
        <v>46033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ht="15.75" customHeight="1" x14ac:dyDescent="0.25">
      <c r="A107" s="7"/>
      <c r="B107" s="56">
        <v>100011327</v>
      </c>
      <c r="C107" s="59" t="s">
        <v>601</v>
      </c>
      <c r="D107" s="58"/>
      <c r="E107" s="65">
        <v>10450.83</v>
      </c>
      <c r="F107" s="55">
        <v>11612.03</v>
      </c>
      <c r="G107" s="47">
        <v>11147.55</v>
      </c>
      <c r="H107" s="34">
        <f t="shared" si="0"/>
        <v>11070.136666666667</v>
      </c>
      <c r="I107" s="42">
        <f t="shared" si="9"/>
        <v>0.11111079215717812</v>
      </c>
      <c r="J107" s="36">
        <f t="shared" ref="J107:J149" si="17">IF(ISERROR(MAX(E107:G107)/H107-1),"",(MAX(E107:G107)/H107-1))</f>
        <v>4.8950916294017377E-2</v>
      </c>
      <c r="K107" s="51">
        <v>45849</v>
      </c>
      <c r="L107" s="43">
        <f t="shared" si="16"/>
        <v>46033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ht="15.75" customHeight="1" x14ac:dyDescent="0.25">
      <c r="A108" s="7"/>
      <c r="B108" s="56">
        <v>100011731</v>
      </c>
      <c r="C108" s="59" t="s">
        <v>137</v>
      </c>
      <c r="D108" s="58"/>
      <c r="E108" s="61">
        <v>3549</v>
      </c>
      <c r="F108" s="50">
        <v>3999</v>
      </c>
      <c r="G108" s="50">
        <v>3499</v>
      </c>
      <c r="H108" s="34">
        <f t="shared" si="0"/>
        <v>3682.3333333333335</v>
      </c>
      <c r="I108" s="42">
        <f t="shared" si="9"/>
        <v>0.14289797084881384</v>
      </c>
      <c r="J108" s="36">
        <f t="shared" si="17"/>
        <v>8.5996198062822549E-2</v>
      </c>
      <c r="K108" s="51">
        <v>45848</v>
      </c>
      <c r="L108" s="43">
        <f t="shared" si="16"/>
        <v>46032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ht="15.75" customHeight="1" x14ac:dyDescent="0.25">
      <c r="A109" s="7"/>
      <c r="B109" s="56">
        <v>100011995</v>
      </c>
      <c r="C109" s="59" t="s">
        <v>138</v>
      </c>
      <c r="D109" s="58"/>
      <c r="E109" s="65">
        <v>3758.87</v>
      </c>
      <c r="F109" s="47">
        <v>3757.9</v>
      </c>
      <c r="G109" s="47">
        <v>4100</v>
      </c>
      <c r="H109" s="34">
        <f t="shared" si="0"/>
        <v>3872.2566666666667</v>
      </c>
      <c r="I109" s="42">
        <f t="shared" si="9"/>
        <v>9.1034886505761081E-2</v>
      </c>
      <c r="J109" s="36">
        <f t="shared" si="17"/>
        <v>5.8814110979213741E-2</v>
      </c>
      <c r="K109" s="51">
        <v>45861</v>
      </c>
      <c r="L109" s="43">
        <f t="shared" si="16"/>
        <v>46045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ht="15.75" customHeight="1" x14ac:dyDescent="0.25">
      <c r="A110" s="7"/>
      <c r="B110" s="56">
        <v>100012058</v>
      </c>
      <c r="C110" s="59" t="s">
        <v>139</v>
      </c>
      <c r="D110" s="58"/>
      <c r="E110" s="65">
        <v>234.4</v>
      </c>
      <c r="F110" s="47">
        <v>227.88</v>
      </c>
      <c r="G110" s="47">
        <v>246.44</v>
      </c>
      <c r="H110" s="34">
        <f t="shared" si="0"/>
        <v>236.24</v>
      </c>
      <c r="I110" s="42">
        <f t="shared" si="9"/>
        <v>8.1446375285237904E-2</v>
      </c>
      <c r="J110" s="36">
        <f t="shared" si="17"/>
        <v>4.3176430748391503E-2</v>
      </c>
      <c r="K110" s="51">
        <v>45848</v>
      </c>
      <c r="L110" s="43">
        <f t="shared" si="16"/>
        <v>46032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ht="15.75" customHeight="1" x14ac:dyDescent="0.25">
      <c r="A111" s="7"/>
      <c r="B111" s="56">
        <v>100012258</v>
      </c>
      <c r="C111" s="59" t="s">
        <v>140</v>
      </c>
      <c r="D111" s="58"/>
      <c r="E111" s="61">
        <v>3586.16</v>
      </c>
      <c r="F111" s="50">
        <v>3842.43</v>
      </c>
      <c r="G111" s="50">
        <v>3936.98</v>
      </c>
      <c r="H111" s="34">
        <f t="shared" si="0"/>
        <v>3788.5233333333331</v>
      </c>
      <c r="I111" s="42">
        <f t="shared" si="9"/>
        <v>9.7826086956521729E-2</v>
      </c>
      <c r="J111" s="36">
        <f t="shared" si="17"/>
        <v>3.9185892128595468E-2</v>
      </c>
      <c r="K111" s="51">
        <v>45849</v>
      </c>
      <c r="L111" s="43">
        <f t="shared" si="16"/>
        <v>46033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ht="15.75" customHeight="1" x14ac:dyDescent="0.25">
      <c r="A112" s="7"/>
      <c r="B112" s="56">
        <v>100012268</v>
      </c>
      <c r="C112" s="59" t="s">
        <v>57</v>
      </c>
      <c r="D112" s="80"/>
      <c r="E112" s="65">
        <v>970</v>
      </c>
      <c r="F112" s="47">
        <v>990</v>
      </c>
      <c r="G112" s="47">
        <v>1059.25</v>
      </c>
      <c r="H112" s="34">
        <f t="shared" si="0"/>
        <v>1006.4166666666666</v>
      </c>
      <c r="I112" s="42">
        <f t="shared" si="9"/>
        <v>9.2010309278350411E-2</v>
      </c>
      <c r="J112" s="36">
        <f t="shared" si="17"/>
        <v>5.2496480914134391E-2</v>
      </c>
      <c r="K112" s="51">
        <v>45852</v>
      </c>
      <c r="L112" s="43">
        <f t="shared" si="16"/>
        <v>46036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ht="15.75" customHeight="1" x14ac:dyDescent="0.25">
      <c r="A113" s="7"/>
      <c r="B113" s="56">
        <v>100012305</v>
      </c>
      <c r="C113" s="59" t="s">
        <v>141</v>
      </c>
      <c r="D113" s="58" t="s">
        <v>142</v>
      </c>
      <c r="E113" s="65">
        <v>2359</v>
      </c>
      <c r="F113" s="47">
        <v>2349</v>
      </c>
      <c r="G113" s="47">
        <v>2499</v>
      </c>
      <c r="H113" s="34">
        <f t="shared" si="0"/>
        <v>2402.3333333333335</v>
      </c>
      <c r="I113" s="42">
        <f t="shared" si="9"/>
        <v>6.3856960408684493E-2</v>
      </c>
      <c r="J113" s="36">
        <f t="shared" si="17"/>
        <v>4.0238656861384614E-2</v>
      </c>
      <c r="K113" s="51">
        <v>45852</v>
      </c>
      <c r="L113" s="43">
        <f t="shared" si="16"/>
        <v>46036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ht="15.75" customHeight="1" x14ac:dyDescent="0.25">
      <c r="A114" s="7"/>
      <c r="B114" s="56">
        <v>100012305</v>
      </c>
      <c r="C114" s="59" t="s">
        <v>141</v>
      </c>
      <c r="D114" s="58" t="s">
        <v>143</v>
      </c>
      <c r="E114" s="65">
        <v>3389.9</v>
      </c>
      <c r="F114" s="47">
        <v>3887.78</v>
      </c>
      <c r="G114" s="47">
        <v>3630.6</v>
      </c>
      <c r="H114" s="34">
        <f t="shared" si="0"/>
        <v>3636.0933333333337</v>
      </c>
      <c r="I114" s="42">
        <f t="shared" si="9"/>
        <v>0.14687158913242282</v>
      </c>
      <c r="J114" s="36">
        <f t="shared" si="17"/>
        <v>6.9218978610743331E-2</v>
      </c>
      <c r="K114" s="51">
        <v>45853</v>
      </c>
      <c r="L114" s="43">
        <f t="shared" si="16"/>
        <v>46037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ht="15.75" customHeight="1" x14ac:dyDescent="0.25">
      <c r="A115" s="7"/>
      <c r="B115" s="56">
        <v>100012476</v>
      </c>
      <c r="C115" s="59" t="s">
        <v>144</v>
      </c>
      <c r="D115" s="58"/>
      <c r="E115" s="65">
        <v>651.9</v>
      </c>
      <c r="F115" s="47">
        <v>799</v>
      </c>
      <c r="G115" s="47">
        <v>721.65</v>
      </c>
      <c r="H115" s="34">
        <f t="shared" si="0"/>
        <v>724.18333333333339</v>
      </c>
      <c r="I115" s="42">
        <f t="shared" si="9"/>
        <v>0.22564810553765913</v>
      </c>
      <c r="J115" s="36">
        <f t="shared" si="17"/>
        <v>0.10331177648385537</v>
      </c>
      <c r="K115" s="51">
        <v>45852</v>
      </c>
      <c r="L115" s="43">
        <f t="shared" si="16"/>
        <v>46036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ht="15.75" customHeight="1" x14ac:dyDescent="0.25">
      <c r="A116" s="7"/>
      <c r="B116" s="56">
        <v>100012533</v>
      </c>
      <c r="C116" s="59" t="s">
        <v>129</v>
      </c>
      <c r="D116" s="58" t="s">
        <v>145</v>
      </c>
      <c r="E116" s="61">
        <v>1699</v>
      </c>
      <c r="F116" s="50">
        <v>1449</v>
      </c>
      <c r="G116" s="50">
        <v>1739.11</v>
      </c>
      <c r="H116" s="34">
        <f t="shared" si="0"/>
        <v>1629.0366666666666</v>
      </c>
      <c r="I116" s="42">
        <f t="shared" si="9"/>
        <v>0.20021394064872311</v>
      </c>
      <c r="J116" s="36">
        <f t="shared" si="17"/>
        <v>6.7569586115311386E-2</v>
      </c>
      <c r="K116" s="51">
        <v>45852</v>
      </c>
      <c r="L116" s="43">
        <f t="shared" si="16"/>
        <v>46036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ht="15.75" customHeight="1" x14ac:dyDescent="0.25">
      <c r="A117" s="7"/>
      <c r="B117" s="56">
        <v>100012534</v>
      </c>
      <c r="C117" s="59" t="s">
        <v>146</v>
      </c>
      <c r="D117" s="58" t="s">
        <v>147</v>
      </c>
      <c r="E117" s="61">
        <v>799</v>
      </c>
      <c r="F117" s="50">
        <v>990</v>
      </c>
      <c r="G117" s="50">
        <v>871.5</v>
      </c>
      <c r="H117" s="34">
        <f t="shared" si="0"/>
        <v>886.83333333333337</v>
      </c>
      <c r="I117" s="42">
        <f t="shared" si="9"/>
        <v>0.23904881101376718</v>
      </c>
      <c r="J117" s="36">
        <f t="shared" si="17"/>
        <v>0.11633151663221186</v>
      </c>
      <c r="K117" s="51">
        <v>45852</v>
      </c>
      <c r="L117" s="43">
        <f t="shared" si="16"/>
        <v>46036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ht="15.75" customHeight="1" x14ac:dyDescent="0.25">
      <c r="A118" s="7"/>
      <c r="B118" s="56">
        <v>100012539</v>
      </c>
      <c r="C118" s="59" t="s">
        <v>148</v>
      </c>
      <c r="D118" s="58"/>
      <c r="E118" s="61">
        <v>1498</v>
      </c>
      <c r="F118" s="50">
        <v>1516.9</v>
      </c>
      <c r="G118" s="50">
        <v>1397.91</v>
      </c>
      <c r="H118" s="34">
        <f t="shared" si="0"/>
        <v>1470.9366666666667</v>
      </c>
      <c r="I118" s="42">
        <f t="shared" si="9"/>
        <v>8.511992903691934E-2</v>
      </c>
      <c r="J118" s="36">
        <f t="shared" si="17"/>
        <v>3.1247663053700414E-2</v>
      </c>
      <c r="K118" s="51">
        <v>45852</v>
      </c>
      <c r="L118" s="43">
        <f t="shared" si="16"/>
        <v>46036</v>
      </c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ht="15.75" customHeight="1" x14ac:dyDescent="0.25">
      <c r="A119" s="7"/>
      <c r="B119" s="56">
        <v>100012544</v>
      </c>
      <c r="C119" s="59" t="s">
        <v>149</v>
      </c>
      <c r="D119" s="81"/>
      <c r="E119" s="65">
        <v>16851.439999999999</v>
      </c>
      <c r="F119" s="55">
        <v>15749</v>
      </c>
      <c r="G119" s="55">
        <v>18371.03</v>
      </c>
      <c r="H119" s="34">
        <f t="shared" si="0"/>
        <v>16990.490000000002</v>
      </c>
      <c r="I119" s="42">
        <f t="shared" si="9"/>
        <v>0.16648866594704415</v>
      </c>
      <c r="J119" s="36">
        <f t="shared" si="17"/>
        <v>8.1253689563985265E-2</v>
      </c>
      <c r="K119" s="51">
        <v>45852</v>
      </c>
      <c r="L119" s="43">
        <f t="shared" si="16"/>
        <v>46036</v>
      </c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ht="15.75" customHeight="1" x14ac:dyDescent="0.25">
      <c r="A120" s="7"/>
      <c r="B120" s="56">
        <v>100012545</v>
      </c>
      <c r="C120" s="59" t="s">
        <v>150</v>
      </c>
      <c r="D120" s="81" t="s">
        <v>151</v>
      </c>
      <c r="E120" s="65">
        <v>1823.81</v>
      </c>
      <c r="F120" s="55">
        <v>1938.79</v>
      </c>
      <c r="G120" s="55">
        <v>2233.3000000000002</v>
      </c>
      <c r="H120" s="34">
        <f t="shared" si="0"/>
        <v>1998.6333333333332</v>
      </c>
      <c r="I120" s="42">
        <f t="shared" si="9"/>
        <v>0.22452448445835937</v>
      </c>
      <c r="J120" s="36">
        <f t="shared" si="17"/>
        <v>0.1174135659367237</v>
      </c>
      <c r="K120" s="51">
        <v>45852</v>
      </c>
      <c r="L120" s="43">
        <f t="shared" si="16"/>
        <v>46036</v>
      </c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ht="15.75" customHeight="1" x14ac:dyDescent="0.25">
      <c r="A121" s="7"/>
      <c r="B121" s="56">
        <v>100012545</v>
      </c>
      <c r="C121" s="59" t="s">
        <v>150</v>
      </c>
      <c r="D121" s="81" t="s">
        <v>152</v>
      </c>
      <c r="E121" s="65">
        <v>2009.57</v>
      </c>
      <c r="F121" s="55">
        <v>1899.9</v>
      </c>
      <c r="G121" s="55">
        <v>1777.77</v>
      </c>
      <c r="H121" s="34">
        <f t="shared" si="0"/>
        <v>1895.7466666666667</v>
      </c>
      <c r="I121" s="42">
        <f t="shared" si="9"/>
        <v>0.1303880704478082</v>
      </c>
      <c r="J121" s="36">
        <f t="shared" si="17"/>
        <v>6.00414260695874E-2</v>
      </c>
      <c r="K121" s="51">
        <v>45852</v>
      </c>
      <c r="L121" s="43">
        <f t="shared" si="16"/>
        <v>46036</v>
      </c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ht="15.75" customHeight="1" x14ac:dyDescent="0.25">
      <c r="A122" s="7"/>
      <c r="B122" s="56">
        <v>100012551</v>
      </c>
      <c r="C122" s="59" t="s">
        <v>153</v>
      </c>
      <c r="D122" s="81" t="s">
        <v>154</v>
      </c>
      <c r="E122" s="65">
        <v>1510.9</v>
      </c>
      <c r="F122" s="55">
        <v>1854.9</v>
      </c>
      <c r="G122" s="55">
        <v>1563.09</v>
      </c>
      <c r="H122" s="34">
        <f t="shared" si="0"/>
        <v>1642.9633333333334</v>
      </c>
      <c r="I122" s="42">
        <f t="shared" si="9"/>
        <v>0.22767886690052275</v>
      </c>
      <c r="J122" s="36">
        <f t="shared" si="17"/>
        <v>0.12899658949580939</v>
      </c>
      <c r="K122" s="51">
        <v>45852</v>
      </c>
      <c r="L122" s="43">
        <f t="shared" si="16"/>
        <v>46036</v>
      </c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ht="15.75" customHeight="1" x14ac:dyDescent="0.25">
      <c r="A123" s="7"/>
      <c r="B123" s="56">
        <v>100012551</v>
      </c>
      <c r="C123" s="59" t="s">
        <v>153</v>
      </c>
      <c r="D123" s="58" t="s">
        <v>155</v>
      </c>
      <c r="E123" s="65">
        <v>1349</v>
      </c>
      <c r="F123" s="47">
        <v>1498.89</v>
      </c>
      <c r="G123" s="47">
        <v>1282.4100000000001</v>
      </c>
      <c r="H123" s="34">
        <f t="shared" si="0"/>
        <v>1376.7666666666667</v>
      </c>
      <c r="I123" s="42">
        <f t="shared" si="9"/>
        <v>0.16880716775446225</v>
      </c>
      <c r="J123" s="36">
        <f t="shared" si="17"/>
        <v>8.870299978209828E-2</v>
      </c>
      <c r="K123" s="51">
        <v>45852</v>
      </c>
      <c r="L123" s="43">
        <f t="shared" si="16"/>
        <v>46036</v>
      </c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ht="15.75" customHeight="1" x14ac:dyDescent="0.25">
      <c r="A124" s="7"/>
      <c r="B124" s="56">
        <v>100012907</v>
      </c>
      <c r="C124" s="59" t="s">
        <v>156</v>
      </c>
      <c r="D124" s="58"/>
      <c r="E124" s="61">
        <v>659.65</v>
      </c>
      <c r="F124" s="50">
        <v>647.94000000000005</v>
      </c>
      <c r="G124" s="50">
        <v>595.09</v>
      </c>
      <c r="H124" s="34">
        <f t="shared" si="0"/>
        <v>634.2266666666668</v>
      </c>
      <c r="I124" s="42">
        <f t="shared" si="9"/>
        <v>0.10848779176259038</v>
      </c>
      <c r="J124" s="36">
        <f t="shared" si="17"/>
        <v>4.0085563520928069E-2</v>
      </c>
      <c r="K124" s="51">
        <v>45852</v>
      </c>
      <c r="L124" s="43">
        <f t="shared" si="16"/>
        <v>46036</v>
      </c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ht="15.75" customHeight="1" x14ac:dyDescent="0.25">
      <c r="A125" s="7"/>
      <c r="B125" s="56">
        <v>100012915</v>
      </c>
      <c r="C125" s="59" t="s">
        <v>157</v>
      </c>
      <c r="D125" s="58"/>
      <c r="E125" s="65">
        <v>1494.53</v>
      </c>
      <c r="F125" s="47">
        <v>1401.34</v>
      </c>
      <c r="G125" s="47">
        <v>1265</v>
      </c>
      <c r="H125" s="34">
        <f t="shared" si="0"/>
        <v>1386.9566666666667</v>
      </c>
      <c r="I125" s="42">
        <f t="shared" si="9"/>
        <v>0.18144664031620561</v>
      </c>
      <c r="J125" s="36">
        <f t="shared" si="17"/>
        <v>7.7560702449247287E-2</v>
      </c>
      <c r="K125" s="51">
        <v>45852</v>
      </c>
      <c r="L125" s="43">
        <f t="shared" si="16"/>
        <v>46036</v>
      </c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ht="15.75" customHeight="1" x14ac:dyDescent="0.25">
      <c r="A126" s="7"/>
      <c r="B126" s="56">
        <v>100012923</v>
      </c>
      <c r="C126" s="59" t="s">
        <v>158</v>
      </c>
      <c r="D126" s="81"/>
      <c r="E126" s="65">
        <v>3449.9</v>
      </c>
      <c r="F126" s="47">
        <v>3529</v>
      </c>
      <c r="G126" s="47">
        <v>4054.96</v>
      </c>
      <c r="H126" s="34">
        <f t="shared" si="0"/>
        <v>3677.9533333333334</v>
      </c>
      <c r="I126" s="42">
        <f t="shared" si="9"/>
        <v>0.175384793762138</v>
      </c>
      <c r="J126" s="36">
        <f t="shared" si="17"/>
        <v>0.10250447259617212</v>
      </c>
      <c r="K126" s="51">
        <v>45852</v>
      </c>
      <c r="L126" s="43">
        <f t="shared" si="16"/>
        <v>46036</v>
      </c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ht="15.75" customHeight="1" x14ac:dyDescent="0.25">
      <c r="A127" s="7"/>
      <c r="B127" s="56">
        <v>100013107</v>
      </c>
      <c r="C127" s="59" t="s">
        <v>159</v>
      </c>
      <c r="D127" s="58"/>
      <c r="E127" s="61">
        <v>3625.27</v>
      </c>
      <c r="F127" s="50">
        <v>3876.33</v>
      </c>
      <c r="G127" s="50">
        <v>3869.9</v>
      </c>
      <c r="H127" s="34">
        <f t="shared" si="0"/>
        <v>3790.5</v>
      </c>
      <c r="I127" s="42">
        <f t="shared" si="9"/>
        <v>6.9252772896915227E-2</v>
      </c>
      <c r="J127" s="36">
        <f t="shared" si="17"/>
        <v>2.2643450732093395E-2</v>
      </c>
      <c r="K127" s="51">
        <v>45852</v>
      </c>
      <c r="L127" s="43">
        <f t="shared" si="16"/>
        <v>46036</v>
      </c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ht="15.75" customHeight="1" x14ac:dyDescent="0.25">
      <c r="A128" s="7"/>
      <c r="B128" s="56">
        <v>100012529</v>
      </c>
      <c r="C128" s="59" t="s">
        <v>160</v>
      </c>
      <c r="D128" s="58" t="s">
        <v>161</v>
      </c>
      <c r="E128" s="61">
        <v>671.31</v>
      </c>
      <c r="F128" s="50">
        <v>709.9</v>
      </c>
      <c r="G128" s="50">
        <v>703.33</v>
      </c>
      <c r="H128" s="34">
        <f t="shared" si="0"/>
        <v>694.84666666666669</v>
      </c>
      <c r="I128" s="42">
        <f t="shared" si="9"/>
        <v>5.7484619624316613E-2</v>
      </c>
      <c r="J128" s="36">
        <f t="shared" si="17"/>
        <v>2.1664252065203726E-2</v>
      </c>
      <c r="K128" s="51"/>
      <c r="L128" s="43">
        <f t="shared" si="16"/>
        <v>182</v>
      </c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ht="15.75" customHeight="1" x14ac:dyDescent="0.25">
      <c r="A129" s="7"/>
      <c r="B129" s="56">
        <v>100012529</v>
      </c>
      <c r="C129" s="59" t="s">
        <v>160</v>
      </c>
      <c r="D129" s="80" t="s">
        <v>162</v>
      </c>
      <c r="E129" s="65">
        <v>1569</v>
      </c>
      <c r="F129" s="47">
        <v>1666.64</v>
      </c>
      <c r="G129" s="47">
        <v>1681</v>
      </c>
      <c r="H129" s="34">
        <f t="shared" si="0"/>
        <v>1638.88</v>
      </c>
      <c r="I129" s="42">
        <f t="shared" si="9"/>
        <v>7.138304652645E-2</v>
      </c>
      <c r="J129" s="36">
        <f t="shared" si="17"/>
        <v>2.5700478375475955E-2</v>
      </c>
      <c r="K129" s="51"/>
      <c r="L129" s="43">
        <f t="shared" si="16"/>
        <v>182</v>
      </c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ht="15.75" customHeight="1" x14ac:dyDescent="0.25">
      <c r="A130" s="7"/>
      <c r="B130" s="56">
        <v>100012307</v>
      </c>
      <c r="C130" s="59" t="s">
        <v>163</v>
      </c>
      <c r="D130" s="58" t="s">
        <v>164</v>
      </c>
      <c r="E130" s="82">
        <v>455.91</v>
      </c>
      <c r="F130" s="50">
        <v>414.99</v>
      </c>
      <c r="G130" s="50">
        <v>495</v>
      </c>
      <c r="H130" s="34">
        <f t="shared" si="0"/>
        <v>455.3</v>
      </c>
      <c r="I130" s="42">
        <f t="shared" si="9"/>
        <v>0.19279982650184335</v>
      </c>
      <c r="J130" s="36">
        <f t="shared" si="17"/>
        <v>8.7195255875247124E-2</v>
      </c>
      <c r="K130" s="51">
        <v>45853</v>
      </c>
      <c r="L130" s="43">
        <f t="shared" si="16"/>
        <v>46037</v>
      </c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ht="15.75" customHeight="1" x14ac:dyDescent="0.25">
      <c r="A131" s="7"/>
      <c r="B131" s="56">
        <v>100012307</v>
      </c>
      <c r="C131" s="59" t="s">
        <v>163</v>
      </c>
      <c r="D131" s="58" t="s">
        <v>165</v>
      </c>
      <c r="E131" s="82">
        <v>399</v>
      </c>
      <c r="F131" s="50">
        <v>345</v>
      </c>
      <c r="G131" s="50">
        <v>387.48</v>
      </c>
      <c r="H131" s="34">
        <f t="shared" si="0"/>
        <v>377.16</v>
      </c>
      <c r="I131" s="42">
        <f t="shared" si="9"/>
        <v>0.15652173913043477</v>
      </c>
      <c r="J131" s="36">
        <f t="shared" si="17"/>
        <v>5.7906458797327254E-2</v>
      </c>
      <c r="K131" s="51">
        <v>45853</v>
      </c>
      <c r="L131" s="43">
        <f t="shared" si="16"/>
        <v>46037</v>
      </c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ht="15.75" customHeight="1" x14ac:dyDescent="0.25">
      <c r="A132" s="7"/>
      <c r="B132" s="56">
        <v>100012307</v>
      </c>
      <c r="C132" s="59" t="s">
        <v>163</v>
      </c>
      <c r="D132" s="58" t="s">
        <v>166</v>
      </c>
      <c r="E132" s="82">
        <v>1533.45</v>
      </c>
      <c r="F132" s="50">
        <v>1349.44</v>
      </c>
      <c r="G132" s="50">
        <v>1614.16</v>
      </c>
      <c r="H132" s="34">
        <f t="shared" si="0"/>
        <v>1499.0166666666667</v>
      </c>
      <c r="I132" s="42">
        <f t="shared" si="9"/>
        <v>0.19617026322029885</v>
      </c>
      <c r="J132" s="36">
        <f t="shared" si="17"/>
        <v>7.6812577133898996E-2</v>
      </c>
      <c r="K132" s="51">
        <v>45853</v>
      </c>
      <c r="L132" s="43">
        <f t="shared" si="16"/>
        <v>46037</v>
      </c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ht="15.75" customHeight="1" x14ac:dyDescent="0.25">
      <c r="A133" s="7"/>
      <c r="B133" s="56">
        <v>100012307</v>
      </c>
      <c r="C133" s="59" t="s">
        <v>163</v>
      </c>
      <c r="D133" s="58" t="s">
        <v>167</v>
      </c>
      <c r="E133" s="82">
        <v>362.98</v>
      </c>
      <c r="F133" s="50">
        <v>370.44</v>
      </c>
      <c r="G133" s="50">
        <v>450.9</v>
      </c>
      <c r="H133" s="34">
        <f t="shared" si="0"/>
        <v>394.77333333333337</v>
      </c>
      <c r="I133" s="42">
        <f t="shared" si="9"/>
        <v>0.24221720204969954</v>
      </c>
      <c r="J133" s="36">
        <f t="shared" si="17"/>
        <v>0.14217441232099426</v>
      </c>
      <c r="K133" s="51">
        <v>45882</v>
      </c>
      <c r="L133" s="43">
        <f t="shared" si="16"/>
        <v>46066</v>
      </c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ht="15.75" customHeight="1" x14ac:dyDescent="0.25">
      <c r="A134" s="7"/>
      <c r="B134" s="56">
        <v>100012307</v>
      </c>
      <c r="C134" s="59" t="s">
        <v>163</v>
      </c>
      <c r="D134" s="58" t="s">
        <v>168</v>
      </c>
      <c r="E134" s="82">
        <v>815.64</v>
      </c>
      <c r="F134" s="50">
        <v>780.92</v>
      </c>
      <c r="G134" s="50">
        <v>815.64</v>
      </c>
      <c r="H134" s="34">
        <f t="shared" si="0"/>
        <v>804.06666666666661</v>
      </c>
      <c r="I134" s="42">
        <f t="shared" si="9"/>
        <v>4.446038006453934E-2</v>
      </c>
      <c r="J134" s="36">
        <f t="shared" si="17"/>
        <v>1.4393499709808522E-2</v>
      </c>
      <c r="K134" s="51">
        <v>45853</v>
      </c>
      <c r="L134" s="43">
        <f t="shared" si="16"/>
        <v>46037</v>
      </c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ht="15.75" customHeight="1" x14ac:dyDescent="0.25">
      <c r="A135" s="7"/>
      <c r="B135" s="56">
        <v>100012525</v>
      </c>
      <c r="C135" s="59" t="s">
        <v>169</v>
      </c>
      <c r="D135" s="58"/>
      <c r="E135" s="65">
        <v>2699.9</v>
      </c>
      <c r="F135" s="47">
        <v>2699</v>
      </c>
      <c r="G135" s="47">
        <v>2239</v>
      </c>
      <c r="H135" s="34">
        <f t="shared" si="0"/>
        <v>2545.9666666666667</v>
      </c>
      <c r="I135" s="42">
        <f t="shared" si="9"/>
        <v>0.20585082626172402</v>
      </c>
      <c r="J135" s="36">
        <f t="shared" si="17"/>
        <v>6.0461645216617121E-2</v>
      </c>
      <c r="K135" s="51"/>
      <c r="L135" s="43">
        <f t="shared" si="16"/>
        <v>182</v>
      </c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ht="15.75" customHeight="1" x14ac:dyDescent="0.25">
      <c r="A136" s="7"/>
      <c r="B136" s="56">
        <v>100012548</v>
      </c>
      <c r="C136" s="59" t="s">
        <v>170</v>
      </c>
      <c r="D136" s="58"/>
      <c r="E136" s="65">
        <v>15931.09</v>
      </c>
      <c r="F136" s="55">
        <v>13200</v>
      </c>
      <c r="G136" s="55">
        <v>14056.7</v>
      </c>
      <c r="H136" s="34">
        <f t="shared" si="0"/>
        <v>14395.93</v>
      </c>
      <c r="I136" s="42">
        <f t="shared" si="9"/>
        <v>0.20690075757575754</v>
      </c>
      <c r="J136" s="36">
        <f t="shared" si="17"/>
        <v>0.10663847351299993</v>
      </c>
      <c r="K136" s="51">
        <v>45853</v>
      </c>
      <c r="L136" s="43">
        <f t="shared" si="16"/>
        <v>46037</v>
      </c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ht="15.75" customHeight="1" x14ac:dyDescent="0.25">
      <c r="A137" s="7"/>
      <c r="B137" s="56">
        <v>100012553</v>
      </c>
      <c r="C137" s="59" t="s">
        <v>171</v>
      </c>
      <c r="D137" s="58"/>
      <c r="E137" s="82">
        <v>956.87</v>
      </c>
      <c r="F137" s="61">
        <v>899</v>
      </c>
      <c r="G137" s="50">
        <v>800.11</v>
      </c>
      <c r="H137" s="34">
        <f t="shared" si="0"/>
        <v>885.32666666666671</v>
      </c>
      <c r="I137" s="42">
        <f t="shared" si="9"/>
        <v>0.19592306057917042</v>
      </c>
      <c r="J137" s="36">
        <f t="shared" si="17"/>
        <v>8.0810096461569669E-2</v>
      </c>
      <c r="K137" s="51">
        <v>45853</v>
      </c>
      <c r="L137" s="43">
        <f t="shared" si="16"/>
        <v>46037</v>
      </c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ht="15.75" customHeight="1" x14ac:dyDescent="0.25">
      <c r="A138" s="7"/>
      <c r="B138" s="56">
        <v>100012583</v>
      </c>
      <c r="C138" s="59" t="s">
        <v>172</v>
      </c>
      <c r="D138" s="58"/>
      <c r="E138" s="65">
        <v>155.29</v>
      </c>
      <c r="F138" s="47">
        <v>169.88</v>
      </c>
      <c r="G138" s="47">
        <v>169.9</v>
      </c>
      <c r="H138" s="34">
        <f t="shared" si="0"/>
        <v>165.02333333333331</v>
      </c>
      <c r="I138" s="42">
        <f t="shared" si="9"/>
        <v>9.4082040054092486E-2</v>
      </c>
      <c r="J138" s="36">
        <f t="shared" si="17"/>
        <v>2.9551376573009991E-2</v>
      </c>
      <c r="K138" s="51">
        <v>45853</v>
      </c>
      <c r="L138" s="43">
        <f t="shared" si="16"/>
        <v>46037</v>
      </c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ht="15.75" customHeight="1" x14ac:dyDescent="0.25">
      <c r="A139" s="7"/>
      <c r="B139" s="56">
        <v>100012595</v>
      </c>
      <c r="C139" s="59" t="s">
        <v>61</v>
      </c>
      <c r="D139" s="58"/>
      <c r="E139" s="82">
        <v>230.41</v>
      </c>
      <c r="F139" s="50">
        <v>298.43</v>
      </c>
      <c r="G139" s="50">
        <v>286.2</v>
      </c>
      <c r="H139" s="34">
        <f t="shared" si="0"/>
        <v>271.68</v>
      </c>
      <c r="I139" s="42">
        <f t="shared" si="9"/>
        <v>0.29521288138535651</v>
      </c>
      <c r="J139" s="36">
        <f t="shared" si="17"/>
        <v>9.8461425206124886E-2</v>
      </c>
      <c r="K139" s="51">
        <v>45853</v>
      </c>
      <c r="L139" s="43">
        <f t="shared" si="16"/>
        <v>46037</v>
      </c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ht="15.75" customHeight="1" x14ac:dyDescent="0.25">
      <c r="A140" s="7"/>
      <c r="B140" s="56">
        <v>100012637</v>
      </c>
      <c r="C140" s="59" t="s">
        <v>173</v>
      </c>
      <c r="D140" s="58"/>
      <c r="E140" s="82">
        <v>299.89999999999998</v>
      </c>
      <c r="F140" s="50">
        <v>305.27999999999997</v>
      </c>
      <c r="G140" s="50">
        <v>369.9</v>
      </c>
      <c r="H140" s="34">
        <f t="shared" si="0"/>
        <v>325.02666666666664</v>
      </c>
      <c r="I140" s="42">
        <f t="shared" si="9"/>
        <v>0.23341113704568195</v>
      </c>
      <c r="J140" s="36">
        <f t="shared" si="17"/>
        <v>0.1380604668334906</v>
      </c>
      <c r="K140" s="51">
        <v>45853</v>
      </c>
      <c r="L140" s="43">
        <f t="shared" si="16"/>
        <v>46037</v>
      </c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ht="15.75" customHeight="1" x14ac:dyDescent="0.25">
      <c r="A141" s="7"/>
      <c r="B141" s="56">
        <v>100012599</v>
      </c>
      <c r="C141" s="59" t="s">
        <v>174</v>
      </c>
      <c r="D141" s="58"/>
      <c r="E141" s="82">
        <v>1140</v>
      </c>
      <c r="F141" s="50">
        <v>1200</v>
      </c>
      <c r="G141" s="50">
        <v>963</v>
      </c>
      <c r="H141" s="34">
        <f t="shared" si="0"/>
        <v>1101</v>
      </c>
      <c r="I141" s="42">
        <f t="shared" si="9"/>
        <v>0.24610591900311518</v>
      </c>
      <c r="J141" s="36">
        <f t="shared" si="17"/>
        <v>8.9918256130790297E-2</v>
      </c>
      <c r="K141" s="51">
        <v>45853</v>
      </c>
      <c r="L141" s="43">
        <f t="shared" si="16"/>
        <v>46037</v>
      </c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ht="15.75" customHeight="1" x14ac:dyDescent="0.25">
      <c r="A142" s="7"/>
      <c r="B142" s="56">
        <v>100012638</v>
      </c>
      <c r="C142" s="59" t="s">
        <v>175</v>
      </c>
      <c r="D142" s="58"/>
      <c r="E142" s="82">
        <v>1770.9</v>
      </c>
      <c r="F142" s="50">
        <v>1599.9</v>
      </c>
      <c r="G142" s="50">
        <v>1698.9</v>
      </c>
      <c r="H142" s="34">
        <f t="shared" si="0"/>
        <v>1689.9000000000003</v>
      </c>
      <c r="I142" s="42">
        <f t="shared" si="9"/>
        <v>0.10688168010500654</v>
      </c>
      <c r="J142" s="36">
        <f t="shared" si="17"/>
        <v>4.7931830285815602E-2</v>
      </c>
      <c r="K142" s="51">
        <v>45853</v>
      </c>
      <c r="L142" s="43">
        <f t="shared" si="16"/>
        <v>46037</v>
      </c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ht="15.75" customHeight="1" x14ac:dyDescent="0.25">
      <c r="A143" s="7"/>
      <c r="B143" s="56">
        <v>100012640</v>
      </c>
      <c r="C143" s="59" t="s">
        <v>176</v>
      </c>
      <c r="D143" s="81"/>
      <c r="E143" s="65">
        <v>1351.99</v>
      </c>
      <c r="F143" s="47">
        <v>1599.99</v>
      </c>
      <c r="G143" s="47">
        <v>1479</v>
      </c>
      <c r="H143" s="34">
        <f t="shared" si="0"/>
        <v>1476.9933333333331</v>
      </c>
      <c r="I143" s="42">
        <f t="shared" si="9"/>
        <v>0.18343330941796898</v>
      </c>
      <c r="J143" s="36">
        <f t="shared" si="17"/>
        <v>8.327503170856132E-2</v>
      </c>
      <c r="K143" s="51">
        <v>45854</v>
      </c>
      <c r="L143" s="43">
        <f t="shared" si="16"/>
        <v>46038</v>
      </c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ht="15.75" customHeight="1" x14ac:dyDescent="0.25">
      <c r="A144" s="7"/>
      <c r="B144" s="56">
        <v>100012641</v>
      </c>
      <c r="C144" s="59" t="s">
        <v>177</v>
      </c>
      <c r="D144" s="58" t="s">
        <v>178</v>
      </c>
      <c r="E144" s="82">
        <v>849</v>
      </c>
      <c r="F144" s="50">
        <v>949</v>
      </c>
      <c r="G144" s="50">
        <v>998.85</v>
      </c>
      <c r="H144" s="34">
        <f t="shared" si="0"/>
        <v>932.2833333333333</v>
      </c>
      <c r="I144" s="42">
        <f t="shared" si="9"/>
        <v>0.1765017667844524</v>
      </c>
      <c r="J144" s="36">
        <f t="shared" si="17"/>
        <v>7.1401755546418366E-2</v>
      </c>
      <c r="K144" s="51">
        <v>45854</v>
      </c>
      <c r="L144" s="43">
        <f t="shared" si="16"/>
        <v>46038</v>
      </c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ht="15.75" customHeight="1" x14ac:dyDescent="0.25">
      <c r="A145" s="7"/>
      <c r="B145" s="56">
        <v>100012641</v>
      </c>
      <c r="C145" s="59" t="s">
        <v>177</v>
      </c>
      <c r="D145" s="58" t="s">
        <v>179</v>
      </c>
      <c r="E145" s="66">
        <v>1399.9</v>
      </c>
      <c r="F145" s="47">
        <v>1415.53</v>
      </c>
      <c r="G145" s="47">
        <v>1599.9</v>
      </c>
      <c r="H145" s="34">
        <f t="shared" si="0"/>
        <v>1471.7766666666666</v>
      </c>
      <c r="I145" s="42">
        <f t="shared" si="9"/>
        <v>0.14286734766769049</v>
      </c>
      <c r="J145" s="36">
        <f t="shared" si="17"/>
        <v>8.705351581874976E-2</v>
      </c>
      <c r="K145" s="51">
        <v>45854</v>
      </c>
      <c r="L145" s="43">
        <f t="shared" si="16"/>
        <v>46038</v>
      </c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ht="15.75" customHeight="1" x14ac:dyDescent="0.25">
      <c r="A146" s="7"/>
      <c r="B146" s="56">
        <v>100012641</v>
      </c>
      <c r="C146" s="59" t="s">
        <v>177</v>
      </c>
      <c r="D146" s="58" t="s">
        <v>180</v>
      </c>
      <c r="E146" s="66">
        <v>1420</v>
      </c>
      <c r="F146" s="47">
        <v>1481.72</v>
      </c>
      <c r="G146" s="47">
        <v>1598.89</v>
      </c>
      <c r="H146" s="34">
        <f t="shared" si="0"/>
        <v>1500.2033333333336</v>
      </c>
      <c r="I146" s="42">
        <f t="shared" si="9"/>
        <v>0.12597887323943668</v>
      </c>
      <c r="J146" s="36">
        <f t="shared" si="17"/>
        <v>6.5782193969261771E-2</v>
      </c>
      <c r="K146" s="51">
        <v>45854</v>
      </c>
      <c r="L146" s="43">
        <f t="shared" si="16"/>
        <v>46038</v>
      </c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ht="15.75" customHeight="1" x14ac:dyDescent="0.25">
      <c r="A147" s="7"/>
      <c r="B147" s="56">
        <v>100012641</v>
      </c>
      <c r="C147" s="59" t="s">
        <v>177</v>
      </c>
      <c r="D147" s="58" t="s">
        <v>181</v>
      </c>
      <c r="E147" s="66">
        <v>2472.63</v>
      </c>
      <c r="F147" s="47">
        <v>2499</v>
      </c>
      <c r="G147" s="47">
        <v>2782.64</v>
      </c>
      <c r="H147" s="34">
        <f t="shared" si="0"/>
        <v>2584.7566666666667</v>
      </c>
      <c r="I147" s="42">
        <f t="shared" si="9"/>
        <v>0.12537662327157717</v>
      </c>
      <c r="J147" s="36">
        <f t="shared" si="17"/>
        <v>7.6557819111276793E-2</v>
      </c>
      <c r="K147" s="51">
        <v>45854</v>
      </c>
      <c r="L147" s="43">
        <f t="shared" si="16"/>
        <v>46038</v>
      </c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ht="15.75" customHeight="1" x14ac:dyDescent="0.25">
      <c r="A148" s="7"/>
      <c r="B148" s="56">
        <v>100012641</v>
      </c>
      <c r="C148" s="59" t="s">
        <v>177</v>
      </c>
      <c r="D148" s="80" t="s">
        <v>182</v>
      </c>
      <c r="E148" s="65">
        <v>2284</v>
      </c>
      <c r="F148" s="55">
        <v>2539.9</v>
      </c>
      <c r="G148" s="55">
        <v>2599</v>
      </c>
      <c r="H148" s="34">
        <f t="shared" si="0"/>
        <v>2474.2999999999997</v>
      </c>
      <c r="I148" s="42">
        <f t="shared" si="9"/>
        <v>0.13791593695271454</v>
      </c>
      <c r="J148" s="36">
        <f t="shared" si="17"/>
        <v>5.0398092389766891E-2</v>
      </c>
      <c r="K148" s="51">
        <v>45854</v>
      </c>
      <c r="L148" s="43">
        <f t="shared" si="16"/>
        <v>46038</v>
      </c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ht="15.75" customHeight="1" x14ac:dyDescent="0.25">
      <c r="A149" s="7"/>
      <c r="B149" s="56">
        <v>100012641</v>
      </c>
      <c r="C149" s="59" t="s">
        <v>177</v>
      </c>
      <c r="D149" s="58" t="s">
        <v>183</v>
      </c>
      <c r="E149" s="61">
        <v>2905.82</v>
      </c>
      <c r="F149" s="49">
        <v>3008.9</v>
      </c>
      <c r="G149" s="49">
        <v>3099</v>
      </c>
      <c r="H149" s="34">
        <f t="shared" si="0"/>
        <v>3004.5733333333337</v>
      </c>
      <c r="I149" s="42">
        <f t="shared" si="9"/>
        <v>6.6480373870370535E-2</v>
      </c>
      <c r="J149" s="36">
        <f t="shared" si="17"/>
        <v>3.1427645855429232E-2</v>
      </c>
      <c r="K149" s="51">
        <v>45854</v>
      </c>
      <c r="L149" s="43">
        <f t="shared" si="16"/>
        <v>46038</v>
      </c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ht="15.75" customHeight="1" x14ac:dyDescent="0.25">
      <c r="A150" s="7"/>
      <c r="B150" s="56">
        <v>100012646</v>
      </c>
      <c r="C150" s="59" t="s">
        <v>184</v>
      </c>
      <c r="D150" s="58"/>
      <c r="E150" s="82">
        <v>2113</v>
      </c>
      <c r="F150" s="50">
        <v>2523</v>
      </c>
      <c r="G150" s="50">
        <v>2709</v>
      </c>
      <c r="H150" s="34">
        <f t="shared" si="0"/>
        <v>2448.3333333333335</v>
      </c>
      <c r="I150" s="42">
        <f t="shared" si="9"/>
        <v>0.2820634169427354</v>
      </c>
      <c r="J150" s="36"/>
      <c r="K150" s="51">
        <v>45854</v>
      </c>
      <c r="L150" s="38">
        <f t="shared" si="16"/>
        <v>46038</v>
      </c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ht="15.75" customHeight="1" x14ac:dyDescent="0.25">
      <c r="A151" s="7"/>
      <c r="B151" s="56">
        <v>100012661</v>
      </c>
      <c r="C151" s="59" t="s">
        <v>185</v>
      </c>
      <c r="D151" s="58"/>
      <c r="E151" s="65">
        <v>9383.8700000000008</v>
      </c>
      <c r="F151" s="47">
        <v>9695.8799999999992</v>
      </c>
      <c r="G151" s="47">
        <v>8679.2800000000007</v>
      </c>
      <c r="H151" s="34">
        <f t="shared" si="0"/>
        <v>9253.01</v>
      </c>
      <c r="I151" s="42">
        <f t="shared" si="9"/>
        <v>0.11712953148187388</v>
      </c>
      <c r="J151" s="36"/>
      <c r="K151" s="51">
        <v>45854</v>
      </c>
      <c r="L151" s="38">
        <f t="shared" si="16"/>
        <v>46038</v>
      </c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ht="15.75" customHeight="1" x14ac:dyDescent="0.25">
      <c r="A152" s="7"/>
      <c r="B152" s="56">
        <v>100012788</v>
      </c>
      <c r="C152" s="59" t="s">
        <v>186</v>
      </c>
      <c r="D152" s="58"/>
      <c r="E152" s="65">
        <v>9989</v>
      </c>
      <c r="F152" s="55">
        <v>10108.959999999999</v>
      </c>
      <c r="G152" s="55">
        <v>11663.1</v>
      </c>
      <c r="H152" s="34">
        <f t="shared" si="0"/>
        <v>10587.019999999999</v>
      </c>
      <c r="I152" s="42">
        <f t="shared" si="9"/>
        <v>0.1675943537891682</v>
      </c>
      <c r="J152" s="36">
        <f t="shared" ref="J152:J158" si="18">IF(ISERROR(MAX(E152:G152)/H152-1),"",(MAX(E152:G152)/H152-1))</f>
        <v>0.10164144395684538</v>
      </c>
      <c r="K152" s="51">
        <v>45854</v>
      </c>
      <c r="L152" s="43">
        <f t="shared" si="16"/>
        <v>46038</v>
      </c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ht="15.75" customHeight="1" x14ac:dyDescent="0.25">
      <c r="A153" s="7"/>
      <c r="B153" s="56">
        <v>100012811</v>
      </c>
      <c r="C153" s="59" t="s">
        <v>187</v>
      </c>
      <c r="D153" s="58"/>
      <c r="E153" s="66">
        <v>925.08</v>
      </c>
      <c r="F153" s="47">
        <v>976.5</v>
      </c>
      <c r="G153" s="47">
        <v>790</v>
      </c>
      <c r="H153" s="34">
        <f t="shared" si="0"/>
        <v>897.19333333333327</v>
      </c>
      <c r="I153" s="42">
        <f t="shared" si="9"/>
        <v>0.23607594936708853</v>
      </c>
      <c r="J153" s="36">
        <f t="shared" si="18"/>
        <v>8.8394177397662421E-2</v>
      </c>
      <c r="K153" s="51">
        <v>45854</v>
      </c>
      <c r="L153" s="43">
        <f t="shared" si="16"/>
        <v>46038</v>
      </c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ht="15.75" customHeight="1" x14ac:dyDescent="0.25">
      <c r="A154" s="7"/>
      <c r="B154" s="29">
        <v>100010483</v>
      </c>
      <c r="C154" s="67" t="s">
        <v>188</v>
      </c>
      <c r="D154" s="39" t="s">
        <v>189</v>
      </c>
      <c r="E154" s="65">
        <v>368.99</v>
      </c>
      <c r="F154" s="55">
        <v>371.44</v>
      </c>
      <c r="G154" s="55">
        <v>384.9</v>
      </c>
      <c r="H154" s="34">
        <f t="shared" si="0"/>
        <v>375.10999999999996</v>
      </c>
      <c r="I154" s="42">
        <f t="shared" si="9"/>
        <v>4.3117699666657572E-2</v>
      </c>
      <c r="J154" s="36">
        <f t="shared" si="18"/>
        <v>2.6099010956786017E-2</v>
      </c>
      <c r="K154" s="51">
        <v>45874</v>
      </c>
      <c r="L154" s="43">
        <f t="shared" si="16"/>
        <v>46058</v>
      </c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ht="15.75" customHeight="1" x14ac:dyDescent="0.25">
      <c r="A155" s="7"/>
      <c r="B155" s="29">
        <v>100010485</v>
      </c>
      <c r="C155" s="67" t="s">
        <v>190</v>
      </c>
      <c r="D155" s="39" t="s">
        <v>191</v>
      </c>
      <c r="E155" s="65">
        <v>1869.01</v>
      </c>
      <c r="F155" s="47">
        <v>1898</v>
      </c>
      <c r="G155" s="47">
        <v>1571.96</v>
      </c>
      <c r="H155" s="34">
        <f t="shared" si="0"/>
        <v>1779.6566666666668</v>
      </c>
      <c r="I155" s="42">
        <f t="shared" si="9"/>
        <v>0.20740985775719478</v>
      </c>
      <c r="J155" s="36">
        <f t="shared" si="18"/>
        <v>6.6497845089970475E-2</v>
      </c>
      <c r="K155" s="51">
        <v>45875</v>
      </c>
      <c r="L155" s="43">
        <f t="shared" si="16"/>
        <v>46059</v>
      </c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ht="15.75" customHeight="1" x14ac:dyDescent="0.25">
      <c r="A156" s="7"/>
      <c r="B156" s="56">
        <v>100010771</v>
      </c>
      <c r="C156" s="59" t="s">
        <v>192</v>
      </c>
      <c r="D156" s="58"/>
      <c r="E156" s="65">
        <v>578.54999999999995</v>
      </c>
      <c r="F156" s="47">
        <v>564.55999999999995</v>
      </c>
      <c r="G156" s="47">
        <v>532.9</v>
      </c>
      <c r="H156" s="34">
        <f t="shared" si="0"/>
        <v>558.66999999999996</v>
      </c>
      <c r="I156" s="42">
        <f t="shared" si="9"/>
        <v>8.5663351473071803E-2</v>
      </c>
      <c r="J156" s="36">
        <f t="shared" si="18"/>
        <v>3.5584513218894775E-2</v>
      </c>
      <c r="K156" s="51">
        <v>45876</v>
      </c>
      <c r="L156" s="43">
        <f t="shared" si="16"/>
        <v>46060</v>
      </c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ht="15.75" customHeight="1" x14ac:dyDescent="0.25">
      <c r="A157" s="7"/>
      <c r="B157" s="56">
        <v>100002286</v>
      </c>
      <c r="C157" s="59" t="s">
        <v>193</v>
      </c>
      <c r="D157" s="58"/>
      <c r="E157" s="82">
        <v>1499</v>
      </c>
      <c r="F157" s="50">
        <v>1592.47</v>
      </c>
      <c r="G157" s="50">
        <v>1399</v>
      </c>
      <c r="H157" s="34">
        <f t="shared" si="0"/>
        <v>1496.8233333333335</v>
      </c>
      <c r="I157" s="42">
        <f t="shared" si="9"/>
        <v>0.13829163688348833</v>
      </c>
      <c r="J157" s="36">
        <f t="shared" si="18"/>
        <v>6.3899769957264985E-2</v>
      </c>
      <c r="K157" s="51">
        <v>45876</v>
      </c>
      <c r="L157" s="43">
        <f t="shared" si="16"/>
        <v>46060</v>
      </c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ht="15.75" customHeight="1" x14ac:dyDescent="0.25">
      <c r="A158" s="7"/>
      <c r="B158" s="56">
        <v>100010525</v>
      </c>
      <c r="C158" s="59" t="s">
        <v>194</v>
      </c>
      <c r="D158" s="58"/>
      <c r="E158" s="82">
        <v>403.75</v>
      </c>
      <c r="F158" s="50">
        <v>427.9</v>
      </c>
      <c r="G158" s="50">
        <v>412.6</v>
      </c>
      <c r="H158" s="34">
        <f t="shared" si="0"/>
        <v>414.75</v>
      </c>
      <c r="I158" s="42">
        <f t="shared" si="9"/>
        <v>5.9814241486068065E-2</v>
      </c>
      <c r="J158" s="36">
        <f t="shared" si="18"/>
        <v>3.1705846895720313E-2</v>
      </c>
      <c r="K158" s="51">
        <v>45876</v>
      </c>
      <c r="L158" s="43">
        <f t="shared" si="16"/>
        <v>46060</v>
      </c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ht="15.75" customHeight="1" x14ac:dyDescent="0.25">
      <c r="A159" s="7"/>
      <c r="B159" s="56">
        <v>100010628</v>
      </c>
      <c r="C159" s="59" t="s">
        <v>195</v>
      </c>
      <c r="D159" s="58"/>
      <c r="E159" s="82">
        <v>950</v>
      </c>
      <c r="F159" s="50">
        <v>986.7</v>
      </c>
      <c r="G159" s="50">
        <v>1084.9000000000001</v>
      </c>
      <c r="H159" s="34">
        <f t="shared" si="0"/>
        <v>1007.2000000000002</v>
      </c>
      <c r="I159" s="42">
        <f t="shared" si="9"/>
        <v>0.14200000000000013</v>
      </c>
      <c r="J159" s="36"/>
      <c r="K159" s="51">
        <v>45876</v>
      </c>
      <c r="L159" s="38">
        <f t="shared" si="16"/>
        <v>46060</v>
      </c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ht="15.75" customHeight="1" x14ac:dyDescent="0.25">
      <c r="A160" s="7"/>
      <c r="B160" s="56">
        <v>100013062</v>
      </c>
      <c r="C160" s="59" t="s">
        <v>196</v>
      </c>
      <c r="D160" s="58"/>
      <c r="E160" s="82">
        <v>269.89999999999998</v>
      </c>
      <c r="F160" s="50">
        <v>279.89999999999998</v>
      </c>
      <c r="G160" s="50">
        <v>285.12</v>
      </c>
      <c r="H160" s="34">
        <f t="shared" si="0"/>
        <v>278.30666666666667</v>
      </c>
      <c r="I160" s="42">
        <f t="shared" si="9"/>
        <v>5.6391256020748459E-2</v>
      </c>
      <c r="J160" s="36">
        <f t="shared" ref="J160:J197" si="19">IF(ISERROR(MAX(E160:G160)/H160-1),"",(MAX(E160:G160)/H160-1))</f>
        <v>2.4481387438317403E-2</v>
      </c>
      <c r="K160" s="51"/>
      <c r="L160" s="43">
        <f t="shared" si="16"/>
        <v>182</v>
      </c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ht="15.75" customHeight="1" x14ac:dyDescent="0.25">
      <c r="A161" s="7" t="s">
        <v>595</v>
      </c>
      <c r="B161" s="85">
        <v>100012924</v>
      </c>
      <c r="C161" s="86" t="s">
        <v>602</v>
      </c>
      <c r="D161" s="132"/>
      <c r="E161" s="96">
        <v>3087</v>
      </c>
      <c r="F161" s="89"/>
      <c r="G161" s="89">
        <v>3899</v>
      </c>
      <c r="H161" s="90">
        <f t="shared" si="0"/>
        <v>2328.6666666666665</v>
      </c>
      <c r="I161" s="91">
        <f t="shared" si="9"/>
        <v>0.26303854875283439</v>
      </c>
      <c r="J161" s="92">
        <f t="shared" si="19"/>
        <v>0.67434869739478964</v>
      </c>
      <c r="K161" s="93"/>
      <c r="L161" s="94">
        <f t="shared" si="16"/>
        <v>182</v>
      </c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ht="15.75" customHeight="1" x14ac:dyDescent="0.25">
      <c r="A162" s="7"/>
      <c r="B162" s="56">
        <v>100010138</v>
      </c>
      <c r="C162" s="59" t="s">
        <v>197</v>
      </c>
      <c r="D162" s="58" t="s">
        <v>198</v>
      </c>
      <c r="E162" s="82">
        <v>1037.1600000000001</v>
      </c>
      <c r="F162" s="50">
        <v>940.5</v>
      </c>
      <c r="G162" s="50">
        <v>1160</v>
      </c>
      <c r="H162" s="34">
        <f t="shared" si="0"/>
        <v>1045.8866666666665</v>
      </c>
      <c r="I162" s="42">
        <f t="shared" si="9"/>
        <v>0.23338649654439125</v>
      </c>
      <c r="J162" s="36">
        <f t="shared" si="19"/>
        <v>0.10910678658618211</v>
      </c>
      <c r="K162" s="51">
        <v>45881</v>
      </c>
      <c r="L162" s="43">
        <f t="shared" si="16"/>
        <v>46065</v>
      </c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ht="15.75" customHeight="1" x14ac:dyDescent="0.25">
      <c r="A163" s="7"/>
      <c r="B163" s="56">
        <v>100013114</v>
      </c>
      <c r="C163" s="59" t="s">
        <v>199</v>
      </c>
      <c r="D163" s="58"/>
      <c r="E163" s="66">
        <v>982.84</v>
      </c>
      <c r="F163" s="47">
        <v>908.1</v>
      </c>
      <c r="G163" s="47">
        <v>1174</v>
      </c>
      <c r="H163" s="34">
        <f t="shared" si="0"/>
        <v>1021.6466666666666</v>
      </c>
      <c r="I163" s="42">
        <f t="shared" si="9"/>
        <v>0.29280916198656537</v>
      </c>
      <c r="J163" s="36">
        <f t="shared" si="19"/>
        <v>0.14912526835761875</v>
      </c>
      <c r="K163" s="51"/>
      <c r="L163" s="43">
        <f t="shared" si="16"/>
        <v>182</v>
      </c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ht="15.75" customHeight="1" x14ac:dyDescent="0.25">
      <c r="A164" s="7"/>
      <c r="B164" s="56">
        <v>100010138</v>
      </c>
      <c r="C164" s="59" t="s">
        <v>197</v>
      </c>
      <c r="D164" s="58" t="s">
        <v>200</v>
      </c>
      <c r="E164" s="66">
        <v>2618.08</v>
      </c>
      <c r="F164" s="47">
        <v>2645.08</v>
      </c>
      <c r="G164" s="47">
        <v>2170.1999999999998</v>
      </c>
      <c r="H164" s="34">
        <f t="shared" si="0"/>
        <v>2477.7866666666664</v>
      </c>
      <c r="I164" s="42">
        <f t="shared" si="9"/>
        <v>0.2188185420698554</v>
      </c>
      <c r="J164" s="36">
        <f t="shared" si="19"/>
        <v>6.7517246574900325E-2</v>
      </c>
      <c r="K164" s="51"/>
      <c r="L164" s="43">
        <f t="shared" si="16"/>
        <v>182</v>
      </c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ht="15.75" customHeight="1" x14ac:dyDescent="0.25">
      <c r="A165" s="7"/>
      <c r="B165" s="56">
        <v>100010138</v>
      </c>
      <c r="C165" s="59" t="s">
        <v>197</v>
      </c>
      <c r="D165" s="58" t="s">
        <v>201</v>
      </c>
      <c r="E165" s="66">
        <v>661.3</v>
      </c>
      <c r="F165" s="47">
        <v>638.49</v>
      </c>
      <c r="G165" s="47">
        <v>675</v>
      </c>
      <c r="H165" s="34">
        <f t="shared" si="0"/>
        <v>658.26333333333332</v>
      </c>
      <c r="I165" s="42">
        <f t="shared" si="9"/>
        <v>5.7181788281727153E-2</v>
      </c>
      <c r="J165" s="36">
        <f t="shared" si="19"/>
        <v>2.5425488279766428E-2</v>
      </c>
      <c r="K165" s="51"/>
      <c r="L165" s="43">
        <f t="shared" si="16"/>
        <v>182</v>
      </c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ht="15.75" customHeight="1" x14ac:dyDescent="0.25">
      <c r="A166" s="7"/>
      <c r="B166" s="85">
        <v>100010138</v>
      </c>
      <c r="C166" s="86" t="s">
        <v>197</v>
      </c>
      <c r="D166" s="133" t="s">
        <v>202</v>
      </c>
      <c r="E166" s="96"/>
      <c r="F166" s="134"/>
      <c r="G166" s="134"/>
      <c r="H166" s="90">
        <f t="shared" si="0"/>
        <v>0</v>
      </c>
      <c r="I166" s="91" t="str">
        <f t="shared" si="9"/>
        <v/>
      </c>
      <c r="J166" s="92" t="str">
        <f t="shared" si="19"/>
        <v/>
      </c>
      <c r="K166" s="93"/>
      <c r="L166" s="94">
        <f t="shared" si="16"/>
        <v>182</v>
      </c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ht="15.75" customHeight="1" x14ac:dyDescent="0.25">
      <c r="A167" s="7"/>
      <c r="B167" s="56">
        <v>100012900</v>
      </c>
      <c r="C167" s="59" t="s">
        <v>203</v>
      </c>
      <c r="D167" s="58" t="s">
        <v>204</v>
      </c>
      <c r="E167" s="61">
        <v>5434.73</v>
      </c>
      <c r="F167" s="49">
        <v>5739.9</v>
      </c>
      <c r="G167" s="49">
        <v>5978.2</v>
      </c>
      <c r="H167" s="34">
        <f t="shared" si="0"/>
        <v>5717.61</v>
      </c>
      <c r="I167" s="42">
        <f t="shared" si="9"/>
        <v>9.9999447994656654E-2</v>
      </c>
      <c r="J167" s="36">
        <f t="shared" si="19"/>
        <v>4.5576735733986684E-2</v>
      </c>
      <c r="K167" s="51">
        <v>45863</v>
      </c>
      <c r="L167" s="43">
        <f t="shared" si="16"/>
        <v>46047</v>
      </c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ht="15.75" customHeight="1" x14ac:dyDescent="0.25">
      <c r="A168" s="7"/>
      <c r="B168" s="56">
        <v>100012899</v>
      </c>
      <c r="C168" s="59" t="s">
        <v>205</v>
      </c>
      <c r="D168" s="58" t="s">
        <v>206</v>
      </c>
      <c r="E168" s="82">
        <v>9599</v>
      </c>
      <c r="F168" s="50">
        <v>10399</v>
      </c>
      <c r="G168" s="50">
        <v>10658.7</v>
      </c>
      <c r="H168" s="34">
        <f t="shared" si="0"/>
        <v>10218.9</v>
      </c>
      <c r="I168" s="42">
        <f t="shared" si="9"/>
        <v>0.11039691634545279</v>
      </c>
      <c r="J168" s="36">
        <f t="shared" si="19"/>
        <v>4.3037900361095671E-2</v>
      </c>
      <c r="K168" s="51">
        <v>45863</v>
      </c>
      <c r="L168" s="43">
        <f t="shared" si="16"/>
        <v>46047</v>
      </c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ht="15.75" customHeight="1" x14ac:dyDescent="0.25">
      <c r="A169" s="7"/>
      <c r="B169" s="56">
        <v>100012897</v>
      </c>
      <c r="C169" s="59" t="s">
        <v>207</v>
      </c>
      <c r="D169" s="58" t="s">
        <v>208</v>
      </c>
      <c r="E169" s="65">
        <v>159.19</v>
      </c>
      <c r="F169" s="47">
        <v>160.69</v>
      </c>
      <c r="G169" s="47">
        <v>179.94</v>
      </c>
      <c r="H169" s="34">
        <f t="shared" si="0"/>
        <v>166.60666666666665</v>
      </c>
      <c r="I169" s="42">
        <f t="shared" si="9"/>
        <v>0.13034738362962495</v>
      </c>
      <c r="J169" s="36">
        <f t="shared" si="19"/>
        <v>8.0028810371733927E-2</v>
      </c>
      <c r="K169" s="83">
        <v>45863</v>
      </c>
      <c r="L169" s="43">
        <f t="shared" si="16"/>
        <v>46047</v>
      </c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ht="15.75" customHeight="1" x14ac:dyDescent="0.25">
      <c r="A170" s="7"/>
      <c r="B170" s="56">
        <v>100012893</v>
      </c>
      <c r="C170" s="59" t="s">
        <v>209</v>
      </c>
      <c r="D170" s="58" t="s">
        <v>210</v>
      </c>
      <c r="E170" s="65">
        <v>869.9</v>
      </c>
      <c r="F170" s="47">
        <v>899</v>
      </c>
      <c r="G170" s="47">
        <v>959.99</v>
      </c>
      <c r="H170" s="34">
        <f t="shared" si="0"/>
        <v>909.63000000000011</v>
      </c>
      <c r="I170" s="42">
        <f t="shared" si="9"/>
        <v>0.10356362800321883</v>
      </c>
      <c r="J170" s="36">
        <f t="shared" si="19"/>
        <v>5.5363169640403109E-2</v>
      </c>
      <c r="K170" s="51">
        <v>45861</v>
      </c>
      <c r="L170" s="43">
        <f t="shared" si="16"/>
        <v>46045</v>
      </c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ht="15.75" customHeight="1" x14ac:dyDescent="0.25">
      <c r="A171" s="7"/>
      <c r="B171" s="56">
        <v>100012844</v>
      </c>
      <c r="C171" s="59" t="s">
        <v>211</v>
      </c>
      <c r="D171" s="58"/>
      <c r="E171" s="65">
        <v>6630.12</v>
      </c>
      <c r="F171" s="55">
        <v>7098.57</v>
      </c>
      <c r="G171" s="55">
        <v>8580.5</v>
      </c>
      <c r="H171" s="34">
        <f t="shared" si="0"/>
        <v>7436.3966666666665</v>
      </c>
      <c r="I171" s="42">
        <f t="shared" si="9"/>
        <v>0.29416963795527074</v>
      </c>
      <c r="J171" s="36">
        <f t="shared" si="19"/>
        <v>0.15385184311936029</v>
      </c>
      <c r="K171" s="51">
        <v>45856</v>
      </c>
      <c r="L171" s="43">
        <f t="shared" si="16"/>
        <v>46040</v>
      </c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ht="15.75" customHeight="1" x14ac:dyDescent="0.25">
      <c r="A172" s="7"/>
      <c r="B172" s="56">
        <v>100012832</v>
      </c>
      <c r="C172" s="59" t="s">
        <v>212</v>
      </c>
      <c r="D172" s="58"/>
      <c r="E172" s="66">
        <v>1860.29</v>
      </c>
      <c r="F172" s="47">
        <v>2036.9</v>
      </c>
      <c r="G172" s="47">
        <v>1571.77</v>
      </c>
      <c r="H172" s="34">
        <f t="shared" si="0"/>
        <v>1822.9866666666667</v>
      </c>
      <c r="I172" s="42">
        <f t="shared" si="9"/>
        <v>0.29592752120221166</v>
      </c>
      <c r="J172" s="36">
        <f t="shared" si="19"/>
        <v>0.11734223691524526</v>
      </c>
      <c r="K172" s="51">
        <v>45856</v>
      </c>
      <c r="L172" s="43">
        <f t="shared" si="16"/>
        <v>46040</v>
      </c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ht="15.75" customHeight="1" x14ac:dyDescent="0.25">
      <c r="A173" s="7"/>
      <c r="B173" s="56">
        <v>100012771</v>
      </c>
      <c r="C173" s="59" t="s">
        <v>213</v>
      </c>
      <c r="D173" s="58"/>
      <c r="E173" s="66">
        <v>2949</v>
      </c>
      <c r="F173" s="47">
        <v>2959.99</v>
      </c>
      <c r="G173" s="47">
        <v>3059.1</v>
      </c>
      <c r="H173" s="34">
        <f t="shared" si="0"/>
        <v>2989.3633333333332</v>
      </c>
      <c r="I173" s="42">
        <f t="shared" si="9"/>
        <v>3.7334689725330605E-2</v>
      </c>
      <c r="J173" s="36">
        <f t="shared" si="19"/>
        <v>2.3328267223009513E-2</v>
      </c>
      <c r="K173" s="51">
        <v>45863</v>
      </c>
      <c r="L173" s="43">
        <f t="shared" si="16"/>
        <v>46047</v>
      </c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ht="15.75" customHeight="1" x14ac:dyDescent="0.25">
      <c r="A174" s="7"/>
      <c r="B174" s="56">
        <v>100012767</v>
      </c>
      <c r="C174" s="59" t="s">
        <v>214</v>
      </c>
      <c r="D174" s="58"/>
      <c r="E174" s="66">
        <v>4990</v>
      </c>
      <c r="F174" s="47">
        <v>5799</v>
      </c>
      <c r="G174" s="47">
        <v>6298.95</v>
      </c>
      <c r="H174" s="34">
        <f t="shared" si="0"/>
        <v>5695.9833333333336</v>
      </c>
      <c r="I174" s="42">
        <f t="shared" si="9"/>
        <v>0.26231462925851701</v>
      </c>
      <c r="J174" s="36">
        <f t="shared" si="19"/>
        <v>0.10585822172934711</v>
      </c>
      <c r="K174" s="51">
        <v>45861</v>
      </c>
      <c r="L174" s="43">
        <f t="shared" si="16"/>
        <v>46045</v>
      </c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ht="15.75" customHeight="1" x14ac:dyDescent="0.25">
      <c r="A175" s="7"/>
      <c r="B175" s="56">
        <v>100012489</v>
      </c>
      <c r="C175" s="59" t="s">
        <v>215</v>
      </c>
      <c r="D175" s="58" t="s">
        <v>216</v>
      </c>
      <c r="E175" s="66">
        <v>386.32</v>
      </c>
      <c r="F175" s="47">
        <v>465.31</v>
      </c>
      <c r="G175" s="47">
        <v>487.9</v>
      </c>
      <c r="H175" s="34">
        <f t="shared" si="0"/>
        <v>446.51</v>
      </c>
      <c r="I175" s="42">
        <f t="shared" si="9"/>
        <v>0.26294263822737629</v>
      </c>
      <c r="J175" s="36">
        <f t="shared" si="19"/>
        <v>9.2696692123356739E-2</v>
      </c>
      <c r="K175" s="51">
        <v>45861</v>
      </c>
      <c r="L175" s="43">
        <f t="shared" si="16"/>
        <v>46045</v>
      </c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ht="15.75" customHeight="1" x14ac:dyDescent="0.25">
      <c r="A176" s="7"/>
      <c r="B176" s="56">
        <v>100012249</v>
      </c>
      <c r="C176" s="59" t="s">
        <v>217</v>
      </c>
      <c r="D176" s="58"/>
      <c r="E176" s="66">
        <v>1247.9000000000001</v>
      </c>
      <c r="F176" s="66">
        <v>1338.99</v>
      </c>
      <c r="G176" s="47">
        <v>1369</v>
      </c>
      <c r="H176" s="34">
        <f t="shared" si="0"/>
        <v>1318.63</v>
      </c>
      <c r="I176" s="42">
        <f t="shared" si="9"/>
        <v>9.7043032294254372E-2</v>
      </c>
      <c r="J176" s="36">
        <f t="shared" si="19"/>
        <v>3.8198736567498059E-2</v>
      </c>
      <c r="K176" s="51">
        <v>45862</v>
      </c>
      <c r="L176" s="43">
        <f t="shared" si="16"/>
        <v>46046</v>
      </c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ht="15.75" customHeight="1" x14ac:dyDescent="0.25">
      <c r="A177" s="7"/>
      <c r="B177" s="56">
        <v>100011993</v>
      </c>
      <c r="C177" s="59" t="s">
        <v>218</v>
      </c>
      <c r="D177" s="58"/>
      <c r="E177" s="66">
        <v>12149.1</v>
      </c>
      <c r="F177" s="47">
        <v>12998.7</v>
      </c>
      <c r="G177" s="47">
        <v>13499</v>
      </c>
      <c r="H177" s="34">
        <f t="shared" si="0"/>
        <v>12882.266666666668</v>
      </c>
      <c r="I177" s="42">
        <f t="shared" si="9"/>
        <v>0.11111111111111116</v>
      </c>
      <c r="J177" s="36">
        <f t="shared" si="19"/>
        <v>4.7874597638096761E-2</v>
      </c>
      <c r="K177" s="51">
        <v>45863</v>
      </c>
      <c r="L177" s="43">
        <f t="shared" si="16"/>
        <v>46047</v>
      </c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ht="15.75" customHeight="1" x14ac:dyDescent="0.25">
      <c r="A178" s="7"/>
      <c r="B178" s="56">
        <v>100011723</v>
      </c>
      <c r="C178" s="59" t="s">
        <v>219</v>
      </c>
      <c r="D178" s="58"/>
      <c r="E178" s="82">
        <v>1710.96</v>
      </c>
      <c r="F178" s="50">
        <v>1829</v>
      </c>
      <c r="G178" s="50">
        <v>2047.92</v>
      </c>
      <c r="H178" s="34">
        <f t="shared" si="0"/>
        <v>1862.6266666666668</v>
      </c>
      <c r="I178" s="42">
        <f t="shared" si="9"/>
        <v>0.19694206761116573</v>
      </c>
      <c r="J178" s="36">
        <f t="shared" si="19"/>
        <v>9.9479587965382255E-2</v>
      </c>
      <c r="K178" s="51">
        <v>45863</v>
      </c>
      <c r="L178" s="43">
        <f t="shared" si="16"/>
        <v>46047</v>
      </c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ht="15.75" customHeight="1" x14ac:dyDescent="0.25">
      <c r="A179" s="7"/>
      <c r="B179" s="56">
        <v>100011698</v>
      </c>
      <c r="C179" s="59" t="s">
        <v>220</v>
      </c>
      <c r="D179" s="58"/>
      <c r="E179" s="82">
        <v>399.9</v>
      </c>
      <c r="F179" s="50">
        <v>454.3</v>
      </c>
      <c r="G179" s="50">
        <v>459.9</v>
      </c>
      <c r="H179" s="34">
        <f t="shared" si="0"/>
        <v>438.0333333333333</v>
      </c>
      <c r="I179" s="42">
        <f t="shared" si="9"/>
        <v>0.15003750937734428</v>
      </c>
      <c r="J179" s="36">
        <f t="shared" si="19"/>
        <v>4.9920097405068198E-2</v>
      </c>
      <c r="K179" s="51">
        <v>45863</v>
      </c>
      <c r="L179" s="43">
        <f t="shared" si="16"/>
        <v>46047</v>
      </c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ht="15.75" customHeight="1" x14ac:dyDescent="0.25">
      <c r="A180" s="7"/>
      <c r="B180" s="56">
        <v>100010332</v>
      </c>
      <c r="C180" s="59" t="s">
        <v>221</v>
      </c>
      <c r="D180" s="58" t="s">
        <v>222</v>
      </c>
      <c r="E180" s="61">
        <v>803.7</v>
      </c>
      <c r="F180" s="50">
        <v>841.9</v>
      </c>
      <c r="G180" s="50">
        <v>1035.27</v>
      </c>
      <c r="H180" s="34">
        <f t="shared" si="0"/>
        <v>893.62333333333333</v>
      </c>
      <c r="I180" s="42">
        <f t="shared" si="9"/>
        <v>0.28812989921612542</v>
      </c>
      <c r="J180" s="36">
        <f t="shared" si="19"/>
        <v>0.1585082454576312</v>
      </c>
      <c r="K180" s="51">
        <v>45855</v>
      </c>
      <c r="L180" s="43">
        <f t="shared" si="16"/>
        <v>46039</v>
      </c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ht="15.75" customHeight="1" x14ac:dyDescent="0.25">
      <c r="A181" s="7"/>
      <c r="B181" s="56">
        <v>100010332</v>
      </c>
      <c r="C181" s="59" t="s">
        <v>221</v>
      </c>
      <c r="D181" s="58" t="s">
        <v>223</v>
      </c>
      <c r="E181" s="61">
        <v>412.62</v>
      </c>
      <c r="F181" s="50">
        <v>466.69</v>
      </c>
      <c r="G181" s="50">
        <v>458.47</v>
      </c>
      <c r="H181" s="34">
        <f t="shared" si="0"/>
        <v>445.92666666666668</v>
      </c>
      <c r="I181" s="42">
        <f t="shared" si="9"/>
        <v>0.13104066695749106</v>
      </c>
      <c r="J181" s="36">
        <f t="shared" si="19"/>
        <v>4.6562215012931896E-2</v>
      </c>
      <c r="K181" s="51">
        <v>45855</v>
      </c>
      <c r="L181" s="43">
        <f t="shared" si="16"/>
        <v>46039</v>
      </c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ht="15.75" customHeight="1" x14ac:dyDescent="0.25">
      <c r="A182" s="7"/>
      <c r="B182" s="56">
        <v>100010332</v>
      </c>
      <c r="C182" s="59" t="s">
        <v>221</v>
      </c>
      <c r="D182" s="58" t="s">
        <v>224</v>
      </c>
      <c r="E182" s="65">
        <v>912.98</v>
      </c>
      <c r="F182" s="47">
        <v>939.98</v>
      </c>
      <c r="G182" s="47">
        <v>1018</v>
      </c>
      <c r="H182" s="34">
        <f t="shared" si="0"/>
        <v>956.98666666666668</v>
      </c>
      <c r="I182" s="42">
        <f t="shared" si="9"/>
        <v>0.11502990207890651</v>
      </c>
      <c r="J182" s="36">
        <f t="shared" si="19"/>
        <v>6.3755677543400058E-2</v>
      </c>
      <c r="K182" s="51">
        <v>45855</v>
      </c>
      <c r="L182" s="43">
        <f t="shared" si="16"/>
        <v>46039</v>
      </c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ht="15.75" customHeight="1" x14ac:dyDescent="0.25">
      <c r="A183" s="7"/>
      <c r="B183" s="56">
        <v>100010332</v>
      </c>
      <c r="C183" s="59" t="s">
        <v>221</v>
      </c>
      <c r="D183" s="58" t="s">
        <v>225</v>
      </c>
      <c r="E183" s="66">
        <v>302.72000000000003</v>
      </c>
      <c r="F183" s="47">
        <v>319.92</v>
      </c>
      <c r="G183" s="47">
        <v>344</v>
      </c>
      <c r="H183" s="34">
        <f t="shared" si="0"/>
        <v>322.21333333333337</v>
      </c>
      <c r="I183" s="42">
        <f t="shared" si="9"/>
        <v>0.13636363636363624</v>
      </c>
      <c r="J183" s="36">
        <f t="shared" si="19"/>
        <v>6.7615658362989217E-2</v>
      </c>
      <c r="K183" s="51">
        <v>45855</v>
      </c>
      <c r="L183" s="43">
        <f t="shared" si="16"/>
        <v>46039</v>
      </c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ht="15.75" customHeight="1" x14ac:dyDescent="0.25">
      <c r="A184" s="7"/>
      <c r="B184" s="56">
        <v>100010037</v>
      </c>
      <c r="C184" s="59" t="s">
        <v>226</v>
      </c>
      <c r="D184" s="58"/>
      <c r="E184" s="82">
        <v>279</v>
      </c>
      <c r="F184" s="50">
        <v>338.13</v>
      </c>
      <c r="G184" s="50">
        <v>347.12</v>
      </c>
      <c r="H184" s="34">
        <f t="shared" si="0"/>
        <v>321.41666666666669</v>
      </c>
      <c r="I184" s="42">
        <f t="shared" si="9"/>
        <v>0.24415770609318987</v>
      </c>
      <c r="J184" s="36">
        <f t="shared" si="19"/>
        <v>7.9968887736582728E-2</v>
      </c>
      <c r="K184" s="51">
        <v>45854</v>
      </c>
      <c r="L184" s="43">
        <f t="shared" si="16"/>
        <v>46038</v>
      </c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ht="15.75" customHeight="1" x14ac:dyDescent="0.25">
      <c r="A185" s="7"/>
      <c r="B185" s="56">
        <v>100002341</v>
      </c>
      <c r="C185" s="59" t="s">
        <v>227</v>
      </c>
      <c r="D185" s="58"/>
      <c r="E185" s="82">
        <v>1604.55</v>
      </c>
      <c r="F185" s="50">
        <v>1889.82</v>
      </c>
      <c r="G185" s="50">
        <v>1979.1</v>
      </c>
      <c r="H185" s="34">
        <f t="shared" si="0"/>
        <v>1824.4899999999998</v>
      </c>
      <c r="I185" s="42">
        <f t="shared" si="9"/>
        <v>0.23342993362625042</v>
      </c>
      <c r="J185" s="36">
        <f t="shared" si="19"/>
        <v>8.4741489402518022E-2</v>
      </c>
      <c r="K185" s="51">
        <v>45861</v>
      </c>
      <c r="L185" s="43">
        <f t="shared" si="16"/>
        <v>46045</v>
      </c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ht="15.75" customHeight="1" x14ac:dyDescent="0.25">
      <c r="A186" s="7"/>
      <c r="B186" s="56">
        <v>100013096</v>
      </c>
      <c r="C186" s="59" t="s">
        <v>228</v>
      </c>
      <c r="D186" s="58"/>
      <c r="E186" s="66">
        <v>499</v>
      </c>
      <c r="F186" s="47">
        <v>549</v>
      </c>
      <c r="G186" s="47">
        <v>619</v>
      </c>
      <c r="H186" s="34">
        <f t="shared" si="0"/>
        <v>555.66666666666663</v>
      </c>
      <c r="I186" s="42">
        <f t="shared" si="9"/>
        <v>0.24048096192384771</v>
      </c>
      <c r="J186" s="36">
        <f t="shared" si="19"/>
        <v>0.11397720455908833</v>
      </c>
      <c r="K186" s="51"/>
      <c r="L186" s="43">
        <f t="shared" si="16"/>
        <v>182</v>
      </c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ht="15.75" customHeight="1" x14ac:dyDescent="0.25">
      <c r="A187" s="7"/>
      <c r="B187" s="56">
        <v>100010679</v>
      </c>
      <c r="C187" s="59" t="s">
        <v>229</v>
      </c>
      <c r="D187" s="58" t="s">
        <v>230</v>
      </c>
      <c r="E187" s="66">
        <v>172</v>
      </c>
      <c r="F187" s="47">
        <v>178.42</v>
      </c>
      <c r="G187" s="47">
        <v>135.99</v>
      </c>
      <c r="H187" s="34">
        <f t="shared" si="0"/>
        <v>162.13666666666666</v>
      </c>
      <c r="I187" s="42">
        <f t="shared" si="9"/>
        <v>0.31200823589969828</v>
      </c>
      <c r="J187" s="36">
        <f t="shared" si="19"/>
        <v>0.10042967866614583</v>
      </c>
      <c r="K187" s="51">
        <v>45883</v>
      </c>
      <c r="L187" s="43">
        <f t="shared" si="16"/>
        <v>46067</v>
      </c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ht="15.75" customHeight="1" x14ac:dyDescent="0.25">
      <c r="A188" s="7"/>
      <c r="B188" s="56">
        <v>100010448</v>
      </c>
      <c r="C188" s="59" t="s">
        <v>231</v>
      </c>
      <c r="D188" s="58" t="s">
        <v>232</v>
      </c>
      <c r="E188" s="65">
        <v>2470.9499999999998</v>
      </c>
      <c r="F188" s="55">
        <v>2470.9499999999998</v>
      </c>
      <c r="G188" s="55">
        <v>2689</v>
      </c>
      <c r="H188" s="34">
        <f t="shared" si="0"/>
        <v>2543.6333333333332</v>
      </c>
      <c r="I188" s="42">
        <f t="shared" si="9"/>
        <v>8.8245411683765429E-2</v>
      </c>
      <c r="J188" s="36">
        <f t="shared" si="19"/>
        <v>5.7149222241151154E-2</v>
      </c>
      <c r="K188" s="51">
        <v>45902</v>
      </c>
      <c r="L188" s="43">
        <f t="shared" si="16"/>
        <v>46083</v>
      </c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ht="15.75" customHeight="1" x14ac:dyDescent="0.25">
      <c r="A189" s="7"/>
      <c r="B189" s="56">
        <v>100012654</v>
      </c>
      <c r="C189" s="59" t="s">
        <v>231</v>
      </c>
      <c r="D189" s="58" t="s">
        <v>233</v>
      </c>
      <c r="E189" s="66">
        <v>3743.19</v>
      </c>
      <c r="F189" s="47">
        <v>4812.66</v>
      </c>
      <c r="G189" s="47">
        <v>3819.2</v>
      </c>
      <c r="H189" s="34">
        <f t="shared" si="0"/>
        <v>4125.0166666666664</v>
      </c>
      <c r="I189" s="42">
        <f t="shared" si="9"/>
        <v>0.28571085090524395</v>
      </c>
      <c r="J189" s="36">
        <f t="shared" si="19"/>
        <v>0.16670074060306828</v>
      </c>
      <c r="K189" s="51">
        <v>45902</v>
      </c>
      <c r="L189" s="43">
        <f t="shared" si="16"/>
        <v>46083</v>
      </c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ht="15.75" customHeight="1" x14ac:dyDescent="0.25">
      <c r="A190" s="7"/>
      <c r="B190" s="85">
        <v>100010146</v>
      </c>
      <c r="C190" s="86" t="s">
        <v>603</v>
      </c>
      <c r="D190" s="87" t="s">
        <v>604</v>
      </c>
      <c r="E190" s="88"/>
      <c r="F190" s="89"/>
      <c r="G190" s="89"/>
      <c r="H190" s="90">
        <f t="shared" si="0"/>
        <v>0</v>
      </c>
      <c r="I190" s="91" t="str">
        <f t="shared" si="9"/>
        <v/>
      </c>
      <c r="J190" s="92" t="str">
        <f t="shared" si="19"/>
        <v/>
      </c>
      <c r="K190" s="93">
        <v>45881</v>
      </c>
      <c r="L190" s="94">
        <f t="shared" si="16"/>
        <v>46065</v>
      </c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ht="15.75" customHeight="1" x14ac:dyDescent="0.25">
      <c r="A191" s="7"/>
      <c r="B191" s="85">
        <v>100010146</v>
      </c>
      <c r="C191" s="86" t="s">
        <v>603</v>
      </c>
      <c r="D191" s="87" t="s">
        <v>605</v>
      </c>
      <c r="E191" s="97"/>
      <c r="F191" s="98"/>
      <c r="G191" s="98"/>
      <c r="H191" s="90">
        <f t="shared" si="0"/>
        <v>0</v>
      </c>
      <c r="I191" s="91" t="str">
        <f t="shared" si="9"/>
        <v/>
      </c>
      <c r="J191" s="92" t="str">
        <f t="shared" si="19"/>
        <v/>
      </c>
      <c r="K191" s="93">
        <v>45881</v>
      </c>
      <c r="L191" s="94">
        <f t="shared" si="16"/>
        <v>46065</v>
      </c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ht="15.75" customHeight="1" x14ac:dyDescent="0.25">
      <c r="A192" s="7"/>
      <c r="B192" s="56">
        <v>100010140</v>
      </c>
      <c r="C192" s="59" t="s">
        <v>234</v>
      </c>
      <c r="D192" s="58" t="s">
        <v>235</v>
      </c>
      <c r="E192" s="61">
        <v>1109.99</v>
      </c>
      <c r="F192" s="61">
        <v>1109.99</v>
      </c>
      <c r="G192" s="50">
        <v>705</v>
      </c>
      <c r="H192" s="34">
        <f t="shared" si="0"/>
        <v>974.99333333333334</v>
      </c>
      <c r="I192" s="42">
        <f t="shared" si="9"/>
        <v>0.57445390070921998</v>
      </c>
      <c r="J192" s="36">
        <f t="shared" si="19"/>
        <v>0.13845906638677863</v>
      </c>
      <c r="K192" s="51">
        <v>45882</v>
      </c>
      <c r="L192" s="43">
        <f t="shared" si="16"/>
        <v>46066</v>
      </c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ht="15.75" customHeight="1" x14ac:dyDescent="0.25">
      <c r="A193" s="7"/>
      <c r="B193" s="56">
        <v>100010140</v>
      </c>
      <c r="C193" s="59" t="s">
        <v>234</v>
      </c>
      <c r="D193" s="58" t="s">
        <v>236</v>
      </c>
      <c r="E193" s="65">
        <v>1146.8499999999999</v>
      </c>
      <c r="F193" s="47">
        <v>774.05</v>
      </c>
      <c r="G193" s="47">
        <v>1146.8499999999999</v>
      </c>
      <c r="H193" s="34">
        <f t="shared" si="0"/>
        <v>1022.5833333333334</v>
      </c>
      <c r="I193" s="42">
        <f t="shared" si="9"/>
        <v>0.48162263419675733</v>
      </c>
      <c r="J193" s="36">
        <f t="shared" si="19"/>
        <v>0.12152228832205991</v>
      </c>
      <c r="K193" s="51">
        <v>45882</v>
      </c>
      <c r="L193" s="43">
        <f t="shared" si="16"/>
        <v>46066</v>
      </c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ht="15.75" customHeight="1" x14ac:dyDescent="0.25">
      <c r="A194" s="7"/>
      <c r="B194" s="56">
        <v>100010140</v>
      </c>
      <c r="C194" s="59" t="s">
        <v>234</v>
      </c>
      <c r="D194" s="58" t="s">
        <v>237</v>
      </c>
      <c r="E194" s="66">
        <v>1804.99</v>
      </c>
      <c r="F194" s="47">
        <v>1804.99</v>
      </c>
      <c r="G194" s="47">
        <v>1804.99</v>
      </c>
      <c r="H194" s="34">
        <f t="shared" si="0"/>
        <v>1804.99</v>
      </c>
      <c r="I194" s="42">
        <f t="shared" si="9"/>
        <v>0</v>
      </c>
      <c r="J194" s="36">
        <f t="shared" si="19"/>
        <v>0</v>
      </c>
      <c r="K194" s="51">
        <v>45882</v>
      </c>
      <c r="L194" s="43">
        <f t="shared" si="16"/>
        <v>46066</v>
      </c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ht="15.75" customHeight="1" x14ac:dyDescent="0.25">
      <c r="A195" s="7"/>
      <c r="B195" s="56">
        <v>100010140</v>
      </c>
      <c r="C195" s="59" t="s">
        <v>234</v>
      </c>
      <c r="D195" s="58" t="s">
        <v>238</v>
      </c>
      <c r="E195" s="82">
        <v>980</v>
      </c>
      <c r="F195" s="50">
        <v>1052.3699999999999</v>
      </c>
      <c r="G195" s="50">
        <v>1124.98</v>
      </c>
      <c r="H195" s="34">
        <f t="shared" si="0"/>
        <v>1052.45</v>
      </c>
      <c r="I195" s="42">
        <f t="shared" si="9"/>
        <v>0.14793877551020418</v>
      </c>
      <c r="J195" s="36">
        <f t="shared" si="19"/>
        <v>6.8915387904413539E-2</v>
      </c>
      <c r="K195" s="51">
        <v>45882</v>
      </c>
      <c r="L195" s="43">
        <f t="shared" si="16"/>
        <v>46066</v>
      </c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ht="18" customHeight="1" x14ac:dyDescent="0.25">
      <c r="A196" s="7"/>
      <c r="B196" s="68">
        <v>100010197</v>
      </c>
      <c r="C196" s="59" t="s">
        <v>239</v>
      </c>
      <c r="D196" s="58" t="s">
        <v>240</v>
      </c>
      <c r="E196" s="66">
        <v>719</v>
      </c>
      <c r="F196" s="47">
        <v>679</v>
      </c>
      <c r="G196" s="47">
        <v>649</v>
      </c>
      <c r="H196" s="34">
        <f t="shared" si="0"/>
        <v>682.33333333333337</v>
      </c>
      <c r="I196" s="42">
        <f t="shared" si="9"/>
        <v>0.10785824345146389</v>
      </c>
      <c r="J196" s="36">
        <f t="shared" si="19"/>
        <v>5.3737176355642235E-2</v>
      </c>
      <c r="K196" s="51">
        <v>45908</v>
      </c>
      <c r="L196" s="43">
        <f t="shared" si="16"/>
        <v>46089</v>
      </c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ht="18" customHeight="1" x14ac:dyDescent="0.25">
      <c r="A197" s="7"/>
      <c r="B197" s="68">
        <v>100010291</v>
      </c>
      <c r="C197" s="59" t="s">
        <v>241</v>
      </c>
      <c r="D197" s="58" t="s">
        <v>242</v>
      </c>
      <c r="E197" s="66">
        <v>1019</v>
      </c>
      <c r="F197" s="84">
        <v>1129.9000000000001</v>
      </c>
      <c r="G197" s="47">
        <v>1119.9000000000001</v>
      </c>
      <c r="H197" s="34">
        <f t="shared" si="0"/>
        <v>1089.6000000000001</v>
      </c>
      <c r="I197" s="42">
        <f t="shared" si="9"/>
        <v>0.10883218842001963</v>
      </c>
      <c r="J197" s="36">
        <f t="shared" si="19"/>
        <v>3.6986049926578612E-2</v>
      </c>
      <c r="K197" s="51">
        <v>45908</v>
      </c>
      <c r="L197" s="43">
        <f t="shared" si="16"/>
        <v>46089</v>
      </c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ht="15.75" customHeight="1" x14ac:dyDescent="0.25">
      <c r="A198" s="7"/>
      <c r="B198" s="68">
        <v>100012845</v>
      </c>
      <c r="C198" s="59" t="s">
        <v>243</v>
      </c>
      <c r="D198" s="58" t="s">
        <v>244</v>
      </c>
      <c r="E198" s="66">
        <v>32729.55</v>
      </c>
      <c r="F198" s="47">
        <v>33318.9</v>
      </c>
      <c r="G198" s="47">
        <v>33945.9</v>
      </c>
      <c r="H198" s="34">
        <f t="shared" si="0"/>
        <v>33331.450000000004</v>
      </c>
      <c r="I198" s="42">
        <f t="shared" si="9"/>
        <v>3.7163664028378118E-2</v>
      </c>
      <c r="J198" s="36"/>
      <c r="K198" s="51">
        <v>45908</v>
      </c>
      <c r="L198" s="38">
        <f t="shared" si="16"/>
        <v>46089</v>
      </c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ht="15.75" customHeight="1" x14ac:dyDescent="0.25">
      <c r="A199" s="7"/>
      <c r="B199" s="68">
        <v>100002334</v>
      </c>
      <c r="C199" s="59" t="s">
        <v>84</v>
      </c>
      <c r="D199" s="58" t="s">
        <v>245</v>
      </c>
      <c r="E199" s="47">
        <v>30200</v>
      </c>
      <c r="F199" s="47">
        <v>26197</v>
      </c>
      <c r="G199" s="47">
        <v>24997</v>
      </c>
      <c r="H199" s="34">
        <f t="shared" si="0"/>
        <v>27131.333333333332</v>
      </c>
      <c r="I199" s="42">
        <f t="shared" si="9"/>
        <v>0.20814497739728766</v>
      </c>
      <c r="J199" s="36"/>
      <c r="K199" s="51">
        <v>45909</v>
      </c>
      <c r="L199" s="38">
        <f t="shared" si="16"/>
        <v>46090</v>
      </c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ht="15.75" customHeight="1" x14ac:dyDescent="0.25">
      <c r="A200" s="7"/>
      <c r="B200" s="56">
        <v>100010138</v>
      </c>
      <c r="C200" s="59" t="s">
        <v>246</v>
      </c>
      <c r="D200" s="58" t="s">
        <v>606</v>
      </c>
      <c r="E200" s="66">
        <v>1015.9</v>
      </c>
      <c r="F200" s="84">
        <v>1015.9</v>
      </c>
      <c r="G200" s="47">
        <v>1015.9</v>
      </c>
      <c r="H200" s="34">
        <f t="shared" si="0"/>
        <v>1015.9</v>
      </c>
      <c r="I200" s="42">
        <f t="shared" si="9"/>
        <v>0</v>
      </c>
      <c r="J200" s="36"/>
      <c r="K200" s="51">
        <v>45883</v>
      </c>
      <c r="L200" s="38">
        <f t="shared" si="16"/>
        <v>46067</v>
      </c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ht="15.75" customHeight="1" x14ac:dyDescent="0.25">
      <c r="A201" s="7"/>
      <c r="B201" s="56">
        <v>100010138</v>
      </c>
      <c r="C201" s="59" t="s">
        <v>246</v>
      </c>
      <c r="D201" s="58" t="s">
        <v>607</v>
      </c>
      <c r="E201" s="66">
        <v>679.88</v>
      </c>
      <c r="F201" s="47">
        <v>665.31</v>
      </c>
      <c r="G201" s="47">
        <v>744.91</v>
      </c>
      <c r="H201" s="34">
        <f t="shared" si="0"/>
        <v>696.69999999999993</v>
      </c>
      <c r="I201" s="42">
        <f t="shared" si="9"/>
        <v>0.11964347447054768</v>
      </c>
      <c r="J201" s="36"/>
      <c r="K201" s="51">
        <v>45883</v>
      </c>
      <c r="L201" s="38">
        <f t="shared" si="16"/>
        <v>46067</v>
      </c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ht="15.75" customHeight="1" x14ac:dyDescent="0.25">
      <c r="A202" s="7"/>
      <c r="B202" s="56">
        <v>100010138</v>
      </c>
      <c r="C202" s="59" t="s">
        <v>246</v>
      </c>
      <c r="D202" s="58" t="s">
        <v>608</v>
      </c>
      <c r="E202" s="66">
        <v>678</v>
      </c>
      <c r="F202" s="84">
        <v>740.19</v>
      </c>
      <c r="G202" s="84">
        <v>646.29999999999995</v>
      </c>
      <c r="H202" s="34">
        <f t="shared" si="0"/>
        <v>688.1633333333333</v>
      </c>
      <c r="I202" s="42">
        <f t="shared" si="9"/>
        <v>0.14527309299087121</v>
      </c>
      <c r="J202" s="42">
        <f>IF(ISERROR(MAX(F202:H202)/MIN(F202:H202)-1),"",(MAX(F202:H202)/MIN(F202:H202)-1))</f>
        <v>0.14527309299087121</v>
      </c>
      <c r="K202" s="51">
        <v>45883</v>
      </c>
      <c r="L202" s="38">
        <f t="shared" si="16"/>
        <v>46067</v>
      </c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ht="15.75" customHeight="1" x14ac:dyDescent="0.25">
      <c r="A203" s="7"/>
      <c r="B203" s="56">
        <v>100010138</v>
      </c>
      <c r="C203" s="59" t="s">
        <v>246</v>
      </c>
      <c r="D203" s="58" t="s">
        <v>247</v>
      </c>
      <c r="E203" s="66">
        <v>661.3</v>
      </c>
      <c r="F203" s="47">
        <v>533.30999999999995</v>
      </c>
      <c r="G203" s="47">
        <v>533.30999999999995</v>
      </c>
      <c r="H203" s="34">
        <f t="shared" si="0"/>
        <v>575.97333333333324</v>
      </c>
      <c r="I203" s="42">
        <f t="shared" si="9"/>
        <v>0.23999174963904668</v>
      </c>
      <c r="J203" s="36">
        <f t="shared" ref="J203:J208" si="20">IF(ISERROR(MAX(E203:G203)/H203-1),"",(MAX(E203:G203)/H203-1))</f>
        <v>0.14814343256632267</v>
      </c>
      <c r="K203" s="51">
        <v>45883</v>
      </c>
      <c r="L203" s="43">
        <f t="shared" si="16"/>
        <v>46067</v>
      </c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ht="15.75" customHeight="1" x14ac:dyDescent="0.25">
      <c r="A204" s="7"/>
      <c r="B204" s="56">
        <v>100010138</v>
      </c>
      <c r="C204" s="59" t="s">
        <v>246</v>
      </c>
      <c r="D204" s="58" t="s">
        <v>248</v>
      </c>
      <c r="E204" s="66">
        <v>1777.04</v>
      </c>
      <c r="F204" s="47">
        <v>1603.03</v>
      </c>
      <c r="G204" s="47">
        <v>1998</v>
      </c>
      <c r="H204" s="34">
        <f t="shared" si="0"/>
        <v>1792.6899999999998</v>
      </c>
      <c r="I204" s="42">
        <f t="shared" si="9"/>
        <v>0.24638964960106802</v>
      </c>
      <c r="J204" s="36">
        <f t="shared" si="20"/>
        <v>0.11452621479452674</v>
      </c>
      <c r="K204" s="51">
        <v>45883</v>
      </c>
      <c r="L204" s="43">
        <f t="shared" si="16"/>
        <v>46067</v>
      </c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ht="15.75" customHeight="1" x14ac:dyDescent="0.25">
      <c r="A205" s="7"/>
      <c r="B205" s="68">
        <v>100002335</v>
      </c>
      <c r="C205" s="59" t="s">
        <v>249</v>
      </c>
      <c r="D205" s="58" t="s">
        <v>250</v>
      </c>
      <c r="E205" s="82">
        <v>11976.67</v>
      </c>
      <c r="F205" s="50">
        <v>9789</v>
      </c>
      <c r="G205" s="50">
        <v>10499.4</v>
      </c>
      <c r="H205" s="34">
        <f t="shared" si="0"/>
        <v>10755.023333333333</v>
      </c>
      <c r="I205" s="42">
        <f t="shared" si="9"/>
        <v>0.2234824803350699</v>
      </c>
      <c r="J205" s="36">
        <f t="shared" si="20"/>
        <v>0.11358847199153765</v>
      </c>
      <c r="K205" s="51">
        <v>45909</v>
      </c>
      <c r="L205" s="43">
        <f t="shared" si="16"/>
        <v>46090</v>
      </c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ht="15.75" customHeight="1" x14ac:dyDescent="0.25">
      <c r="A206" s="7"/>
      <c r="B206" s="68">
        <v>100012476</v>
      </c>
      <c r="C206" s="59" t="s">
        <v>251</v>
      </c>
      <c r="D206" s="58" t="s">
        <v>252</v>
      </c>
      <c r="E206" s="66">
        <v>651.9</v>
      </c>
      <c r="F206" s="47">
        <v>799</v>
      </c>
      <c r="G206" s="47">
        <v>721.65</v>
      </c>
      <c r="H206" s="34">
        <f t="shared" si="0"/>
        <v>724.18333333333339</v>
      </c>
      <c r="I206" s="42">
        <f t="shared" si="9"/>
        <v>0.22564810553765913</v>
      </c>
      <c r="J206" s="36">
        <f t="shared" si="20"/>
        <v>0.10331177648385537</v>
      </c>
      <c r="K206" s="51">
        <v>45909</v>
      </c>
      <c r="L206" s="43">
        <f t="shared" si="16"/>
        <v>46090</v>
      </c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ht="15.75" customHeight="1" x14ac:dyDescent="0.25">
      <c r="A207" s="7"/>
      <c r="B207" s="85">
        <v>100002329</v>
      </c>
      <c r="C207" s="86" t="s">
        <v>253</v>
      </c>
      <c r="D207" s="87" t="s">
        <v>254</v>
      </c>
      <c r="E207" s="88"/>
      <c r="F207" s="89"/>
      <c r="G207" s="89"/>
      <c r="H207" s="90">
        <f t="shared" si="0"/>
        <v>0</v>
      </c>
      <c r="I207" s="91" t="str">
        <f t="shared" si="9"/>
        <v/>
      </c>
      <c r="J207" s="92" t="str">
        <f t="shared" si="20"/>
        <v/>
      </c>
      <c r="K207" s="93">
        <v>45909</v>
      </c>
      <c r="L207" s="94">
        <f t="shared" si="16"/>
        <v>46090</v>
      </c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ht="15.75" customHeight="1" x14ac:dyDescent="0.25">
      <c r="A208" s="7"/>
      <c r="B208" s="85">
        <v>100002330</v>
      </c>
      <c r="C208" s="86" t="s">
        <v>255</v>
      </c>
      <c r="D208" s="87" t="s">
        <v>254</v>
      </c>
      <c r="E208" s="88"/>
      <c r="F208" s="89"/>
      <c r="G208" s="89"/>
      <c r="H208" s="90">
        <f t="shared" si="0"/>
        <v>0</v>
      </c>
      <c r="I208" s="91" t="str">
        <f t="shared" si="9"/>
        <v/>
      </c>
      <c r="J208" s="92" t="str">
        <f t="shared" si="20"/>
        <v/>
      </c>
      <c r="K208" s="93">
        <v>45909</v>
      </c>
      <c r="L208" s="94">
        <f t="shared" si="16"/>
        <v>46090</v>
      </c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ht="15.75" customHeight="1" x14ac:dyDescent="0.25">
      <c r="A209" s="7"/>
      <c r="B209" s="85">
        <v>100011317</v>
      </c>
      <c r="C209" s="86" t="s">
        <v>256</v>
      </c>
      <c r="D209" s="87" t="s">
        <v>254</v>
      </c>
      <c r="E209" s="88"/>
      <c r="F209" s="89"/>
      <c r="G209" s="89"/>
      <c r="H209" s="90">
        <f t="shared" si="0"/>
        <v>0</v>
      </c>
      <c r="I209" s="91" t="str">
        <f t="shared" si="9"/>
        <v/>
      </c>
      <c r="J209" s="92"/>
      <c r="K209" s="93">
        <v>45909</v>
      </c>
      <c r="L209" s="95">
        <f t="shared" si="16"/>
        <v>46090</v>
      </c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ht="15.75" customHeight="1" x14ac:dyDescent="0.25">
      <c r="A210" s="7"/>
      <c r="B210" s="85">
        <v>100011317</v>
      </c>
      <c r="C210" s="86" t="s">
        <v>257</v>
      </c>
      <c r="D210" s="87" t="s">
        <v>254</v>
      </c>
      <c r="E210" s="88"/>
      <c r="F210" s="89"/>
      <c r="G210" s="89"/>
      <c r="H210" s="90">
        <f t="shared" si="0"/>
        <v>0</v>
      </c>
      <c r="I210" s="91" t="str">
        <f t="shared" si="9"/>
        <v/>
      </c>
      <c r="J210" s="92" t="str">
        <f t="shared" ref="J210:J213" si="21">IF(ISERROR(MAX(E210:G210)/H210-1),"",(MAX(E210:G210)/H210-1))</f>
        <v/>
      </c>
      <c r="K210" s="93">
        <v>45909</v>
      </c>
      <c r="L210" s="94">
        <f t="shared" si="16"/>
        <v>46090</v>
      </c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ht="15.75" customHeight="1" x14ac:dyDescent="0.25">
      <c r="A211" s="7"/>
      <c r="B211" s="85">
        <v>100011317</v>
      </c>
      <c r="C211" s="86" t="s">
        <v>258</v>
      </c>
      <c r="D211" s="87" t="s">
        <v>254</v>
      </c>
      <c r="E211" s="96"/>
      <c r="F211" s="89"/>
      <c r="G211" s="89"/>
      <c r="H211" s="90">
        <f t="shared" si="0"/>
        <v>0</v>
      </c>
      <c r="I211" s="91" t="str">
        <f t="shared" si="9"/>
        <v/>
      </c>
      <c r="J211" s="92" t="str">
        <f t="shared" si="21"/>
        <v/>
      </c>
      <c r="K211" s="93">
        <v>45909</v>
      </c>
      <c r="L211" s="94">
        <f t="shared" si="16"/>
        <v>46090</v>
      </c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ht="15.75" customHeight="1" x14ac:dyDescent="0.25">
      <c r="A212" s="7"/>
      <c r="B212" s="56">
        <v>100010219</v>
      </c>
      <c r="C212" s="59" t="s">
        <v>259</v>
      </c>
      <c r="D212" s="58" t="s">
        <v>260</v>
      </c>
      <c r="E212" s="65">
        <v>478.77</v>
      </c>
      <c r="F212" s="55">
        <v>437</v>
      </c>
      <c r="G212" s="55">
        <v>437</v>
      </c>
      <c r="H212" s="34">
        <f t="shared" si="0"/>
        <v>450.92333333333335</v>
      </c>
      <c r="I212" s="42">
        <f t="shared" si="9"/>
        <v>9.5583524027459843E-2</v>
      </c>
      <c r="J212" s="36">
        <f t="shared" si="21"/>
        <v>6.1754769842619073E-2</v>
      </c>
      <c r="K212" s="51">
        <v>45911</v>
      </c>
      <c r="L212" s="43">
        <f t="shared" si="16"/>
        <v>46092</v>
      </c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ht="15.75" customHeight="1" x14ac:dyDescent="0.25">
      <c r="A213" s="7"/>
      <c r="B213" s="56">
        <v>100010219</v>
      </c>
      <c r="C213" s="59" t="s">
        <v>259</v>
      </c>
      <c r="D213" s="58" t="s">
        <v>261</v>
      </c>
      <c r="E213" s="65">
        <v>1189</v>
      </c>
      <c r="F213" s="47">
        <v>1438.9</v>
      </c>
      <c r="G213" s="47">
        <v>1349</v>
      </c>
      <c r="H213" s="34">
        <f t="shared" si="0"/>
        <v>1325.6333333333334</v>
      </c>
      <c r="I213" s="42">
        <f t="shared" si="9"/>
        <v>0.21017661900756957</v>
      </c>
      <c r="J213" s="36">
        <f t="shared" si="21"/>
        <v>8.5443435841987547E-2</v>
      </c>
      <c r="K213" s="51">
        <v>45911</v>
      </c>
      <c r="L213" s="43">
        <f t="shared" si="16"/>
        <v>46092</v>
      </c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ht="15.75" customHeight="1" x14ac:dyDescent="0.25">
      <c r="A214" s="7"/>
      <c r="B214" s="56">
        <v>100010219</v>
      </c>
      <c r="C214" s="59" t="s">
        <v>259</v>
      </c>
      <c r="D214" s="58" t="s">
        <v>262</v>
      </c>
      <c r="E214" s="61">
        <v>1318.9</v>
      </c>
      <c r="F214" s="50">
        <v>1199</v>
      </c>
      <c r="G214" s="50">
        <v>1248</v>
      </c>
      <c r="H214" s="34">
        <f t="shared" si="0"/>
        <v>1255.3</v>
      </c>
      <c r="I214" s="42">
        <f t="shared" si="9"/>
        <v>0.10000000000000009</v>
      </c>
      <c r="J214" s="36"/>
      <c r="K214" s="51">
        <v>45911</v>
      </c>
      <c r="L214" s="38">
        <f t="shared" si="16"/>
        <v>46092</v>
      </c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ht="15.75" customHeight="1" x14ac:dyDescent="0.25">
      <c r="A215" s="7"/>
      <c r="B215" s="68">
        <v>100012664</v>
      </c>
      <c r="C215" s="59" t="s">
        <v>263</v>
      </c>
      <c r="D215" s="58" t="s">
        <v>264</v>
      </c>
      <c r="E215" s="65">
        <v>1399</v>
      </c>
      <c r="F215" s="47">
        <v>1099.99</v>
      </c>
      <c r="G215" s="47">
        <v>1200</v>
      </c>
      <c r="H215" s="34">
        <f t="shared" si="0"/>
        <v>1232.9966666666667</v>
      </c>
      <c r="I215" s="42">
        <f t="shared" si="9"/>
        <v>0.27182974390676273</v>
      </c>
      <c r="J215" s="36">
        <f t="shared" ref="J215:J228" si="22">IF(ISERROR(MAX(E215:G215)/H215-1),"",(MAX(E215:G215)/H215-1))</f>
        <v>0.1346340487538491</v>
      </c>
      <c r="K215" s="51"/>
      <c r="L215" s="43">
        <f t="shared" si="16"/>
        <v>182</v>
      </c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ht="15.75" customHeight="1" x14ac:dyDescent="0.25">
      <c r="A216" s="7"/>
      <c r="B216" s="85">
        <v>100012664</v>
      </c>
      <c r="C216" s="86" t="s">
        <v>265</v>
      </c>
      <c r="D216" s="87" t="s">
        <v>266</v>
      </c>
      <c r="E216" s="97"/>
      <c r="F216" s="98"/>
      <c r="G216" s="99"/>
      <c r="H216" s="90">
        <f t="shared" si="0"/>
        <v>0</v>
      </c>
      <c r="I216" s="91" t="str">
        <f t="shared" si="9"/>
        <v/>
      </c>
      <c r="J216" s="92" t="str">
        <f t="shared" si="22"/>
        <v/>
      </c>
      <c r="K216" s="93"/>
      <c r="L216" s="94">
        <f t="shared" si="16"/>
        <v>182</v>
      </c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ht="15.75" customHeight="1" x14ac:dyDescent="0.25">
      <c r="A217" s="7"/>
      <c r="B217" s="68">
        <v>100012664</v>
      </c>
      <c r="C217" s="59" t="s">
        <v>267</v>
      </c>
      <c r="D217" s="58" t="s">
        <v>268</v>
      </c>
      <c r="E217" s="61">
        <v>799.99</v>
      </c>
      <c r="F217" s="50">
        <v>899.99</v>
      </c>
      <c r="G217" s="50">
        <v>699.99</v>
      </c>
      <c r="H217" s="34">
        <f t="shared" si="0"/>
        <v>799.99000000000012</v>
      </c>
      <c r="I217" s="42">
        <f t="shared" si="9"/>
        <v>0.28571836740524859</v>
      </c>
      <c r="J217" s="36">
        <f t="shared" si="22"/>
        <v>0.12500156251953132</v>
      </c>
      <c r="K217" s="51"/>
      <c r="L217" s="43">
        <f t="shared" si="16"/>
        <v>182</v>
      </c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ht="15.75" customHeight="1" x14ac:dyDescent="0.25">
      <c r="A218" s="7"/>
      <c r="B218" s="68">
        <v>100013070</v>
      </c>
      <c r="C218" s="59" t="s">
        <v>269</v>
      </c>
      <c r="D218" s="58" t="s">
        <v>270</v>
      </c>
      <c r="E218" s="65">
        <v>14990</v>
      </c>
      <c r="F218" s="47">
        <v>18190.46</v>
      </c>
      <c r="G218" s="47">
        <v>16275.71</v>
      </c>
      <c r="H218" s="34">
        <f t="shared" si="0"/>
        <v>16485.39</v>
      </c>
      <c r="I218" s="42">
        <f t="shared" si="9"/>
        <v>0.21350633755837212</v>
      </c>
      <c r="J218" s="36">
        <f t="shared" si="22"/>
        <v>0.10342915757528326</v>
      </c>
      <c r="K218" s="51"/>
      <c r="L218" s="43">
        <f t="shared" si="16"/>
        <v>182</v>
      </c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ht="15.75" customHeight="1" x14ac:dyDescent="0.25">
      <c r="A219" s="7"/>
      <c r="B219" s="68">
        <v>100012664</v>
      </c>
      <c r="C219" s="59" t="s">
        <v>271</v>
      </c>
      <c r="D219" s="58" t="s">
        <v>272</v>
      </c>
      <c r="E219" s="61">
        <v>11797</v>
      </c>
      <c r="F219" s="50">
        <v>9398</v>
      </c>
      <c r="G219" s="49">
        <v>11197</v>
      </c>
      <c r="H219" s="34">
        <f t="shared" si="0"/>
        <v>10797.333333333334</v>
      </c>
      <c r="I219" s="42">
        <f t="shared" si="9"/>
        <v>0.25526707810172367</v>
      </c>
      <c r="J219" s="36">
        <f t="shared" si="22"/>
        <v>9.2584588787354871E-2</v>
      </c>
      <c r="K219" s="51"/>
      <c r="L219" s="43">
        <f t="shared" si="16"/>
        <v>182</v>
      </c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ht="15.75" customHeight="1" x14ac:dyDescent="0.25">
      <c r="A220" s="7"/>
      <c r="B220" s="68">
        <v>100012664</v>
      </c>
      <c r="C220" s="59" t="s">
        <v>273</v>
      </c>
      <c r="D220" s="58" t="s">
        <v>274</v>
      </c>
      <c r="E220" s="61">
        <v>2490</v>
      </c>
      <c r="F220" s="50">
        <v>2299</v>
      </c>
      <c r="G220" s="50">
        <v>2399.0500000000002</v>
      </c>
      <c r="H220" s="34">
        <f t="shared" si="0"/>
        <v>2396.0166666666669</v>
      </c>
      <c r="I220" s="42">
        <f t="shared" si="9"/>
        <v>8.3079599826011208E-2</v>
      </c>
      <c r="J220" s="36">
        <f t="shared" si="22"/>
        <v>3.9224824535165848E-2</v>
      </c>
      <c r="K220" s="51"/>
      <c r="L220" s="43">
        <f t="shared" si="16"/>
        <v>182</v>
      </c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ht="15.75" customHeight="1" x14ac:dyDescent="0.25">
      <c r="A221" s="7"/>
      <c r="B221" s="68">
        <v>100012664</v>
      </c>
      <c r="C221" s="59" t="s">
        <v>275</v>
      </c>
      <c r="D221" s="58" t="s">
        <v>276</v>
      </c>
      <c r="E221" s="61">
        <v>4999</v>
      </c>
      <c r="F221" s="50">
        <v>4400</v>
      </c>
      <c r="G221" s="50">
        <v>4800</v>
      </c>
      <c r="H221" s="34">
        <f t="shared" si="0"/>
        <v>4733</v>
      </c>
      <c r="I221" s="42">
        <f t="shared" si="9"/>
        <v>0.13613636363636372</v>
      </c>
      <c r="J221" s="36">
        <f t="shared" si="22"/>
        <v>5.6201140925417281E-2</v>
      </c>
      <c r="K221" s="51"/>
      <c r="L221" s="43">
        <f t="shared" si="16"/>
        <v>182</v>
      </c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ht="15.75" customHeight="1" x14ac:dyDescent="0.25">
      <c r="A222" s="7"/>
      <c r="B222" s="68">
        <v>100012664</v>
      </c>
      <c r="C222" s="59" t="s">
        <v>277</v>
      </c>
      <c r="D222" s="58" t="s">
        <v>278</v>
      </c>
      <c r="E222" s="61">
        <v>1313.1</v>
      </c>
      <c r="F222" s="50">
        <v>1197.04</v>
      </c>
      <c r="G222" s="50">
        <v>1121</v>
      </c>
      <c r="H222" s="34">
        <f t="shared" si="0"/>
        <v>1210.3799999999999</v>
      </c>
      <c r="I222" s="42">
        <f t="shared" si="9"/>
        <v>0.17136485280999092</v>
      </c>
      <c r="J222" s="36">
        <f t="shared" si="22"/>
        <v>8.4865909879541901E-2</v>
      </c>
      <c r="K222" s="51"/>
      <c r="L222" s="43">
        <f t="shared" si="16"/>
        <v>182</v>
      </c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ht="15.75" customHeight="1" x14ac:dyDescent="0.25">
      <c r="A223" s="7"/>
      <c r="B223" s="68">
        <v>100012664</v>
      </c>
      <c r="C223" s="59" t="s">
        <v>279</v>
      </c>
      <c r="D223" s="58" t="s">
        <v>280</v>
      </c>
      <c r="E223" s="61">
        <v>4899</v>
      </c>
      <c r="F223" s="50">
        <v>4699</v>
      </c>
      <c r="G223" s="49">
        <v>4734</v>
      </c>
      <c r="H223" s="34">
        <f t="shared" si="0"/>
        <v>4777.333333333333</v>
      </c>
      <c r="I223" s="42">
        <f t="shared" si="9"/>
        <v>4.2562247286656696E-2</v>
      </c>
      <c r="J223" s="36">
        <f t="shared" si="22"/>
        <v>2.5467485347474339E-2</v>
      </c>
      <c r="K223" s="51"/>
      <c r="L223" s="43">
        <f t="shared" si="16"/>
        <v>182</v>
      </c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ht="15.75" customHeight="1" x14ac:dyDescent="0.25">
      <c r="A224" s="7"/>
      <c r="B224" s="85">
        <v>100012664</v>
      </c>
      <c r="C224" s="86" t="s">
        <v>281</v>
      </c>
      <c r="D224" s="87" t="s">
        <v>282</v>
      </c>
      <c r="E224" s="97"/>
      <c r="F224" s="98"/>
      <c r="G224" s="99"/>
      <c r="H224" s="90">
        <f t="shared" si="0"/>
        <v>0</v>
      </c>
      <c r="I224" s="91" t="str">
        <f t="shared" si="9"/>
        <v/>
      </c>
      <c r="J224" s="92" t="str">
        <f t="shared" si="22"/>
        <v/>
      </c>
      <c r="K224" s="93"/>
      <c r="L224" s="94">
        <f t="shared" si="16"/>
        <v>182</v>
      </c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ht="15.75" customHeight="1" x14ac:dyDescent="0.25">
      <c r="A225" s="7"/>
      <c r="B225" s="68">
        <v>100012664</v>
      </c>
      <c r="C225" s="59" t="s">
        <v>283</v>
      </c>
      <c r="D225" s="58" t="s">
        <v>284</v>
      </c>
      <c r="E225" s="61">
        <v>964.44</v>
      </c>
      <c r="F225" s="50">
        <v>946.58</v>
      </c>
      <c r="G225" s="49">
        <v>964.44</v>
      </c>
      <c r="H225" s="34">
        <f t="shared" si="0"/>
        <v>958.48666666666668</v>
      </c>
      <c r="I225" s="42">
        <f t="shared" si="9"/>
        <v>1.8867924528301883E-2</v>
      </c>
      <c r="J225" s="36">
        <f t="shared" si="22"/>
        <v>6.2111801242237252E-3</v>
      </c>
      <c r="K225" s="51"/>
      <c r="L225" s="43">
        <f t="shared" si="16"/>
        <v>182</v>
      </c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ht="15.75" customHeight="1" x14ac:dyDescent="0.25">
      <c r="A226" s="7"/>
      <c r="B226" s="85">
        <v>100012664</v>
      </c>
      <c r="C226" s="86" t="s">
        <v>285</v>
      </c>
      <c r="D226" s="87" t="s">
        <v>286</v>
      </c>
      <c r="E226" s="97"/>
      <c r="F226" s="98"/>
      <c r="G226" s="99"/>
      <c r="H226" s="90">
        <f t="shared" si="0"/>
        <v>0</v>
      </c>
      <c r="I226" s="91" t="str">
        <f t="shared" si="9"/>
        <v/>
      </c>
      <c r="J226" s="92" t="str">
        <f t="shared" si="22"/>
        <v/>
      </c>
      <c r="K226" s="93"/>
      <c r="L226" s="94">
        <f t="shared" si="16"/>
        <v>182</v>
      </c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ht="15.75" customHeight="1" x14ac:dyDescent="0.25">
      <c r="A227" s="7"/>
      <c r="B227" s="56">
        <v>100013066</v>
      </c>
      <c r="C227" s="59" t="s">
        <v>287</v>
      </c>
      <c r="D227" s="58"/>
      <c r="E227" s="61">
        <v>179.9</v>
      </c>
      <c r="F227" s="50">
        <v>184.11</v>
      </c>
      <c r="G227" s="50">
        <v>195.44</v>
      </c>
      <c r="H227" s="34">
        <f t="shared" si="0"/>
        <v>186.48333333333335</v>
      </c>
      <c r="I227" s="42">
        <f t="shared" si="9"/>
        <v>8.6381322957198359E-2</v>
      </c>
      <c r="J227" s="36">
        <f t="shared" si="22"/>
        <v>4.8029314505317666E-2</v>
      </c>
      <c r="K227" s="51">
        <v>45911</v>
      </c>
      <c r="L227" s="43">
        <f t="shared" si="16"/>
        <v>46092</v>
      </c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ht="15.75" customHeight="1" x14ac:dyDescent="0.25">
      <c r="A228" s="7"/>
      <c r="B228" s="56">
        <v>100012904</v>
      </c>
      <c r="C228" s="59" t="s">
        <v>288</v>
      </c>
      <c r="D228" s="58" t="s">
        <v>289</v>
      </c>
      <c r="E228" s="82">
        <v>161.21</v>
      </c>
      <c r="F228" s="50">
        <v>180.39</v>
      </c>
      <c r="G228" s="50">
        <v>166</v>
      </c>
      <c r="H228" s="34">
        <f t="shared" si="0"/>
        <v>169.20000000000002</v>
      </c>
      <c r="I228" s="42">
        <f t="shared" si="9"/>
        <v>0.1189752496743377</v>
      </c>
      <c r="J228" s="36">
        <f t="shared" si="22"/>
        <v>6.6134751773049505E-2</v>
      </c>
      <c r="K228" s="51">
        <v>45911</v>
      </c>
      <c r="L228" s="43">
        <f t="shared" si="16"/>
        <v>46092</v>
      </c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ht="15.75" customHeight="1" x14ac:dyDescent="0.25">
      <c r="A229" s="7"/>
      <c r="B229" s="85">
        <v>100012762</v>
      </c>
      <c r="C229" s="86" t="s">
        <v>290</v>
      </c>
      <c r="D229" s="87"/>
      <c r="E229" s="100"/>
      <c r="F229" s="98"/>
      <c r="G229" s="98"/>
      <c r="H229" s="90">
        <f t="shared" si="0"/>
        <v>0</v>
      </c>
      <c r="I229" s="91" t="str">
        <f t="shared" si="9"/>
        <v/>
      </c>
      <c r="J229" s="101">
        <v>29881.3</v>
      </c>
      <c r="K229" s="93"/>
      <c r="L229" s="94">
        <v>44680</v>
      </c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ht="15.75" customHeight="1" x14ac:dyDescent="0.25">
      <c r="A230" s="7"/>
      <c r="B230" s="85">
        <v>100012747</v>
      </c>
      <c r="C230" s="86" t="s">
        <v>41</v>
      </c>
      <c r="D230" s="87"/>
      <c r="E230" s="100"/>
      <c r="F230" s="98"/>
      <c r="G230" s="98"/>
      <c r="H230" s="90">
        <f t="shared" si="0"/>
        <v>0</v>
      </c>
      <c r="I230" s="91" t="str">
        <f t="shared" si="9"/>
        <v/>
      </c>
      <c r="J230" s="92" t="str">
        <f t="shared" ref="J230:J235" si="23">IF(ISERROR(MAX(E230:G230)/H230-1),"",(MAX(E230:G230)/H230-1))</f>
        <v/>
      </c>
      <c r="K230" s="93"/>
      <c r="L230" s="94">
        <f t="shared" ref="L230:L235" si="24">EDATE(K230,6)</f>
        <v>182</v>
      </c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ht="15.75" customHeight="1" x14ac:dyDescent="0.25">
      <c r="A231" s="7"/>
      <c r="B231" s="85">
        <v>100012597</v>
      </c>
      <c r="C231" s="86" t="s">
        <v>609</v>
      </c>
      <c r="D231" s="87"/>
      <c r="E231" s="88"/>
      <c r="F231" s="89"/>
      <c r="G231" s="89"/>
      <c r="H231" s="90">
        <f t="shared" si="0"/>
        <v>0</v>
      </c>
      <c r="I231" s="91" t="str">
        <f t="shared" si="9"/>
        <v/>
      </c>
      <c r="J231" s="92" t="str">
        <f t="shared" si="23"/>
        <v/>
      </c>
      <c r="K231" s="93"/>
      <c r="L231" s="94">
        <f t="shared" si="24"/>
        <v>182</v>
      </c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ht="15.75" customHeight="1" x14ac:dyDescent="0.25">
      <c r="A232" s="7"/>
      <c r="B232" s="85">
        <v>100012552</v>
      </c>
      <c r="C232" s="86" t="s">
        <v>291</v>
      </c>
      <c r="D232" s="87"/>
      <c r="E232" s="88"/>
      <c r="F232" s="89"/>
      <c r="G232" s="89"/>
      <c r="H232" s="90">
        <f t="shared" si="0"/>
        <v>0</v>
      </c>
      <c r="I232" s="91" t="str">
        <f t="shared" si="9"/>
        <v/>
      </c>
      <c r="J232" s="92" t="str">
        <f t="shared" si="23"/>
        <v/>
      </c>
      <c r="K232" s="93"/>
      <c r="L232" s="94">
        <f t="shared" si="24"/>
        <v>182</v>
      </c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ht="16.5" customHeight="1" x14ac:dyDescent="0.25">
      <c r="A233" s="7"/>
      <c r="B233" s="85">
        <v>100012547</v>
      </c>
      <c r="C233" s="86" t="s">
        <v>610</v>
      </c>
      <c r="D233" s="87" t="s">
        <v>611</v>
      </c>
      <c r="E233" s="88"/>
      <c r="F233" s="89"/>
      <c r="G233" s="89"/>
      <c r="H233" s="90">
        <f t="shared" si="0"/>
        <v>0</v>
      </c>
      <c r="I233" s="91" t="str">
        <f t="shared" si="9"/>
        <v/>
      </c>
      <c r="J233" s="92" t="str">
        <f t="shared" si="23"/>
        <v/>
      </c>
      <c r="K233" s="93"/>
      <c r="L233" s="94">
        <f t="shared" si="24"/>
        <v>182</v>
      </c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ht="15.75" customHeight="1" x14ac:dyDescent="0.25">
      <c r="A234" s="7"/>
      <c r="B234" s="68">
        <v>100012877</v>
      </c>
      <c r="C234" s="59" t="s">
        <v>292</v>
      </c>
      <c r="D234" s="58"/>
      <c r="E234" s="82">
        <v>522.9</v>
      </c>
      <c r="F234" s="50">
        <v>529.99</v>
      </c>
      <c r="G234" s="50">
        <v>659.9</v>
      </c>
      <c r="H234" s="34">
        <f t="shared" si="0"/>
        <v>570.92999999999995</v>
      </c>
      <c r="I234" s="42">
        <f t="shared" si="9"/>
        <v>0.26200038248231028</v>
      </c>
      <c r="J234" s="36">
        <f t="shared" si="23"/>
        <v>0.15583346469794912</v>
      </c>
      <c r="K234" s="51">
        <v>45917</v>
      </c>
      <c r="L234" s="43">
        <f t="shared" si="24"/>
        <v>46098</v>
      </c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ht="15.75" customHeight="1" x14ac:dyDescent="0.25">
      <c r="A235" s="7"/>
      <c r="B235" s="68">
        <v>100012605</v>
      </c>
      <c r="C235" s="59" t="s">
        <v>293</v>
      </c>
      <c r="D235" s="58" t="s">
        <v>612</v>
      </c>
      <c r="E235" s="66">
        <v>150.49</v>
      </c>
      <c r="F235" s="47">
        <v>169.58</v>
      </c>
      <c r="G235" s="47">
        <v>169.99</v>
      </c>
      <c r="H235" s="34">
        <f t="shared" si="0"/>
        <v>163.35333333333335</v>
      </c>
      <c r="I235" s="42">
        <f t="shared" si="9"/>
        <v>0.12957671606086785</v>
      </c>
      <c r="J235" s="36">
        <f t="shared" si="23"/>
        <v>4.0627678243480236E-2</v>
      </c>
      <c r="K235" s="51">
        <v>45917</v>
      </c>
      <c r="L235" s="43">
        <f t="shared" si="24"/>
        <v>46098</v>
      </c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ht="15.75" customHeight="1" x14ac:dyDescent="0.25">
      <c r="A236" s="7"/>
      <c r="B236" s="68">
        <v>100012605</v>
      </c>
      <c r="C236" s="59" t="s">
        <v>293</v>
      </c>
      <c r="D236" s="58" t="s">
        <v>613</v>
      </c>
      <c r="E236" s="82">
        <v>39.99</v>
      </c>
      <c r="F236" s="50">
        <v>38.9</v>
      </c>
      <c r="G236" s="50">
        <v>49</v>
      </c>
      <c r="H236" s="34">
        <f t="shared" si="0"/>
        <v>42.63</v>
      </c>
      <c r="I236" s="42">
        <f t="shared" si="9"/>
        <v>0.25964010282776351</v>
      </c>
      <c r="J236" s="63">
        <v>25089.5</v>
      </c>
      <c r="K236" s="51">
        <v>45917</v>
      </c>
      <c r="L236" s="43">
        <v>44680</v>
      </c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ht="15.75" customHeight="1" x14ac:dyDescent="0.25">
      <c r="A237" s="7"/>
      <c r="B237" s="29">
        <v>100012602</v>
      </c>
      <c r="C237" s="67" t="s">
        <v>294</v>
      </c>
      <c r="D237" s="39"/>
      <c r="E237" s="82">
        <v>139.99</v>
      </c>
      <c r="F237" s="50">
        <v>144.94</v>
      </c>
      <c r="G237" s="50">
        <v>139.9</v>
      </c>
      <c r="H237" s="34">
        <f t="shared" si="0"/>
        <v>141.61000000000001</v>
      </c>
      <c r="I237" s="42">
        <f t="shared" si="9"/>
        <v>3.6025732666190136E-2</v>
      </c>
      <c r="J237" s="36">
        <f t="shared" ref="J237:J247" si="25">IF(ISERROR(MAX(E237:G237)/H237-1),"",(MAX(E237:G237)/H237-1))</f>
        <v>2.3515288468328288E-2</v>
      </c>
      <c r="K237" s="51">
        <v>45917</v>
      </c>
      <c r="L237" s="43">
        <f t="shared" ref="L237:L247" si="26">EDATE(K237,6)</f>
        <v>46098</v>
      </c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ht="15.75" customHeight="1" x14ac:dyDescent="0.25">
      <c r="A238" s="7"/>
      <c r="B238" s="29">
        <v>100012851</v>
      </c>
      <c r="C238" s="67" t="s">
        <v>295</v>
      </c>
      <c r="D238" s="39"/>
      <c r="E238" s="82">
        <v>359.01</v>
      </c>
      <c r="F238" s="50">
        <v>284.99</v>
      </c>
      <c r="G238" s="50">
        <v>280</v>
      </c>
      <c r="H238" s="34">
        <f t="shared" si="0"/>
        <v>308</v>
      </c>
      <c r="I238" s="42">
        <f t="shared" si="9"/>
        <v>0.28217857142857139</v>
      </c>
      <c r="J238" s="36">
        <f t="shared" si="25"/>
        <v>0.16561688311688316</v>
      </c>
      <c r="K238" s="51">
        <v>45917</v>
      </c>
      <c r="L238" s="43">
        <f t="shared" si="26"/>
        <v>46098</v>
      </c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ht="15.75" customHeight="1" x14ac:dyDescent="0.25">
      <c r="A239" s="7"/>
      <c r="B239" s="68">
        <v>100012606</v>
      </c>
      <c r="C239" s="59" t="s">
        <v>296</v>
      </c>
      <c r="D239" s="58" t="s">
        <v>297</v>
      </c>
      <c r="E239" s="66">
        <v>660</v>
      </c>
      <c r="F239" s="47">
        <v>671.04</v>
      </c>
      <c r="G239" s="47">
        <v>595</v>
      </c>
      <c r="H239" s="34">
        <f t="shared" si="0"/>
        <v>642.01333333333332</v>
      </c>
      <c r="I239" s="42">
        <f t="shared" si="9"/>
        <v>0.127798319327731</v>
      </c>
      <c r="J239" s="36">
        <f t="shared" si="25"/>
        <v>4.5211937446781869E-2</v>
      </c>
      <c r="K239" s="51">
        <v>45918</v>
      </c>
      <c r="L239" s="43">
        <f t="shared" si="26"/>
        <v>46099</v>
      </c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ht="15.75" customHeight="1" x14ac:dyDescent="0.25">
      <c r="A240" s="7"/>
      <c r="B240" s="68">
        <v>100012606</v>
      </c>
      <c r="C240" s="59" t="s">
        <v>296</v>
      </c>
      <c r="D240" s="58" t="s">
        <v>298</v>
      </c>
      <c r="E240" s="66">
        <v>137</v>
      </c>
      <c r="F240" s="47">
        <v>137</v>
      </c>
      <c r="G240" s="47">
        <v>138</v>
      </c>
      <c r="H240" s="34">
        <f t="shared" si="0"/>
        <v>137.33333333333334</v>
      </c>
      <c r="I240" s="42">
        <f t="shared" si="9"/>
        <v>7.2992700729928028E-3</v>
      </c>
      <c r="J240" s="36">
        <f t="shared" si="25"/>
        <v>4.8543689320388328E-3</v>
      </c>
      <c r="K240" s="51">
        <v>45918</v>
      </c>
      <c r="L240" s="43">
        <f t="shared" si="26"/>
        <v>46099</v>
      </c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ht="15.75" customHeight="1" x14ac:dyDescent="0.25">
      <c r="A241" s="7"/>
      <c r="B241" s="68">
        <v>100012607</v>
      </c>
      <c r="C241" s="59" t="s">
        <v>54</v>
      </c>
      <c r="D241" s="58" t="s">
        <v>299</v>
      </c>
      <c r="E241" s="66">
        <v>2899</v>
      </c>
      <c r="F241" s="47">
        <v>2499</v>
      </c>
      <c r="G241" s="47">
        <v>2599.9899999999998</v>
      </c>
      <c r="H241" s="34">
        <f t="shared" si="0"/>
        <v>2665.9966666666664</v>
      </c>
      <c r="I241" s="42">
        <f t="shared" si="9"/>
        <v>0.16006402561024413</v>
      </c>
      <c r="J241" s="36">
        <f t="shared" si="25"/>
        <v>8.7398208799961186E-2</v>
      </c>
      <c r="K241" s="51">
        <v>45918</v>
      </c>
      <c r="L241" s="43">
        <f t="shared" si="26"/>
        <v>46099</v>
      </c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ht="15.75" customHeight="1" x14ac:dyDescent="0.25">
      <c r="A242" s="7"/>
      <c r="B242" s="68">
        <v>100002350</v>
      </c>
      <c r="C242" s="59" t="s">
        <v>300</v>
      </c>
      <c r="D242" s="58" t="s">
        <v>301</v>
      </c>
      <c r="E242" s="66">
        <v>528.98</v>
      </c>
      <c r="F242" s="47">
        <v>481.08</v>
      </c>
      <c r="G242" s="47">
        <v>528.98</v>
      </c>
      <c r="H242" s="34">
        <f t="shared" si="0"/>
        <v>513.01333333333332</v>
      </c>
      <c r="I242" s="42">
        <f t="shared" si="9"/>
        <v>9.956763947784153E-2</v>
      </c>
      <c r="J242" s="36">
        <f t="shared" si="25"/>
        <v>3.1123297640087477E-2</v>
      </c>
      <c r="K242" s="51">
        <v>45918</v>
      </c>
      <c r="L242" s="43">
        <f t="shared" si="26"/>
        <v>46099</v>
      </c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ht="15.75" customHeight="1" x14ac:dyDescent="0.25">
      <c r="A243" s="7"/>
      <c r="B243" s="68">
        <v>100002350</v>
      </c>
      <c r="C243" s="59" t="s">
        <v>300</v>
      </c>
      <c r="D243" s="58" t="s">
        <v>302</v>
      </c>
      <c r="E243" s="66">
        <v>427.9</v>
      </c>
      <c r="F243" s="47">
        <v>435.35</v>
      </c>
      <c r="G243" s="47">
        <v>464.71</v>
      </c>
      <c r="H243" s="34">
        <f t="shared" si="0"/>
        <v>442.65333333333336</v>
      </c>
      <c r="I243" s="42">
        <f t="shared" si="9"/>
        <v>8.6024772143024064E-2</v>
      </c>
      <c r="J243" s="36">
        <f t="shared" si="25"/>
        <v>4.9828308081568684E-2</v>
      </c>
      <c r="K243" s="51"/>
      <c r="L243" s="43">
        <f t="shared" si="26"/>
        <v>182</v>
      </c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ht="15.75" customHeight="1" x14ac:dyDescent="0.25">
      <c r="A244" s="7"/>
      <c r="B244" s="68">
        <v>100010808</v>
      </c>
      <c r="C244" s="59" t="s">
        <v>303</v>
      </c>
      <c r="D244" s="58"/>
      <c r="E244" s="66">
        <v>680</v>
      </c>
      <c r="F244" s="47">
        <v>650.85</v>
      </c>
      <c r="G244" s="47">
        <v>693.06</v>
      </c>
      <c r="H244" s="34">
        <f t="shared" si="0"/>
        <v>674.63666666666666</v>
      </c>
      <c r="I244" s="42">
        <f t="shared" si="9"/>
        <v>6.4853652915418225E-2</v>
      </c>
      <c r="J244" s="36">
        <f t="shared" si="25"/>
        <v>2.7308526564916447E-2</v>
      </c>
      <c r="K244" s="51"/>
      <c r="L244" s="43">
        <f t="shared" si="26"/>
        <v>182</v>
      </c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ht="15.75" customHeight="1" x14ac:dyDescent="0.25">
      <c r="A245" s="7"/>
      <c r="B245" s="68">
        <v>100010811</v>
      </c>
      <c r="C245" s="59" t="s">
        <v>304</v>
      </c>
      <c r="D245" s="58"/>
      <c r="E245" s="66">
        <v>236.7</v>
      </c>
      <c r="F245" s="47">
        <v>203.43</v>
      </c>
      <c r="G245" s="47">
        <v>194.72</v>
      </c>
      <c r="H245" s="34">
        <f t="shared" si="0"/>
        <v>211.61666666666667</v>
      </c>
      <c r="I245" s="42">
        <f t="shared" si="9"/>
        <v>0.2155916187345932</v>
      </c>
      <c r="J245" s="36">
        <f t="shared" si="25"/>
        <v>0.11853193667795536</v>
      </c>
      <c r="K245" s="51"/>
      <c r="L245" s="43">
        <f t="shared" si="26"/>
        <v>182</v>
      </c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ht="15.75" customHeight="1" x14ac:dyDescent="0.25">
      <c r="A246" s="7"/>
      <c r="B246" s="68">
        <v>100012049</v>
      </c>
      <c r="C246" s="59" t="s">
        <v>305</v>
      </c>
      <c r="D246" s="58" t="s">
        <v>306</v>
      </c>
      <c r="E246" s="66">
        <v>1334</v>
      </c>
      <c r="F246" s="47">
        <v>1295</v>
      </c>
      <c r="G246" s="47">
        <v>1400</v>
      </c>
      <c r="H246" s="34">
        <f t="shared" si="0"/>
        <v>1343</v>
      </c>
      <c r="I246" s="42">
        <f t="shared" si="9"/>
        <v>8.1081081081081141E-2</v>
      </c>
      <c r="J246" s="36">
        <f t="shared" si="25"/>
        <v>4.2442293373045503E-2</v>
      </c>
      <c r="K246" s="51"/>
      <c r="L246" s="43">
        <f t="shared" si="26"/>
        <v>182</v>
      </c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ht="15.75" customHeight="1" x14ac:dyDescent="0.25">
      <c r="A247" s="7"/>
      <c r="B247" s="68">
        <v>100012059</v>
      </c>
      <c r="C247" s="59" t="s">
        <v>307</v>
      </c>
      <c r="D247" s="58" t="s">
        <v>308</v>
      </c>
      <c r="E247" s="82">
        <v>1514.64</v>
      </c>
      <c r="F247" s="50">
        <v>1799.91</v>
      </c>
      <c r="G247" s="50">
        <v>1399.9</v>
      </c>
      <c r="H247" s="34">
        <f t="shared" si="0"/>
        <v>1571.4833333333336</v>
      </c>
      <c r="I247" s="42">
        <f t="shared" si="9"/>
        <v>0.28574183870276437</v>
      </c>
      <c r="J247" s="36">
        <f t="shared" si="25"/>
        <v>0.14535735875870981</v>
      </c>
      <c r="K247" s="51"/>
      <c r="L247" s="43">
        <f t="shared" si="26"/>
        <v>182</v>
      </c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ht="15.75" customHeight="1" x14ac:dyDescent="0.25">
      <c r="A248" s="7"/>
      <c r="B248" s="68">
        <v>100012523</v>
      </c>
      <c r="C248" s="59" t="s">
        <v>309</v>
      </c>
      <c r="D248" s="58"/>
      <c r="E248" s="82">
        <v>221.51</v>
      </c>
      <c r="F248" s="50">
        <v>260</v>
      </c>
      <c r="G248" s="50">
        <v>209.9</v>
      </c>
      <c r="H248" s="34">
        <f t="shared" si="0"/>
        <v>230.47</v>
      </c>
      <c r="I248" s="42">
        <f t="shared" si="9"/>
        <v>0.23868508813720823</v>
      </c>
      <c r="J248" s="63">
        <v>27752.0333333333</v>
      </c>
      <c r="K248" s="51"/>
      <c r="L248" s="43">
        <v>44680</v>
      </c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ht="15.75" customHeight="1" x14ac:dyDescent="0.25">
      <c r="A249" s="7"/>
      <c r="B249" s="68">
        <v>100012655</v>
      </c>
      <c r="C249" s="59" t="s">
        <v>310</v>
      </c>
      <c r="D249" s="58"/>
      <c r="E249" s="82">
        <v>568.96</v>
      </c>
      <c r="F249" s="50">
        <v>520</v>
      </c>
      <c r="G249" s="50">
        <v>522</v>
      </c>
      <c r="H249" s="34">
        <f t="shared" si="0"/>
        <v>536.98666666666668</v>
      </c>
      <c r="I249" s="42">
        <f t="shared" si="9"/>
        <v>9.4153846153846255E-2</v>
      </c>
      <c r="J249" s="36">
        <f t="shared" ref="J249:J256" si="27">IF(ISERROR(MAX(E249:G249)/H249-1),"",(MAX(E249:G249)/H249-1))</f>
        <v>5.9542136365893672E-2</v>
      </c>
      <c r="K249" s="51"/>
      <c r="L249" s="43">
        <f t="shared" ref="L249:L272" si="28">EDATE(K249,6)</f>
        <v>182</v>
      </c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ht="15.75" customHeight="1" x14ac:dyDescent="0.25">
      <c r="A250" s="7"/>
      <c r="B250" s="68">
        <v>100012656</v>
      </c>
      <c r="C250" s="59" t="s">
        <v>311</v>
      </c>
      <c r="D250" s="58"/>
      <c r="E250" s="82">
        <v>24.5</v>
      </c>
      <c r="F250" s="50">
        <v>30</v>
      </c>
      <c r="G250" s="82">
        <v>24.5</v>
      </c>
      <c r="H250" s="34">
        <f t="shared" si="0"/>
        <v>26.333333333333332</v>
      </c>
      <c r="I250" s="42">
        <f t="shared" si="9"/>
        <v>0.22448979591836737</v>
      </c>
      <c r="J250" s="36">
        <f t="shared" si="27"/>
        <v>0.139240506329114</v>
      </c>
      <c r="K250" s="51">
        <v>45923</v>
      </c>
      <c r="L250" s="43">
        <f t="shared" si="28"/>
        <v>46104</v>
      </c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ht="16.5" customHeight="1" x14ac:dyDescent="0.25">
      <c r="A251" s="7"/>
      <c r="B251" s="68">
        <v>100012657</v>
      </c>
      <c r="C251" s="102" t="s">
        <v>312</v>
      </c>
      <c r="D251" s="58"/>
      <c r="E251" s="66">
        <v>167.87</v>
      </c>
      <c r="F251" s="47">
        <v>138</v>
      </c>
      <c r="G251" s="47">
        <v>153.47</v>
      </c>
      <c r="H251" s="34">
        <f t="shared" si="0"/>
        <v>153.11333333333334</v>
      </c>
      <c r="I251" s="42">
        <f t="shared" si="9"/>
        <v>0.21644927536231884</v>
      </c>
      <c r="J251" s="36">
        <f t="shared" si="27"/>
        <v>9.6377411068054197E-2</v>
      </c>
      <c r="K251" s="51">
        <v>45923</v>
      </c>
      <c r="L251" s="43">
        <f t="shared" si="28"/>
        <v>46104</v>
      </c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ht="15.75" customHeight="1" x14ac:dyDescent="0.25">
      <c r="A252" s="7"/>
      <c r="B252" s="68">
        <v>100012658</v>
      </c>
      <c r="C252" s="59" t="s">
        <v>313</v>
      </c>
      <c r="D252" s="58"/>
      <c r="E252" s="82">
        <v>245.71</v>
      </c>
      <c r="F252" s="50">
        <v>255.5</v>
      </c>
      <c r="G252" s="50">
        <v>258</v>
      </c>
      <c r="H252" s="34">
        <f t="shared" si="0"/>
        <v>253.07000000000002</v>
      </c>
      <c r="I252" s="42">
        <f t="shared" si="9"/>
        <v>5.0018314272923359E-2</v>
      </c>
      <c r="J252" s="36">
        <f t="shared" si="27"/>
        <v>1.9480776069862094E-2</v>
      </c>
      <c r="K252" s="51">
        <v>45923</v>
      </c>
      <c r="L252" s="43">
        <f t="shared" si="28"/>
        <v>46104</v>
      </c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ht="15.75" customHeight="1" x14ac:dyDescent="0.25">
      <c r="A253" s="7"/>
      <c r="B253" s="68">
        <v>100010011</v>
      </c>
      <c r="C253" s="59" t="s">
        <v>314</v>
      </c>
      <c r="D253" s="58"/>
      <c r="E253" s="82">
        <v>2973.38</v>
      </c>
      <c r="F253" s="50">
        <v>2893.35</v>
      </c>
      <c r="G253" s="50">
        <v>3050.89</v>
      </c>
      <c r="H253" s="34">
        <f t="shared" si="0"/>
        <v>2972.5399999999995</v>
      </c>
      <c r="I253" s="42">
        <f t="shared" si="9"/>
        <v>5.4448995109475096E-2</v>
      </c>
      <c r="J253" s="36">
        <f t="shared" si="27"/>
        <v>2.6357929582108364E-2</v>
      </c>
      <c r="K253" s="51">
        <v>45923</v>
      </c>
      <c r="L253" s="43">
        <f t="shared" si="28"/>
        <v>46104</v>
      </c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ht="15.75" customHeight="1" x14ac:dyDescent="0.25">
      <c r="A254" s="7"/>
      <c r="B254" s="68">
        <v>100012918</v>
      </c>
      <c r="C254" s="59" t="s">
        <v>315</v>
      </c>
      <c r="D254" s="81"/>
      <c r="E254" s="66">
        <v>128.69999999999999</v>
      </c>
      <c r="F254" s="84">
        <v>157</v>
      </c>
      <c r="G254" s="84">
        <v>154.77000000000001</v>
      </c>
      <c r="H254" s="34">
        <f t="shared" si="0"/>
        <v>146.82333333333335</v>
      </c>
      <c r="I254" s="42">
        <f t="shared" si="9"/>
        <v>0.21989121989121996</v>
      </c>
      <c r="J254" s="36">
        <f t="shared" si="27"/>
        <v>6.9312325470519909E-2</v>
      </c>
      <c r="K254" s="51">
        <v>45923</v>
      </c>
      <c r="L254" s="43">
        <f t="shared" si="28"/>
        <v>46104</v>
      </c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ht="15.75" customHeight="1" x14ac:dyDescent="0.25">
      <c r="A255" s="7"/>
      <c r="B255" s="68">
        <v>100010846</v>
      </c>
      <c r="C255" s="59" t="s">
        <v>316</v>
      </c>
      <c r="D255" s="58" t="s">
        <v>317</v>
      </c>
      <c r="E255" s="66">
        <v>1142.3900000000001</v>
      </c>
      <c r="F255" s="47">
        <v>1188.4100000000001</v>
      </c>
      <c r="G255" s="47">
        <v>1080</v>
      </c>
      <c r="H255" s="34">
        <f t="shared" si="0"/>
        <v>1136.9333333333334</v>
      </c>
      <c r="I255" s="42">
        <f t="shared" si="9"/>
        <v>0.10037962962962976</v>
      </c>
      <c r="J255" s="36">
        <f t="shared" si="27"/>
        <v>4.5276767913685845E-2</v>
      </c>
      <c r="K255" s="51">
        <v>45923</v>
      </c>
      <c r="L255" s="43">
        <f t="shared" si="28"/>
        <v>46104</v>
      </c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ht="15.75" customHeight="1" x14ac:dyDescent="0.25">
      <c r="A256" s="7"/>
      <c r="B256" s="68">
        <v>100012555</v>
      </c>
      <c r="C256" s="59" t="s">
        <v>318</v>
      </c>
      <c r="D256" s="58" t="s">
        <v>319</v>
      </c>
      <c r="E256" s="66">
        <v>2969.77</v>
      </c>
      <c r="F256" s="47">
        <v>2702.38</v>
      </c>
      <c r="G256" s="47">
        <v>2730</v>
      </c>
      <c r="H256" s="34">
        <f t="shared" si="0"/>
        <v>2800.7166666666667</v>
      </c>
      <c r="I256" s="42">
        <f t="shared" si="9"/>
        <v>9.8946114166031274E-2</v>
      </c>
      <c r="J256" s="36">
        <f t="shared" si="27"/>
        <v>6.0360741000815343E-2</v>
      </c>
      <c r="K256" s="51">
        <v>45923</v>
      </c>
      <c r="L256" s="43">
        <f t="shared" si="28"/>
        <v>46104</v>
      </c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ht="15.75" customHeight="1" x14ac:dyDescent="0.25">
      <c r="A257" s="7"/>
      <c r="B257" s="68">
        <v>100012659</v>
      </c>
      <c r="C257" s="59" t="s">
        <v>320</v>
      </c>
      <c r="D257" s="58"/>
      <c r="E257" s="82">
        <v>228.95</v>
      </c>
      <c r="F257" s="50">
        <v>250</v>
      </c>
      <c r="G257" s="50">
        <v>250</v>
      </c>
      <c r="H257" s="34">
        <f t="shared" si="0"/>
        <v>242.98333333333335</v>
      </c>
      <c r="I257" s="42">
        <f t="shared" si="9"/>
        <v>9.1941471937104335E-2</v>
      </c>
      <c r="J257" s="36"/>
      <c r="K257" s="83">
        <v>45923</v>
      </c>
      <c r="L257" s="38">
        <f t="shared" si="28"/>
        <v>46104</v>
      </c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ht="15.75" customHeight="1" x14ac:dyDescent="0.25">
      <c r="A258" s="7"/>
      <c r="B258" s="68">
        <v>100002345</v>
      </c>
      <c r="C258" s="59" t="s">
        <v>321</v>
      </c>
      <c r="D258" s="58"/>
      <c r="E258" s="82">
        <v>731</v>
      </c>
      <c r="F258" s="50">
        <v>785.44</v>
      </c>
      <c r="G258" s="50">
        <v>709.9</v>
      </c>
      <c r="H258" s="34">
        <f t="shared" si="0"/>
        <v>742.11333333333334</v>
      </c>
      <c r="I258" s="42">
        <f t="shared" si="9"/>
        <v>0.10640935343006075</v>
      </c>
      <c r="J258" s="36">
        <f t="shared" ref="J258:J272" si="29">IF(ISERROR(MAX(E258:G258)/H258-1),"",(MAX(E258:G258)/H258-1))</f>
        <v>5.8382816640764723E-2</v>
      </c>
      <c r="K258" s="51">
        <v>45923</v>
      </c>
      <c r="L258" s="43">
        <f t="shared" si="28"/>
        <v>46104</v>
      </c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ht="15.75" customHeight="1" x14ac:dyDescent="0.25">
      <c r="A259" s="7"/>
      <c r="B259" s="68">
        <v>100010679</v>
      </c>
      <c r="C259" s="59" t="s">
        <v>229</v>
      </c>
      <c r="D259" s="58"/>
      <c r="E259" s="66">
        <v>131.16</v>
      </c>
      <c r="F259" s="47">
        <v>153.69</v>
      </c>
      <c r="G259" s="47">
        <v>163.95</v>
      </c>
      <c r="H259" s="34">
        <f t="shared" si="0"/>
        <v>149.6</v>
      </c>
      <c r="I259" s="42">
        <f t="shared" si="9"/>
        <v>0.25</v>
      </c>
      <c r="J259" s="36">
        <f t="shared" si="29"/>
        <v>9.5922459893048151E-2</v>
      </c>
      <c r="K259" s="51">
        <v>45923</v>
      </c>
      <c r="L259" s="43">
        <f t="shared" si="28"/>
        <v>46104</v>
      </c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ht="15.75" customHeight="1" x14ac:dyDescent="0.25">
      <c r="A260" s="7"/>
      <c r="B260" s="68">
        <v>100010677</v>
      </c>
      <c r="C260" s="59" t="s">
        <v>322</v>
      </c>
      <c r="D260" s="58" t="s">
        <v>323</v>
      </c>
      <c r="E260" s="66">
        <v>178.5</v>
      </c>
      <c r="F260" s="47">
        <v>165</v>
      </c>
      <c r="G260" s="47">
        <v>202.24</v>
      </c>
      <c r="H260" s="34">
        <f t="shared" si="0"/>
        <v>181.91333333333333</v>
      </c>
      <c r="I260" s="42">
        <f t="shared" si="9"/>
        <v>0.22569696969696973</v>
      </c>
      <c r="J260" s="36">
        <f t="shared" si="29"/>
        <v>0.11173819034705179</v>
      </c>
      <c r="K260" s="51">
        <v>45923</v>
      </c>
      <c r="L260" s="43">
        <f t="shared" si="28"/>
        <v>46104</v>
      </c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ht="15.75" customHeight="1" x14ac:dyDescent="0.25">
      <c r="A261" s="7"/>
      <c r="B261" s="68">
        <v>100012799</v>
      </c>
      <c r="C261" s="59" t="s">
        <v>324</v>
      </c>
      <c r="D261" s="58" t="s">
        <v>325</v>
      </c>
      <c r="E261" s="66">
        <v>559.59</v>
      </c>
      <c r="F261" s="47">
        <v>630.9</v>
      </c>
      <c r="G261" s="47">
        <v>532.11</v>
      </c>
      <c r="H261" s="34">
        <f t="shared" si="0"/>
        <v>574.19999999999993</v>
      </c>
      <c r="I261" s="42">
        <f t="shared" si="9"/>
        <v>0.18565710097536225</v>
      </c>
      <c r="J261" s="36">
        <f t="shared" si="29"/>
        <v>9.8746081504702321E-2</v>
      </c>
      <c r="K261" s="51">
        <v>45924</v>
      </c>
      <c r="L261" s="43">
        <f t="shared" si="28"/>
        <v>46105</v>
      </c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ht="18" customHeight="1" x14ac:dyDescent="0.25">
      <c r="A262" s="7"/>
      <c r="B262" s="68">
        <v>100012799</v>
      </c>
      <c r="C262" s="59" t="s">
        <v>326</v>
      </c>
      <c r="D262" s="58" t="s">
        <v>327</v>
      </c>
      <c r="E262" s="66">
        <v>1121.1099999999999</v>
      </c>
      <c r="F262" s="47">
        <v>1149</v>
      </c>
      <c r="G262" s="47">
        <v>1159</v>
      </c>
      <c r="H262" s="34">
        <f t="shared" si="0"/>
        <v>1143.0366666666666</v>
      </c>
      <c r="I262" s="42">
        <f t="shared" si="9"/>
        <v>3.3796862038515396E-2</v>
      </c>
      <c r="J262" s="36">
        <f t="shared" si="29"/>
        <v>1.3965722884363707E-2</v>
      </c>
      <c r="K262" s="51">
        <v>45924</v>
      </c>
      <c r="L262" s="43">
        <f t="shared" si="28"/>
        <v>46105</v>
      </c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ht="15.75" customHeight="1" x14ac:dyDescent="0.25">
      <c r="A263" s="7"/>
      <c r="B263" s="68">
        <v>100012799</v>
      </c>
      <c r="C263" s="59" t="s">
        <v>324</v>
      </c>
      <c r="D263" s="58" t="s">
        <v>328</v>
      </c>
      <c r="E263" s="66">
        <v>1729</v>
      </c>
      <c r="F263" s="47">
        <v>1729</v>
      </c>
      <c r="G263" s="47">
        <v>1729</v>
      </c>
      <c r="H263" s="34">
        <f t="shared" si="0"/>
        <v>1729</v>
      </c>
      <c r="I263" s="42">
        <f t="shared" si="9"/>
        <v>0</v>
      </c>
      <c r="J263" s="36">
        <f t="shared" si="29"/>
        <v>0</v>
      </c>
      <c r="K263" s="51">
        <v>45924</v>
      </c>
      <c r="L263" s="43">
        <f t="shared" si="28"/>
        <v>46105</v>
      </c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ht="15.75" customHeight="1" x14ac:dyDescent="0.25">
      <c r="A264" s="7"/>
      <c r="B264" s="68">
        <v>100012292</v>
      </c>
      <c r="C264" s="59" t="s">
        <v>329</v>
      </c>
      <c r="D264" s="58"/>
      <c r="E264" s="66">
        <v>10200</v>
      </c>
      <c r="F264" s="47">
        <v>11047.73</v>
      </c>
      <c r="G264" s="47">
        <v>9419.99</v>
      </c>
      <c r="H264" s="34">
        <f t="shared" ref="H264:H518" si="30">SUM(E264:G264)/3</f>
        <v>10222.573333333334</v>
      </c>
      <c r="I264" s="42">
        <f t="shared" si="9"/>
        <v>0.17279636177957713</v>
      </c>
      <c r="J264" s="36">
        <f t="shared" si="29"/>
        <v>8.0719075301326493E-2</v>
      </c>
      <c r="K264" s="51">
        <v>45924</v>
      </c>
      <c r="L264" s="43">
        <f t="shared" si="28"/>
        <v>46105</v>
      </c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ht="15.75" customHeight="1" x14ac:dyDescent="0.25">
      <c r="A265" s="7"/>
      <c r="B265" s="68">
        <v>100012884</v>
      </c>
      <c r="C265" s="59" t="s">
        <v>330</v>
      </c>
      <c r="D265" s="58"/>
      <c r="E265" s="66">
        <v>845.08</v>
      </c>
      <c r="F265" s="47">
        <v>882</v>
      </c>
      <c r="G265" s="47">
        <v>960.07</v>
      </c>
      <c r="H265" s="34">
        <f t="shared" si="30"/>
        <v>895.7166666666667</v>
      </c>
      <c r="I265" s="42">
        <f t="shared" si="9"/>
        <v>0.13606995787381071</v>
      </c>
      <c r="J265" s="36">
        <f t="shared" si="29"/>
        <v>7.1845635710697131E-2</v>
      </c>
      <c r="K265" s="51">
        <v>45925</v>
      </c>
      <c r="L265" s="43">
        <f t="shared" si="28"/>
        <v>46106</v>
      </c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ht="15.75" customHeight="1" x14ac:dyDescent="0.25">
      <c r="A266" s="7"/>
      <c r="B266" s="68">
        <v>100012885</v>
      </c>
      <c r="C266" s="59" t="s">
        <v>331</v>
      </c>
      <c r="D266" s="58"/>
      <c r="E266" s="66">
        <v>209</v>
      </c>
      <c r="F266" s="47">
        <v>188.9</v>
      </c>
      <c r="G266" s="47">
        <v>188.1</v>
      </c>
      <c r="H266" s="34">
        <f t="shared" si="30"/>
        <v>195.33333333333334</v>
      </c>
      <c r="I266" s="42">
        <f t="shared" si="9"/>
        <v>0.11111111111111116</v>
      </c>
      <c r="J266" s="36">
        <f t="shared" si="29"/>
        <v>6.9965870307167277E-2</v>
      </c>
      <c r="K266" s="51">
        <v>45925</v>
      </c>
      <c r="L266" s="43">
        <f t="shared" si="28"/>
        <v>46106</v>
      </c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ht="15.75" customHeight="1" x14ac:dyDescent="0.25">
      <c r="A267" s="7"/>
      <c r="B267" s="68">
        <v>100012886</v>
      </c>
      <c r="C267" s="59" t="s">
        <v>332</v>
      </c>
      <c r="D267" s="58"/>
      <c r="E267" s="66">
        <v>439.9</v>
      </c>
      <c r="F267" s="47">
        <v>468.4</v>
      </c>
      <c r="G267" s="47">
        <v>454.98</v>
      </c>
      <c r="H267" s="34">
        <f t="shared" si="30"/>
        <v>454.42666666666668</v>
      </c>
      <c r="I267" s="42">
        <f t="shared" si="9"/>
        <v>6.47874516935667E-2</v>
      </c>
      <c r="J267" s="36">
        <f t="shared" si="29"/>
        <v>3.0749369168475926E-2</v>
      </c>
      <c r="K267" s="51">
        <v>45925</v>
      </c>
      <c r="L267" s="43">
        <f t="shared" si="28"/>
        <v>46106</v>
      </c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ht="15.75" customHeight="1" x14ac:dyDescent="0.25">
      <c r="A268" s="7"/>
      <c r="B268" s="68">
        <v>100013063</v>
      </c>
      <c r="C268" s="59" t="s">
        <v>333</v>
      </c>
      <c r="D268" s="58"/>
      <c r="E268" s="66">
        <v>1120</v>
      </c>
      <c r="F268" s="47">
        <v>999</v>
      </c>
      <c r="G268" s="47">
        <v>1144.8900000000001</v>
      </c>
      <c r="H268" s="34">
        <f t="shared" si="30"/>
        <v>1087.9633333333334</v>
      </c>
      <c r="I268" s="42">
        <f t="shared" si="9"/>
        <v>0.14603603603603621</v>
      </c>
      <c r="J268" s="36">
        <f t="shared" si="29"/>
        <v>5.2324067293934684E-2</v>
      </c>
      <c r="K268" s="51">
        <v>45925</v>
      </c>
      <c r="L268" s="43">
        <f t="shared" si="28"/>
        <v>46106</v>
      </c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ht="15.75" customHeight="1" x14ac:dyDescent="0.25">
      <c r="A269" s="7"/>
      <c r="B269" s="68">
        <v>100002316</v>
      </c>
      <c r="C269" s="59" t="s">
        <v>334</v>
      </c>
      <c r="D269" s="58"/>
      <c r="E269" s="82">
        <v>47897.58</v>
      </c>
      <c r="F269" s="50">
        <v>45204.959999999999</v>
      </c>
      <c r="G269" s="50">
        <v>47825.94</v>
      </c>
      <c r="H269" s="34">
        <f t="shared" si="30"/>
        <v>46976.160000000003</v>
      </c>
      <c r="I269" s="42">
        <f t="shared" si="9"/>
        <v>5.9564702634401279E-2</v>
      </c>
      <c r="J269" s="36">
        <f t="shared" si="29"/>
        <v>1.9614630059161975E-2</v>
      </c>
      <c r="K269" s="51">
        <v>45925</v>
      </c>
      <c r="L269" s="43">
        <f t="shared" si="28"/>
        <v>46106</v>
      </c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ht="15.75" customHeight="1" x14ac:dyDescent="0.25">
      <c r="A270" s="7"/>
      <c r="B270" s="85">
        <v>100002317</v>
      </c>
      <c r="C270" s="86" t="s">
        <v>335</v>
      </c>
      <c r="D270" s="87"/>
      <c r="E270" s="88"/>
      <c r="F270" s="89"/>
      <c r="G270" s="89"/>
      <c r="H270" s="90">
        <f t="shared" si="30"/>
        <v>0</v>
      </c>
      <c r="I270" s="91" t="str">
        <f t="shared" si="9"/>
        <v/>
      </c>
      <c r="J270" s="92" t="str">
        <f t="shared" si="29"/>
        <v/>
      </c>
      <c r="K270" s="93">
        <v>45802</v>
      </c>
      <c r="L270" s="94">
        <f t="shared" si="28"/>
        <v>45986</v>
      </c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ht="15.75" customHeight="1" x14ac:dyDescent="0.25">
      <c r="A271" s="7"/>
      <c r="B271" s="68">
        <v>100002332</v>
      </c>
      <c r="C271" s="59" t="s">
        <v>336</v>
      </c>
      <c r="D271" s="58"/>
      <c r="E271" s="82">
        <v>1540</v>
      </c>
      <c r="F271" s="50">
        <v>1530.9</v>
      </c>
      <c r="G271" s="50">
        <v>1390.79</v>
      </c>
      <c r="H271" s="34">
        <f t="shared" si="30"/>
        <v>1487.2300000000002</v>
      </c>
      <c r="I271" s="42">
        <f t="shared" si="9"/>
        <v>0.10728434918283858</v>
      </c>
      <c r="J271" s="36">
        <f t="shared" si="29"/>
        <v>3.5482070695184831E-2</v>
      </c>
      <c r="K271" s="51">
        <v>45925</v>
      </c>
      <c r="L271" s="43">
        <f t="shared" si="28"/>
        <v>46106</v>
      </c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ht="15.75" customHeight="1" x14ac:dyDescent="0.25">
      <c r="A272" s="7"/>
      <c r="B272" s="68">
        <v>100002357</v>
      </c>
      <c r="C272" s="59" t="s">
        <v>337</v>
      </c>
      <c r="D272" s="58"/>
      <c r="E272" s="82">
        <v>260</v>
      </c>
      <c r="F272" s="50">
        <v>204.9</v>
      </c>
      <c r="G272" s="50">
        <v>270.13</v>
      </c>
      <c r="H272" s="34">
        <f t="shared" si="30"/>
        <v>245.01</v>
      </c>
      <c r="I272" s="42">
        <f t="shared" si="9"/>
        <v>0.3183504148365055</v>
      </c>
      <c r="J272" s="36">
        <f t="shared" si="29"/>
        <v>0.10252642749275531</v>
      </c>
      <c r="K272" s="51">
        <v>45925</v>
      </c>
      <c r="L272" s="43">
        <f t="shared" si="28"/>
        <v>46106</v>
      </c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ht="15.75" customHeight="1" x14ac:dyDescent="0.25">
      <c r="A273" s="7"/>
      <c r="B273" s="68">
        <v>100010776</v>
      </c>
      <c r="C273" s="59" t="s">
        <v>338</v>
      </c>
      <c r="D273" s="58" t="s">
        <v>339</v>
      </c>
      <c r="E273" s="82">
        <v>214.7</v>
      </c>
      <c r="F273" s="50">
        <v>219.68</v>
      </c>
      <c r="G273" s="50">
        <v>233.73</v>
      </c>
      <c r="H273" s="34">
        <f t="shared" si="30"/>
        <v>222.70333333333335</v>
      </c>
      <c r="I273" s="42">
        <f t="shared" si="9"/>
        <v>8.8635305076851356E-2</v>
      </c>
      <c r="J273" s="36"/>
      <c r="K273" s="51">
        <v>45925</v>
      </c>
      <c r="L273" s="43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ht="15.75" customHeight="1" x14ac:dyDescent="0.25">
      <c r="A274" s="7"/>
      <c r="B274" s="68">
        <v>100010776</v>
      </c>
      <c r="C274" s="59" t="s">
        <v>338</v>
      </c>
      <c r="D274" s="58" t="s">
        <v>340</v>
      </c>
      <c r="E274" s="82">
        <v>1550</v>
      </c>
      <c r="F274" s="50">
        <v>1673.38</v>
      </c>
      <c r="G274" s="50">
        <v>1422.36</v>
      </c>
      <c r="H274" s="34">
        <f t="shared" si="30"/>
        <v>1548.58</v>
      </c>
      <c r="I274" s="42">
        <f t="shared" si="9"/>
        <v>0.17648134087010336</v>
      </c>
      <c r="J274" s="36">
        <f t="shared" ref="J274:J323" si="31">IF(ISERROR(MAX(E274:G274)/H274-1),"",(MAX(E274:G274)/H274-1))</f>
        <v>8.0589959834170832E-2</v>
      </c>
      <c r="K274" s="51">
        <v>45925</v>
      </c>
      <c r="L274" s="43">
        <f t="shared" ref="L274:L413" si="32">EDATE(K274,6)</f>
        <v>46106</v>
      </c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ht="15.75" customHeight="1" x14ac:dyDescent="0.25">
      <c r="A275" s="7"/>
      <c r="B275" s="68">
        <v>100011313</v>
      </c>
      <c r="C275" s="59" t="s">
        <v>341</v>
      </c>
      <c r="D275" s="58"/>
      <c r="E275" s="82">
        <v>739.7</v>
      </c>
      <c r="F275" s="50">
        <v>799.9</v>
      </c>
      <c r="G275" s="50">
        <v>625.70000000000005</v>
      </c>
      <c r="H275" s="34">
        <f t="shared" si="30"/>
        <v>721.76666666666677</v>
      </c>
      <c r="I275" s="42">
        <f t="shared" si="9"/>
        <v>0.2784081828352245</v>
      </c>
      <c r="J275" s="36">
        <f t="shared" si="31"/>
        <v>0.10825289798180382</v>
      </c>
      <c r="K275" s="51">
        <v>45925</v>
      </c>
      <c r="L275" s="43">
        <f t="shared" si="32"/>
        <v>46106</v>
      </c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ht="15.75" customHeight="1" x14ac:dyDescent="0.25">
      <c r="A276" s="7"/>
      <c r="B276" s="68">
        <v>100011724</v>
      </c>
      <c r="D276" s="58"/>
      <c r="E276" s="66">
        <v>593.84</v>
      </c>
      <c r="F276" s="47">
        <v>511.25</v>
      </c>
      <c r="G276" s="47">
        <v>583.22</v>
      </c>
      <c r="H276" s="34">
        <f t="shared" si="30"/>
        <v>562.7700000000001</v>
      </c>
      <c r="I276" s="42">
        <f t="shared" si="9"/>
        <v>0.16154523227383866</v>
      </c>
      <c r="J276" s="36">
        <f t="shared" si="31"/>
        <v>5.5209055209055169E-2</v>
      </c>
      <c r="K276" s="51">
        <v>45925</v>
      </c>
      <c r="L276" s="43">
        <f t="shared" si="32"/>
        <v>46106</v>
      </c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ht="20.25" customHeight="1" x14ac:dyDescent="0.25">
      <c r="A277" s="7"/>
      <c r="B277" s="68">
        <v>100011987</v>
      </c>
      <c r="C277" s="59" t="s">
        <v>342</v>
      </c>
      <c r="D277" s="58"/>
      <c r="E277" s="66">
        <v>723.3</v>
      </c>
      <c r="F277" s="47">
        <v>694.73</v>
      </c>
      <c r="G277" s="47">
        <v>684.33</v>
      </c>
      <c r="H277" s="34">
        <f t="shared" si="30"/>
        <v>700.78666666666675</v>
      </c>
      <c r="I277" s="42">
        <f t="shared" si="9"/>
        <v>5.6946210161763933E-2</v>
      </c>
      <c r="J277" s="36">
        <f t="shared" si="31"/>
        <v>3.2125801480241023E-2</v>
      </c>
      <c r="K277" s="51">
        <v>45925</v>
      </c>
      <c r="L277" s="43">
        <f t="shared" si="32"/>
        <v>46106</v>
      </c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ht="15.75" customHeight="1" x14ac:dyDescent="0.25">
      <c r="A278" s="7"/>
      <c r="B278" s="68">
        <v>100011317</v>
      </c>
      <c r="C278" s="59" t="s">
        <v>343</v>
      </c>
      <c r="D278" s="58"/>
      <c r="E278" s="66">
        <v>5650.7</v>
      </c>
      <c r="F278" s="47">
        <v>5654.32</v>
      </c>
      <c r="G278" s="47">
        <v>6332.84</v>
      </c>
      <c r="H278" s="34">
        <f t="shared" si="30"/>
        <v>5879.2866666666669</v>
      </c>
      <c r="I278" s="42">
        <f t="shared" si="9"/>
        <v>0.12071778717680992</v>
      </c>
      <c r="J278" s="36">
        <f t="shared" si="31"/>
        <v>7.7144279408046135E-2</v>
      </c>
      <c r="K278" s="51">
        <v>45925</v>
      </c>
      <c r="L278" s="43">
        <f t="shared" si="32"/>
        <v>46106</v>
      </c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ht="15.75" customHeight="1" x14ac:dyDescent="0.25">
      <c r="A279" s="7"/>
      <c r="B279" s="68">
        <v>100011317</v>
      </c>
      <c r="C279" s="59" t="s">
        <v>344</v>
      </c>
      <c r="D279" s="58"/>
      <c r="E279" s="82">
        <v>281060</v>
      </c>
      <c r="F279" s="50">
        <v>195000</v>
      </c>
      <c r="G279" s="50">
        <v>299000</v>
      </c>
      <c r="H279" s="34">
        <f t="shared" si="30"/>
        <v>258353.33333333334</v>
      </c>
      <c r="I279" s="42">
        <f t="shared" si="9"/>
        <v>0.53333333333333344</v>
      </c>
      <c r="J279" s="36">
        <f t="shared" si="31"/>
        <v>0.15732975511573288</v>
      </c>
      <c r="K279" s="51">
        <v>45925</v>
      </c>
      <c r="L279" s="43">
        <f t="shared" si="32"/>
        <v>46106</v>
      </c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ht="15.75" customHeight="1" x14ac:dyDescent="0.25">
      <c r="A280" s="7"/>
      <c r="B280" s="68">
        <v>100011994</v>
      </c>
      <c r="C280" s="59" t="s">
        <v>203</v>
      </c>
      <c r="D280" s="81"/>
      <c r="E280" s="66">
        <v>251.23</v>
      </c>
      <c r="F280" s="47">
        <v>251.23</v>
      </c>
      <c r="G280" s="47">
        <v>243.22</v>
      </c>
      <c r="H280" s="34">
        <f t="shared" si="30"/>
        <v>248.55999999999997</v>
      </c>
      <c r="I280" s="42">
        <f t="shared" si="9"/>
        <v>3.2933146945152592E-2</v>
      </c>
      <c r="J280" s="36">
        <f t="shared" si="31"/>
        <v>1.0741873189572093E-2</v>
      </c>
      <c r="K280" s="51">
        <v>45926</v>
      </c>
      <c r="L280" s="43">
        <f t="shared" si="32"/>
        <v>46107</v>
      </c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ht="15.75" customHeight="1" x14ac:dyDescent="0.25">
      <c r="A281" s="7"/>
      <c r="B281" s="68">
        <v>100012250</v>
      </c>
      <c r="C281" s="59" t="s">
        <v>345</v>
      </c>
      <c r="D281" s="81"/>
      <c r="E281" s="66">
        <v>66.56</v>
      </c>
      <c r="F281" s="47">
        <v>79.900000000000006</v>
      </c>
      <c r="G281" s="47">
        <v>66.56</v>
      </c>
      <c r="H281" s="34">
        <f t="shared" si="30"/>
        <v>71.006666666666675</v>
      </c>
      <c r="I281" s="42">
        <f t="shared" si="9"/>
        <v>0.20042067307692313</v>
      </c>
      <c r="J281" s="36">
        <f t="shared" si="31"/>
        <v>0.12524645573185622</v>
      </c>
      <c r="K281" s="51">
        <v>45926</v>
      </c>
      <c r="L281" s="43">
        <f t="shared" si="32"/>
        <v>46107</v>
      </c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ht="15.75" customHeight="1" x14ac:dyDescent="0.25">
      <c r="A282" s="7"/>
      <c r="B282" s="68">
        <v>100012487</v>
      </c>
      <c r="C282" s="59" t="s">
        <v>346</v>
      </c>
      <c r="D282" s="79"/>
      <c r="E282" s="82">
        <v>855.99</v>
      </c>
      <c r="F282" s="50">
        <v>959</v>
      </c>
      <c r="G282" s="50">
        <v>754.9</v>
      </c>
      <c r="H282" s="34">
        <f t="shared" si="30"/>
        <v>856.63</v>
      </c>
      <c r="I282" s="42">
        <f t="shared" si="9"/>
        <v>0.27036693601801565</v>
      </c>
      <c r="J282" s="36">
        <f t="shared" si="31"/>
        <v>0.11950316939635552</v>
      </c>
      <c r="K282" s="51">
        <v>56883</v>
      </c>
      <c r="L282" s="43">
        <f t="shared" si="32"/>
        <v>57065</v>
      </c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ht="15.75" customHeight="1" x14ac:dyDescent="0.25">
      <c r="A283" s="7"/>
      <c r="B283" s="68">
        <v>100012613</v>
      </c>
      <c r="C283" s="59" t="s">
        <v>347</v>
      </c>
      <c r="D283" s="58"/>
      <c r="E283" s="66">
        <v>665.56</v>
      </c>
      <c r="F283" s="47">
        <v>697.99</v>
      </c>
      <c r="G283" s="47">
        <v>750</v>
      </c>
      <c r="H283" s="34">
        <f t="shared" si="30"/>
        <v>704.51666666666677</v>
      </c>
      <c r="I283" s="42">
        <f t="shared" si="9"/>
        <v>0.12687060520463977</v>
      </c>
      <c r="J283" s="36">
        <f t="shared" si="31"/>
        <v>6.4559627167561473E-2</v>
      </c>
      <c r="K283" s="51">
        <v>56883</v>
      </c>
      <c r="L283" s="43">
        <f t="shared" si="32"/>
        <v>57065</v>
      </c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ht="15.75" customHeight="1" x14ac:dyDescent="0.25">
      <c r="A284" s="7"/>
      <c r="B284" s="68">
        <v>100012775</v>
      </c>
      <c r="C284" s="59" t="s">
        <v>348</v>
      </c>
      <c r="D284" s="58"/>
      <c r="E284" s="66">
        <v>1747</v>
      </c>
      <c r="F284" s="47">
        <v>1390</v>
      </c>
      <c r="G284" s="47">
        <v>1547.14</v>
      </c>
      <c r="H284" s="34">
        <f t="shared" si="30"/>
        <v>1561.38</v>
      </c>
      <c r="I284" s="42">
        <f t="shared" si="9"/>
        <v>0.25683453237410081</v>
      </c>
      <c r="J284" s="36">
        <f t="shared" si="31"/>
        <v>0.11888201462808534</v>
      </c>
      <c r="K284" s="51">
        <v>56883</v>
      </c>
      <c r="L284" s="43">
        <f t="shared" si="32"/>
        <v>57065</v>
      </c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ht="15.75" customHeight="1" x14ac:dyDescent="0.25">
      <c r="A285" s="7"/>
      <c r="B285" s="68">
        <v>100012603</v>
      </c>
      <c r="C285" s="59" t="s">
        <v>349</v>
      </c>
      <c r="D285" s="58"/>
      <c r="E285" s="66">
        <v>1978</v>
      </c>
      <c r="F285" s="47">
        <v>2297.66</v>
      </c>
      <c r="G285" s="47">
        <v>2118.9299999999998</v>
      </c>
      <c r="H285" s="34">
        <f t="shared" si="30"/>
        <v>2131.5300000000002</v>
      </c>
      <c r="I285" s="42">
        <f t="shared" si="9"/>
        <v>0.16160768452982799</v>
      </c>
      <c r="J285" s="36">
        <f t="shared" si="31"/>
        <v>7.7939320581929206E-2</v>
      </c>
      <c r="K285" s="51">
        <v>56883</v>
      </c>
      <c r="L285" s="43">
        <f t="shared" si="32"/>
        <v>57065</v>
      </c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ht="17.25" customHeight="1" x14ac:dyDescent="0.25">
      <c r="A286" s="7"/>
      <c r="B286" s="68">
        <v>100012887</v>
      </c>
      <c r="C286" s="59" t="s">
        <v>350</v>
      </c>
      <c r="D286" s="58"/>
      <c r="E286" s="66">
        <v>433.22</v>
      </c>
      <c r="F286" s="47">
        <v>474.27</v>
      </c>
      <c r="G286" s="47">
        <v>515.64</v>
      </c>
      <c r="H286" s="34">
        <f t="shared" si="30"/>
        <v>474.37666666666672</v>
      </c>
      <c r="I286" s="42">
        <f t="shared" si="9"/>
        <v>0.19024975762891816</v>
      </c>
      <c r="J286" s="36">
        <f t="shared" si="31"/>
        <v>8.6984323287401466E-2</v>
      </c>
      <c r="K286" s="51">
        <v>56883</v>
      </c>
      <c r="L286" s="43">
        <f t="shared" si="32"/>
        <v>57065</v>
      </c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ht="15.75" customHeight="1" x14ac:dyDescent="0.25">
      <c r="A287" s="7"/>
      <c r="B287" s="68">
        <v>100012660</v>
      </c>
      <c r="C287" s="59" t="s">
        <v>351</v>
      </c>
      <c r="D287" s="58"/>
      <c r="E287" s="66">
        <v>53645.29</v>
      </c>
      <c r="F287" s="47">
        <v>47866.93</v>
      </c>
      <c r="G287" s="47">
        <v>47897.58</v>
      </c>
      <c r="H287" s="34">
        <f t="shared" si="30"/>
        <v>49803.266666666663</v>
      </c>
      <c r="I287" s="42">
        <f t="shared" si="9"/>
        <v>0.12071716318552284</v>
      </c>
      <c r="J287" s="36">
        <f t="shared" si="31"/>
        <v>7.714400260223897E-2</v>
      </c>
      <c r="K287" s="51">
        <v>45926</v>
      </c>
      <c r="L287" s="38">
        <f t="shared" si="32"/>
        <v>46107</v>
      </c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ht="15.75" customHeight="1" x14ac:dyDescent="0.25">
      <c r="A288" s="7"/>
      <c r="B288" s="68">
        <v>100012784</v>
      </c>
      <c r="C288" s="59" t="s">
        <v>352</v>
      </c>
      <c r="D288" s="58"/>
      <c r="E288" s="66">
        <v>69195</v>
      </c>
      <c r="F288" s="47">
        <v>69990</v>
      </c>
      <c r="G288" s="47">
        <v>61770.1</v>
      </c>
      <c r="H288" s="34">
        <f t="shared" si="30"/>
        <v>66985.03333333334</v>
      </c>
      <c r="I288" s="42">
        <f t="shared" si="9"/>
        <v>0.13307247357540297</v>
      </c>
      <c r="J288" s="36">
        <f t="shared" si="31"/>
        <v>4.486026978165758E-2</v>
      </c>
      <c r="K288" s="51">
        <v>45926</v>
      </c>
      <c r="L288" s="38">
        <f t="shared" si="32"/>
        <v>46107</v>
      </c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ht="15.75" customHeight="1" x14ac:dyDescent="0.25">
      <c r="A289" s="7"/>
      <c r="B289" s="68">
        <v>100012888</v>
      </c>
      <c r="C289" s="59" t="s">
        <v>353</v>
      </c>
      <c r="D289" s="58"/>
      <c r="E289" s="82">
        <v>1379</v>
      </c>
      <c r="F289" s="50">
        <v>1777.67</v>
      </c>
      <c r="G289" s="50">
        <v>1399</v>
      </c>
      <c r="H289" s="34">
        <f t="shared" si="30"/>
        <v>1518.5566666666666</v>
      </c>
      <c r="I289" s="42">
        <f t="shared" si="9"/>
        <v>0.28910079767947794</v>
      </c>
      <c r="J289" s="36">
        <f t="shared" si="31"/>
        <v>0.17063132316432061</v>
      </c>
      <c r="K289" s="51">
        <v>45926</v>
      </c>
      <c r="L289" s="43">
        <f t="shared" si="32"/>
        <v>46107</v>
      </c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ht="15.75" customHeight="1" x14ac:dyDescent="0.25">
      <c r="A290" s="7"/>
      <c r="B290" s="68">
        <v>100012891</v>
      </c>
      <c r="C290" s="59" t="s">
        <v>354</v>
      </c>
      <c r="D290" s="58"/>
      <c r="E290" s="66">
        <v>292.45</v>
      </c>
      <c r="F290" s="47">
        <v>246.54</v>
      </c>
      <c r="G290" s="47">
        <v>293.89999999999998</v>
      </c>
      <c r="H290" s="34">
        <f t="shared" si="30"/>
        <v>277.63</v>
      </c>
      <c r="I290" s="42">
        <f t="shared" si="9"/>
        <v>0.19209864525026354</v>
      </c>
      <c r="J290" s="36">
        <f t="shared" si="31"/>
        <v>5.8603176890105413E-2</v>
      </c>
      <c r="K290" s="51">
        <v>45926</v>
      </c>
      <c r="L290" s="43">
        <f t="shared" si="32"/>
        <v>46107</v>
      </c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ht="15.75" customHeight="1" x14ac:dyDescent="0.25">
      <c r="A291" s="7"/>
      <c r="B291" s="68">
        <v>100010805</v>
      </c>
      <c r="C291" s="59" t="s">
        <v>355</v>
      </c>
      <c r="D291" s="58"/>
      <c r="E291" s="82">
        <v>257.22000000000003</v>
      </c>
      <c r="F291" s="50">
        <v>295.33999999999997</v>
      </c>
      <c r="G291" s="50">
        <v>269</v>
      </c>
      <c r="H291" s="34">
        <f t="shared" si="30"/>
        <v>273.8533333333333</v>
      </c>
      <c r="I291" s="42">
        <f t="shared" si="9"/>
        <v>0.14819998444910953</v>
      </c>
      <c r="J291" s="36">
        <f t="shared" si="31"/>
        <v>7.8460489799892841E-2</v>
      </c>
      <c r="K291" s="51">
        <v>45926</v>
      </c>
      <c r="L291" s="43">
        <f t="shared" si="32"/>
        <v>46107</v>
      </c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ht="15.75" customHeight="1" x14ac:dyDescent="0.25">
      <c r="A292" s="7"/>
      <c r="B292" s="68">
        <v>100012893</v>
      </c>
      <c r="C292" s="59" t="s">
        <v>356</v>
      </c>
      <c r="D292" s="58"/>
      <c r="E292" s="82">
        <v>939</v>
      </c>
      <c r="F292" s="50">
        <v>909.99</v>
      </c>
      <c r="G292" s="50">
        <v>1017</v>
      </c>
      <c r="H292" s="34">
        <f t="shared" si="30"/>
        <v>955.32999999999993</v>
      </c>
      <c r="I292" s="42">
        <f t="shared" si="9"/>
        <v>0.11759469884284446</v>
      </c>
      <c r="J292" s="36">
        <f t="shared" si="31"/>
        <v>6.4553609747417307E-2</v>
      </c>
      <c r="K292" s="51">
        <v>45929</v>
      </c>
      <c r="L292" s="43">
        <f t="shared" si="32"/>
        <v>46110</v>
      </c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ht="15.75" customHeight="1" x14ac:dyDescent="0.25">
      <c r="A293" s="7"/>
      <c r="B293" s="68">
        <v>100012902</v>
      </c>
      <c r="C293" s="59" t="s">
        <v>357</v>
      </c>
      <c r="D293" s="58"/>
      <c r="E293" s="50">
        <v>4398.91</v>
      </c>
      <c r="F293" s="103">
        <v>4999.8999999999996</v>
      </c>
      <c r="G293" s="50">
        <v>5110</v>
      </c>
      <c r="H293" s="34">
        <f t="shared" si="30"/>
        <v>4836.2699999999995</v>
      </c>
      <c r="I293" s="42">
        <f t="shared" si="9"/>
        <v>0.16165140909907239</v>
      </c>
      <c r="J293" s="36">
        <f t="shared" si="31"/>
        <v>5.6599404086207006E-2</v>
      </c>
      <c r="K293" s="51">
        <v>45929</v>
      </c>
      <c r="L293" s="43">
        <f t="shared" si="32"/>
        <v>46110</v>
      </c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ht="17.25" customHeight="1" x14ac:dyDescent="0.25">
      <c r="A294" s="7"/>
      <c r="B294" s="68">
        <v>100012903</v>
      </c>
      <c r="C294" s="59" t="s">
        <v>358</v>
      </c>
      <c r="D294" s="79"/>
      <c r="E294" s="82">
        <v>509.57</v>
      </c>
      <c r="F294" s="50">
        <v>479</v>
      </c>
      <c r="G294" s="50">
        <v>479</v>
      </c>
      <c r="H294" s="34">
        <f t="shared" si="30"/>
        <v>489.19</v>
      </c>
      <c r="I294" s="42">
        <f t="shared" si="9"/>
        <v>6.382045929018787E-2</v>
      </c>
      <c r="J294" s="36">
        <f t="shared" si="31"/>
        <v>4.1660704429771656E-2</v>
      </c>
      <c r="K294" s="51">
        <v>45929</v>
      </c>
      <c r="L294" s="43">
        <f t="shared" si="32"/>
        <v>46110</v>
      </c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ht="16.5" customHeight="1" x14ac:dyDescent="0.25">
      <c r="A295" s="7"/>
      <c r="B295" s="68">
        <v>100012895</v>
      </c>
      <c r="C295" s="59" t="s">
        <v>359</v>
      </c>
      <c r="D295" s="58"/>
      <c r="E295" s="82">
        <v>293.69</v>
      </c>
      <c r="F295" s="50">
        <v>278.77999999999997</v>
      </c>
      <c r="G295" s="50">
        <v>250.6</v>
      </c>
      <c r="H295" s="34">
        <f t="shared" si="30"/>
        <v>274.35666666666668</v>
      </c>
      <c r="I295" s="42">
        <f t="shared" si="9"/>
        <v>0.17194732641660027</v>
      </c>
      <c r="J295" s="36">
        <f t="shared" si="31"/>
        <v>7.0467882440132579E-2</v>
      </c>
      <c r="K295" s="51">
        <v>45929</v>
      </c>
      <c r="L295" s="43">
        <f t="shared" si="32"/>
        <v>46110</v>
      </c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ht="15.75" customHeight="1" x14ac:dyDescent="0.25">
      <c r="A296" s="7"/>
      <c r="B296" s="68">
        <v>100010837</v>
      </c>
      <c r="C296" s="59" t="s">
        <v>360</v>
      </c>
      <c r="D296" s="58"/>
      <c r="E296" s="82">
        <v>299.95</v>
      </c>
      <c r="F296" s="50">
        <v>321.16000000000003</v>
      </c>
      <c r="G296" s="50">
        <v>299</v>
      </c>
      <c r="H296" s="34">
        <f t="shared" si="30"/>
        <v>306.70333333333332</v>
      </c>
      <c r="I296" s="42">
        <f t="shared" si="9"/>
        <v>7.4113712374582086E-2</v>
      </c>
      <c r="J296" s="36">
        <f t="shared" si="31"/>
        <v>4.713566856136775E-2</v>
      </c>
      <c r="K296" s="51">
        <v>45929</v>
      </c>
      <c r="L296" s="43">
        <f t="shared" si="32"/>
        <v>46110</v>
      </c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ht="20.25" customHeight="1" x14ac:dyDescent="0.25">
      <c r="A297" s="7"/>
      <c r="B297" s="68">
        <v>100010861</v>
      </c>
      <c r="C297" s="59" t="s">
        <v>361</v>
      </c>
      <c r="D297" s="58" t="s">
        <v>362</v>
      </c>
      <c r="E297" s="82">
        <v>7221.11</v>
      </c>
      <c r="F297" s="50">
        <v>7959.9</v>
      </c>
      <c r="G297" s="50">
        <v>7454.44</v>
      </c>
      <c r="H297" s="34">
        <f t="shared" si="30"/>
        <v>7545.1499999999987</v>
      </c>
      <c r="I297" s="42">
        <f t="shared" si="9"/>
        <v>0.10230975570237821</v>
      </c>
      <c r="J297" s="36">
        <f t="shared" si="31"/>
        <v>5.4969086101668063E-2</v>
      </c>
      <c r="K297" s="51">
        <v>45930</v>
      </c>
      <c r="L297" s="43">
        <f t="shared" si="32"/>
        <v>46111</v>
      </c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ht="18.75" customHeight="1" x14ac:dyDescent="0.25">
      <c r="A298" s="7"/>
      <c r="B298" s="68">
        <v>100010861</v>
      </c>
      <c r="C298" s="59" t="s">
        <v>363</v>
      </c>
      <c r="D298" s="58" t="s">
        <v>364</v>
      </c>
      <c r="E298" s="66">
        <v>2349</v>
      </c>
      <c r="F298" s="47">
        <v>1946.32</v>
      </c>
      <c r="G298" s="47">
        <v>2110</v>
      </c>
      <c r="H298" s="34">
        <f t="shared" si="30"/>
        <v>2135.1066666666666</v>
      </c>
      <c r="I298" s="42">
        <f t="shared" si="9"/>
        <v>0.20689300834395175</v>
      </c>
      <c r="J298" s="36">
        <f t="shared" si="31"/>
        <v>0.10017922601837226</v>
      </c>
      <c r="K298" s="51">
        <v>45930</v>
      </c>
      <c r="L298" s="43">
        <f t="shared" si="32"/>
        <v>46111</v>
      </c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ht="19.5" customHeight="1" x14ac:dyDescent="0.25">
      <c r="A299" s="7"/>
      <c r="B299" s="68">
        <v>100010861</v>
      </c>
      <c r="C299" s="59" t="s">
        <v>365</v>
      </c>
      <c r="D299" s="58" t="s">
        <v>366</v>
      </c>
      <c r="E299" s="82">
        <v>2389</v>
      </c>
      <c r="F299" s="50">
        <v>2399</v>
      </c>
      <c r="G299" s="50">
        <v>2421.11</v>
      </c>
      <c r="H299" s="34">
        <f t="shared" si="30"/>
        <v>2403.0366666666669</v>
      </c>
      <c r="I299" s="42">
        <f t="shared" si="9"/>
        <v>1.3440770196735174E-2</v>
      </c>
      <c r="J299" s="36">
        <f t="shared" si="31"/>
        <v>7.5210393515980911E-3</v>
      </c>
      <c r="K299" s="51">
        <v>45930</v>
      </c>
      <c r="L299" s="43">
        <f t="shared" si="32"/>
        <v>46111</v>
      </c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ht="16.5" customHeight="1" x14ac:dyDescent="0.25">
      <c r="A300" s="7"/>
      <c r="B300" s="56">
        <v>100010864</v>
      </c>
      <c r="C300" s="59" t="s">
        <v>367</v>
      </c>
      <c r="D300" s="58"/>
      <c r="E300" s="66">
        <v>3499</v>
      </c>
      <c r="F300" s="47">
        <v>2999.9</v>
      </c>
      <c r="G300" s="47">
        <v>3470.9029999999998</v>
      </c>
      <c r="H300" s="34">
        <f t="shared" si="30"/>
        <v>3323.2676666666666</v>
      </c>
      <c r="I300" s="42">
        <f t="shared" si="9"/>
        <v>0.16637221240708011</v>
      </c>
      <c r="J300" s="36">
        <f t="shared" si="31"/>
        <v>5.2879379863373543E-2</v>
      </c>
      <c r="K300" s="51">
        <v>45930</v>
      </c>
      <c r="L300" s="43">
        <f t="shared" si="32"/>
        <v>46111</v>
      </c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ht="15.75" customHeight="1" x14ac:dyDescent="0.25">
      <c r="A301" s="7"/>
      <c r="B301" s="68">
        <v>100002303</v>
      </c>
      <c r="C301" s="59" t="s">
        <v>368</v>
      </c>
      <c r="D301" s="58"/>
      <c r="E301" s="82">
        <v>49.9</v>
      </c>
      <c r="F301" s="82">
        <v>49.9</v>
      </c>
      <c r="G301" s="82">
        <v>49.9</v>
      </c>
      <c r="H301" s="34">
        <f t="shared" si="30"/>
        <v>49.9</v>
      </c>
      <c r="I301" s="42">
        <f t="shared" si="9"/>
        <v>0</v>
      </c>
      <c r="J301" s="36">
        <f t="shared" si="31"/>
        <v>0</v>
      </c>
      <c r="K301" s="51">
        <v>45930</v>
      </c>
      <c r="L301" s="43">
        <f t="shared" si="32"/>
        <v>46111</v>
      </c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ht="15.75" customHeight="1" x14ac:dyDescent="0.25">
      <c r="A302" s="7"/>
      <c r="B302" s="68">
        <v>100010395</v>
      </c>
      <c r="C302" s="59" t="s">
        <v>369</v>
      </c>
      <c r="D302" s="58" t="s">
        <v>370</v>
      </c>
      <c r="E302" s="82">
        <v>1499.9</v>
      </c>
      <c r="F302" s="50">
        <v>1690</v>
      </c>
      <c r="G302" s="50">
        <v>1375.89</v>
      </c>
      <c r="H302" s="34">
        <f t="shared" si="30"/>
        <v>1521.93</v>
      </c>
      <c r="I302" s="42">
        <f t="shared" si="9"/>
        <v>0.22829586667538826</v>
      </c>
      <c r="J302" s="36">
        <f t="shared" si="31"/>
        <v>0.1104321486533546</v>
      </c>
      <c r="K302" s="51">
        <v>45930</v>
      </c>
      <c r="L302" s="43">
        <f t="shared" si="32"/>
        <v>46111</v>
      </c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ht="15.75" customHeight="1" x14ac:dyDescent="0.25">
      <c r="A303" s="7"/>
      <c r="B303" s="68">
        <v>100010395</v>
      </c>
      <c r="C303" s="59" t="s">
        <v>371</v>
      </c>
      <c r="D303" s="58" t="s">
        <v>372</v>
      </c>
      <c r="E303" s="66">
        <v>1999</v>
      </c>
      <c r="F303" s="47">
        <v>2431.35</v>
      </c>
      <c r="G303" s="47">
        <v>1999</v>
      </c>
      <c r="H303" s="34">
        <f t="shared" si="30"/>
        <v>2143.1166666666668</v>
      </c>
      <c r="I303" s="42">
        <f t="shared" si="9"/>
        <v>0.21628314157078532</v>
      </c>
      <c r="J303" s="36">
        <f t="shared" si="31"/>
        <v>0.13449260034062527</v>
      </c>
      <c r="K303" s="51">
        <v>45930</v>
      </c>
      <c r="L303" s="43">
        <f t="shared" si="32"/>
        <v>46111</v>
      </c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ht="15.75" customHeight="1" x14ac:dyDescent="0.25">
      <c r="A304" s="7"/>
      <c r="B304" s="68">
        <v>100010395</v>
      </c>
      <c r="C304" s="59" t="s">
        <v>373</v>
      </c>
      <c r="D304" s="104" t="s">
        <v>374</v>
      </c>
      <c r="E304" s="66">
        <v>13999</v>
      </c>
      <c r="F304" s="47">
        <v>12759</v>
      </c>
      <c r="G304" s="47">
        <v>13999</v>
      </c>
      <c r="H304" s="34">
        <f t="shared" si="30"/>
        <v>13585.666666666666</v>
      </c>
      <c r="I304" s="42">
        <f t="shared" si="9"/>
        <v>9.718629986676075E-2</v>
      </c>
      <c r="J304" s="36">
        <f t="shared" si="31"/>
        <v>3.0424221606104584E-2</v>
      </c>
      <c r="K304" s="51">
        <v>45930</v>
      </c>
      <c r="L304" s="43">
        <f t="shared" si="32"/>
        <v>46111</v>
      </c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ht="15.75" customHeight="1" x14ac:dyDescent="0.25">
      <c r="A305" s="7"/>
      <c r="B305" s="68">
        <v>100010395</v>
      </c>
      <c r="C305" s="59" t="s">
        <v>375</v>
      </c>
      <c r="D305" s="104" t="s">
        <v>376</v>
      </c>
      <c r="E305" s="66">
        <v>1764.08</v>
      </c>
      <c r="F305" s="47">
        <v>2199</v>
      </c>
      <c r="G305" s="47">
        <v>1849.55</v>
      </c>
      <c r="H305" s="34">
        <f t="shared" si="30"/>
        <v>1937.5433333333333</v>
      </c>
      <c r="I305" s="42">
        <f t="shared" si="9"/>
        <v>0.24654210693392598</v>
      </c>
      <c r="J305" s="36">
        <f t="shared" si="31"/>
        <v>0.13494235827843859</v>
      </c>
      <c r="K305" s="51">
        <v>45930</v>
      </c>
      <c r="L305" s="43">
        <f t="shared" si="32"/>
        <v>46111</v>
      </c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ht="15.75" customHeight="1" x14ac:dyDescent="0.25">
      <c r="A306" s="7"/>
      <c r="B306" s="68">
        <v>100010395</v>
      </c>
      <c r="C306" s="59" t="s">
        <v>377</v>
      </c>
      <c r="D306" s="58" t="s">
        <v>378</v>
      </c>
      <c r="E306" s="66">
        <v>12600</v>
      </c>
      <c r="F306" s="47">
        <v>12467</v>
      </c>
      <c r="G306" s="47">
        <v>13700</v>
      </c>
      <c r="H306" s="34">
        <f t="shared" si="30"/>
        <v>12922.333333333334</v>
      </c>
      <c r="I306" s="42">
        <f t="shared" si="9"/>
        <v>9.8901098901098994E-2</v>
      </c>
      <c r="J306" s="36">
        <f t="shared" si="31"/>
        <v>6.0180050042561994E-2</v>
      </c>
      <c r="K306" s="51">
        <v>45930</v>
      </c>
      <c r="L306" s="43">
        <f t="shared" si="32"/>
        <v>46111</v>
      </c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ht="15.75" customHeight="1" x14ac:dyDescent="0.25">
      <c r="A307" s="7"/>
      <c r="B307" s="68">
        <v>100010395</v>
      </c>
      <c r="C307" s="59" t="s">
        <v>379</v>
      </c>
      <c r="D307" s="58" t="s">
        <v>380</v>
      </c>
      <c r="E307" s="82" t="s">
        <v>381</v>
      </c>
      <c r="F307" s="50">
        <v>2750</v>
      </c>
      <c r="G307" s="50">
        <v>2190</v>
      </c>
      <c r="H307" s="34">
        <f t="shared" si="30"/>
        <v>1646.6666666666667</v>
      </c>
      <c r="I307" s="42">
        <f t="shared" si="9"/>
        <v>0.25570776255707761</v>
      </c>
      <c r="J307" s="36">
        <f t="shared" si="31"/>
        <v>0.67004048582995934</v>
      </c>
      <c r="K307" s="51">
        <v>45930</v>
      </c>
      <c r="L307" s="43">
        <f t="shared" si="32"/>
        <v>46111</v>
      </c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ht="15.75" customHeight="1" x14ac:dyDescent="0.25">
      <c r="A308" s="7"/>
      <c r="B308" s="68">
        <v>100010395</v>
      </c>
      <c r="C308" s="59" t="s">
        <v>382</v>
      </c>
      <c r="D308" s="58" t="s">
        <v>383</v>
      </c>
      <c r="E308" s="82">
        <v>4986</v>
      </c>
      <c r="F308" s="82">
        <v>4699</v>
      </c>
      <c r="G308" s="50">
        <v>4999</v>
      </c>
      <c r="H308" s="34">
        <f t="shared" si="30"/>
        <v>4894.666666666667</v>
      </c>
      <c r="I308" s="42">
        <f t="shared" si="9"/>
        <v>6.3843370929985044E-2</v>
      </c>
      <c r="J308" s="36">
        <f t="shared" si="31"/>
        <v>2.1315717788068511E-2</v>
      </c>
      <c r="K308" s="51">
        <v>45930</v>
      </c>
      <c r="L308" s="43">
        <f t="shared" si="32"/>
        <v>46111</v>
      </c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ht="21" customHeight="1" x14ac:dyDescent="0.25">
      <c r="A309" s="7"/>
      <c r="B309" s="56">
        <v>100012272</v>
      </c>
      <c r="C309" s="59" t="s">
        <v>384</v>
      </c>
      <c r="D309" s="58"/>
      <c r="E309" s="66">
        <v>369.9</v>
      </c>
      <c r="F309" s="47">
        <v>414.79</v>
      </c>
      <c r="G309" s="47">
        <v>444.33</v>
      </c>
      <c r="H309" s="34">
        <f t="shared" si="30"/>
        <v>409.67333333333335</v>
      </c>
      <c r="I309" s="42">
        <f t="shared" si="9"/>
        <v>0.20121654501216546</v>
      </c>
      <c r="J309" s="36">
        <f t="shared" si="31"/>
        <v>8.4595856861564345E-2</v>
      </c>
      <c r="K309" s="51">
        <v>45930</v>
      </c>
      <c r="L309" s="43">
        <f t="shared" si="32"/>
        <v>46111</v>
      </c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ht="24" customHeight="1" x14ac:dyDescent="0.25">
      <c r="A310" s="7"/>
      <c r="B310" s="56">
        <v>100012612</v>
      </c>
      <c r="C310" s="59" t="s">
        <v>385</v>
      </c>
      <c r="D310" s="58"/>
      <c r="E310" s="82">
        <v>580.23</v>
      </c>
      <c r="F310" s="50">
        <v>634.15</v>
      </c>
      <c r="G310" s="50">
        <v>580.23</v>
      </c>
      <c r="H310" s="34">
        <f t="shared" si="30"/>
        <v>598.20333333333338</v>
      </c>
      <c r="I310" s="42">
        <f t="shared" si="9"/>
        <v>9.2928666218568434E-2</v>
      </c>
      <c r="J310" s="36">
        <f t="shared" si="31"/>
        <v>6.0091050423211723E-2</v>
      </c>
      <c r="K310" s="51">
        <v>45930</v>
      </c>
      <c r="L310" s="43">
        <f t="shared" si="32"/>
        <v>46111</v>
      </c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ht="15.75" customHeight="1" x14ac:dyDescent="0.25">
      <c r="A311" s="7"/>
      <c r="B311" s="56">
        <v>100012639</v>
      </c>
      <c r="C311" s="59" t="s">
        <v>386</v>
      </c>
      <c r="D311" s="81"/>
      <c r="E311" s="66">
        <v>3163.6</v>
      </c>
      <c r="F311" s="47">
        <v>2482.6999999999998</v>
      </c>
      <c r="G311" s="47">
        <v>2118.6</v>
      </c>
      <c r="H311" s="34">
        <f t="shared" si="30"/>
        <v>2588.2999999999997</v>
      </c>
      <c r="I311" s="42">
        <f t="shared" si="9"/>
        <v>0.49325025960539981</v>
      </c>
      <c r="J311" s="36">
        <f t="shared" si="31"/>
        <v>0.22226944326391851</v>
      </c>
      <c r="K311" s="51">
        <v>45930</v>
      </c>
      <c r="L311" s="43">
        <f t="shared" si="32"/>
        <v>46111</v>
      </c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ht="22.5" customHeight="1" x14ac:dyDescent="0.25">
      <c r="A312" s="7"/>
      <c r="B312" s="56">
        <v>100012741</v>
      </c>
      <c r="C312" s="59" t="s">
        <v>614</v>
      </c>
      <c r="D312" s="58"/>
      <c r="E312" s="82">
        <v>396.92</v>
      </c>
      <c r="F312" s="50">
        <v>425</v>
      </c>
      <c r="G312" s="50">
        <v>442.75</v>
      </c>
      <c r="H312" s="34">
        <f t="shared" si="30"/>
        <v>421.55666666666667</v>
      </c>
      <c r="I312" s="42">
        <f t="shared" si="9"/>
        <v>0.11546407336490971</v>
      </c>
      <c r="J312" s="36">
        <f t="shared" si="31"/>
        <v>5.0273984517700265E-2</v>
      </c>
      <c r="K312" s="51">
        <v>45930</v>
      </c>
      <c r="L312" s="43">
        <f t="shared" si="32"/>
        <v>46111</v>
      </c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ht="15.75" customHeight="1" x14ac:dyDescent="0.25">
      <c r="A313" s="7"/>
      <c r="B313" s="56">
        <v>100012824</v>
      </c>
      <c r="C313" s="59" t="s">
        <v>387</v>
      </c>
      <c r="D313" s="58" t="s">
        <v>388</v>
      </c>
      <c r="E313" s="82">
        <v>3722.34</v>
      </c>
      <c r="F313" s="50">
        <v>3609.05</v>
      </c>
      <c r="G313" s="50">
        <v>3799</v>
      </c>
      <c r="H313" s="34">
        <f t="shared" si="30"/>
        <v>3710.1299999999997</v>
      </c>
      <c r="I313" s="42">
        <f t="shared" si="9"/>
        <v>5.2631578947368363E-2</v>
      </c>
      <c r="J313" s="36">
        <f t="shared" si="31"/>
        <v>2.3953338562260784E-2</v>
      </c>
      <c r="K313" s="51">
        <v>45930</v>
      </c>
      <c r="L313" s="43">
        <f t="shared" si="32"/>
        <v>46111</v>
      </c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ht="15.75" customHeight="1" x14ac:dyDescent="0.25">
      <c r="A314" s="7"/>
      <c r="B314" s="56">
        <v>100012824</v>
      </c>
      <c r="C314" s="59" t="s">
        <v>387</v>
      </c>
      <c r="D314" s="58" t="s">
        <v>389</v>
      </c>
      <c r="E314" s="66">
        <v>12699</v>
      </c>
      <c r="F314" s="47">
        <v>12234.09</v>
      </c>
      <c r="G314" s="50">
        <v>11110</v>
      </c>
      <c r="H314" s="34">
        <f t="shared" si="30"/>
        <v>12014.363333333333</v>
      </c>
      <c r="I314" s="42">
        <f t="shared" si="9"/>
        <v>0.14302430243024311</v>
      </c>
      <c r="J314" s="36">
        <f t="shared" si="31"/>
        <v>5.6984847858493781E-2</v>
      </c>
      <c r="K314" s="51">
        <v>45930</v>
      </c>
      <c r="L314" s="43">
        <f t="shared" si="32"/>
        <v>46111</v>
      </c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ht="15.75" customHeight="1" x14ac:dyDescent="0.25">
      <c r="A315" s="7"/>
      <c r="B315" s="29">
        <v>100002270</v>
      </c>
      <c r="C315" s="67" t="s">
        <v>390</v>
      </c>
      <c r="D315" s="39"/>
      <c r="E315" s="82">
        <v>289</v>
      </c>
      <c r="F315" s="50">
        <v>237.9</v>
      </c>
      <c r="G315" s="50">
        <v>268.44</v>
      </c>
      <c r="H315" s="34">
        <f t="shared" si="30"/>
        <v>265.11333333333329</v>
      </c>
      <c r="I315" s="42">
        <f t="shared" si="9"/>
        <v>0.21479613282891963</v>
      </c>
      <c r="J315" s="36">
        <f t="shared" si="31"/>
        <v>9.0099831518595908E-2</v>
      </c>
      <c r="K315" s="51">
        <v>45930</v>
      </c>
      <c r="L315" s="43">
        <f t="shared" si="32"/>
        <v>46111</v>
      </c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ht="20.25" customHeight="1" x14ac:dyDescent="0.25">
      <c r="A316" s="7"/>
      <c r="B316" s="68">
        <v>100012833</v>
      </c>
      <c r="C316" s="59" t="s">
        <v>391</v>
      </c>
      <c r="D316" s="58"/>
      <c r="E316" s="82">
        <v>2415.54</v>
      </c>
      <c r="F316" s="50">
        <v>2020.21</v>
      </c>
      <c r="G316" s="50">
        <v>1940.4</v>
      </c>
      <c r="H316" s="34">
        <f t="shared" si="30"/>
        <v>2125.3833333333332</v>
      </c>
      <c r="I316" s="42">
        <f t="shared" si="9"/>
        <v>0.24486703772418061</v>
      </c>
      <c r="J316" s="36">
        <f t="shared" si="31"/>
        <v>0.13651968664476222</v>
      </c>
      <c r="K316" s="51">
        <v>45930</v>
      </c>
      <c r="L316" s="43">
        <f t="shared" si="32"/>
        <v>46111</v>
      </c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ht="15.75" customHeight="1" x14ac:dyDescent="0.25">
      <c r="A317" s="7"/>
      <c r="B317" s="68">
        <v>100012742</v>
      </c>
      <c r="C317" s="59" t="s">
        <v>392</v>
      </c>
      <c r="D317" s="58"/>
      <c r="E317" s="82">
        <v>2553.2800000000002</v>
      </c>
      <c r="F317" s="50">
        <v>2794.9</v>
      </c>
      <c r="G317" s="50">
        <v>3181.27</v>
      </c>
      <c r="H317" s="34">
        <f t="shared" si="30"/>
        <v>2843.15</v>
      </c>
      <c r="I317" s="42">
        <f t="shared" ref="I317:I571" si="33">IF(ISERROR(MAX(E317:G317)/MIN(E317:G317)-1),"",(MAX(E317:G317)/MIN(E317:G317)-1))</f>
        <v>0.24595422358691565</v>
      </c>
      <c r="J317" s="36">
        <f t="shared" si="31"/>
        <v>0.11892443240771677</v>
      </c>
      <c r="K317" s="51">
        <v>45930</v>
      </c>
      <c r="L317" s="43">
        <f t="shared" si="32"/>
        <v>46111</v>
      </c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ht="27" customHeight="1" x14ac:dyDescent="0.25">
      <c r="A318" s="7"/>
      <c r="B318" s="68">
        <v>100012747</v>
      </c>
      <c r="C318" s="105" t="s">
        <v>393</v>
      </c>
      <c r="D318" s="58"/>
      <c r="E318" s="82">
        <v>1377.35</v>
      </c>
      <c r="F318" s="50">
        <v>1699</v>
      </c>
      <c r="G318" s="50">
        <v>1596.4</v>
      </c>
      <c r="H318" s="34">
        <f t="shared" si="30"/>
        <v>1557.5833333333333</v>
      </c>
      <c r="I318" s="42">
        <f t="shared" si="33"/>
        <v>0.23352815188586784</v>
      </c>
      <c r="J318" s="36">
        <f t="shared" si="31"/>
        <v>9.0792359959338764E-2</v>
      </c>
      <c r="K318" s="51">
        <v>45931</v>
      </c>
      <c r="L318" s="43">
        <f t="shared" si="32"/>
        <v>46113</v>
      </c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ht="15.75" customHeight="1" x14ac:dyDescent="0.25">
      <c r="A319" s="7"/>
      <c r="B319" s="68">
        <v>100010112</v>
      </c>
      <c r="C319" s="59" t="s">
        <v>394</v>
      </c>
      <c r="D319" s="58"/>
      <c r="E319" s="82">
        <v>144.52000000000001</v>
      </c>
      <c r="F319" s="50">
        <v>129</v>
      </c>
      <c r="G319" s="50">
        <v>149.9</v>
      </c>
      <c r="H319" s="34">
        <f t="shared" si="30"/>
        <v>141.13999999999999</v>
      </c>
      <c r="I319" s="42">
        <f t="shared" si="33"/>
        <v>0.16201550387596897</v>
      </c>
      <c r="J319" s="36">
        <f t="shared" si="31"/>
        <v>6.2066033725379111E-2</v>
      </c>
      <c r="K319" s="51">
        <v>45931</v>
      </c>
      <c r="L319" s="43">
        <f t="shared" si="32"/>
        <v>46113</v>
      </c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ht="15.75" customHeight="1" x14ac:dyDescent="0.25">
      <c r="A320" s="7"/>
      <c r="B320" s="68">
        <v>100010123</v>
      </c>
      <c r="C320" s="59" t="s">
        <v>93</v>
      </c>
      <c r="D320" s="58"/>
      <c r="E320" s="66">
        <v>569.99</v>
      </c>
      <c r="F320" s="47">
        <v>699</v>
      </c>
      <c r="G320" s="47">
        <v>639</v>
      </c>
      <c r="H320" s="34">
        <f t="shared" si="30"/>
        <v>635.99666666666667</v>
      </c>
      <c r="I320" s="42">
        <f t="shared" si="33"/>
        <v>0.22633730416323083</v>
      </c>
      <c r="J320" s="36">
        <f t="shared" si="31"/>
        <v>9.9062364058511765E-2</v>
      </c>
      <c r="K320" s="51">
        <v>45931</v>
      </c>
      <c r="L320" s="43">
        <f t="shared" si="32"/>
        <v>46113</v>
      </c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ht="15.75" customHeight="1" x14ac:dyDescent="0.25">
      <c r="A321" s="7"/>
      <c r="B321" s="68">
        <v>100010125</v>
      </c>
      <c r="C321" s="59" t="s">
        <v>395</v>
      </c>
      <c r="D321" s="58"/>
      <c r="E321" s="66">
        <v>2961.76</v>
      </c>
      <c r="F321" s="84">
        <v>2490.37</v>
      </c>
      <c r="G321" s="84">
        <v>2519.94</v>
      </c>
      <c r="H321" s="34">
        <f t="shared" si="30"/>
        <v>2657.3566666666666</v>
      </c>
      <c r="I321" s="42">
        <f t="shared" si="33"/>
        <v>0.18928512630653294</v>
      </c>
      <c r="J321" s="36">
        <f t="shared" si="31"/>
        <v>0.11455117679598903</v>
      </c>
      <c r="K321" s="51">
        <v>45931</v>
      </c>
      <c r="L321" s="43">
        <f t="shared" si="32"/>
        <v>46113</v>
      </c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ht="15.75" customHeight="1" x14ac:dyDescent="0.25">
      <c r="A322" s="7"/>
      <c r="B322" s="68">
        <v>100010135</v>
      </c>
      <c r="C322" s="59" t="s">
        <v>396</v>
      </c>
      <c r="D322" s="81"/>
      <c r="E322" s="66">
        <v>225.9</v>
      </c>
      <c r="F322" s="47">
        <v>225.9</v>
      </c>
      <c r="G322" s="47">
        <v>199.9</v>
      </c>
      <c r="H322" s="34">
        <f t="shared" si="30"/>
        <v>217.23333333333335</v>
      </c>
      <c r="I322" s="42">
        <f t="shared" si="33"/>
        <v>0.13006503251625823</v>
      </c>
      <c r="J322" s="36">
        <f t="shared" si="31"/>
        <v>3.9895657511124671E-2</v>
      </c>
      <c r="K322" s="51">
        <v>45931</v>
      </c>
      <c r="L322" s="43">
        <f t="shared" si="32"/>
        <v>46113</v>
      </c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ht="15.75" customHeight="1" x14ac:dyDescent="0.25">
      <c r="A323" s="7"/>
      <c r="B323" s="68">
        <v>100012540</v>
      </c>
      <c r="C323" s="59" t="s">
        <v>397</v>
      </c>
      <c r="D323" s="58"/>
      <c r="E323" s="66">
        <v>939.58</v>
      </c>
      <c r="F323" s="47">
        <v>878.79</v>
      </c>
      <c r="G323" s="47">
        <v>949.9</v>
      </c>
      <c r="H323" s="34">
        <f t="shared" si="30"/>
        <v>922.75666666666666</v>
      </c>
      <c r="I323" s="42">
        <f t="shared" si="33"/>
        <v>8.0918080542564219E-2</v>
      </c>
      <c r="J323" s="36">
        <f t="shared" si="31"/>
        <v>2.9415483316294955E-2</v>
      </c>
      <c r="K323" s="51">
        <v>45932</v>
      </c>
      <c r="L323" s="43">
        <f t="shared" si="32"/>
        <v>46114</v>
      </c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ht="15.75" customHeight="1" x14ac:dyDescent="0.25">
      <c r="A324" s="7"/>
      <c r="B324" s="68">
        <v>100012547</v>
      </c>
      <c r="C324" s="59" t="s">
        <v>398</v>
      </c>
      <c r="D324" s="58"/>
      <c r="E324" s="65">
        <v>2227.77</v>
      </c>
      <c r="F324" s="47">
        <v>2370</v>
      </c>
      <c r="G324" s="47">
        <v>2464.27</v>
      </c>
      <c r="H324" s="34">
        <f t="shared" si="30"/>
        <v>2354.0133333333338</v>
      </c>
      <c r="I324" s="42">
        <f t="shared" si="33"/>
        <v>0.10615997163082369</v>
      </c>
      <c r="J324" s="36"/>
      <c r="K324" s="51">
        <v>45932</v>
      </c>
      <c r="L324" s="43">
        <f t="shared" si="32"/>
        <v>46114</v>
      </c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ht="15.75" customHeight="1" x14ac:dyDescent="0.25">
      <c r="A325" s="7"/>
      <c r="B325" s="68">
        <v>100012552</v>
      </c>
      <c r="C325" s="59" t="s">
        <v>399</v>
      </c>
      <c r="D325" s="58"/>
      <c r="E325" s="65">
        <v>2440.86</v>
      </c>
      <c r="F325" s="47">
        <v>2440.86</v>
      </c>
      <c r="G325" s="47">
        <v>2309</v>
      </c>
      <c r="H325" s="34">
        <f t="shared" si="30"/>
        <v>2396.9066666666668</v>
      </c>
      <c r="I325" s="42">
        <f t="shared" si="33"/>
        <v>5.710697271546139E-2</v>
      </c>
      <c r="J325" s="36">
        <f t="shared" ref="J325:J326" si="34">IF(ISERROR(MAX(E325:G325)/H325-1),"",(MAX(E325:G325)/H325-1))</f>
        <v>1.8337523919718768E-2</v>
      </c>
      <c r="K325" s="51">
        <v>45932</v>
      </c>
      <c r="L325" s="43">
        <f t="shared" si="32"/>
        <v>46114</v>
      </c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ht="15.75" customHeight="1" x14ac:dyDescent="0.25">
      <c r="A326" s="7"/>
      <c r="B326" s="56">
        <v>100012597</v>
      </c>
      <c r="C326" s="59" t="s">
        <v>400</v>
      </c>
      <c r="D326" s="58"/>
      <c r="E326" s="65">
        <v>550</v>
      </c>
      <c r="F326" s="47">
        <v>459.9</v>
      </c>
      <c r="G326" s="47">
        <v>499</v>
      </c>
      <c r="H326" s="34">
        <f t="shared" si="30"/>
        <v>502.9666666666667</v>
      </c>
      <c r="I326" s="42">
        <f t="shared" si="33"/>
        <v>0.19591215481626456</v>
      </c>
      <c r="J326" s="36">
        <f t="shared" si="34"/>
        <v>9.3511829809795222E-2</v>
      </c>
      <c r="K326" s="51">
        <v>45932</v>
      </c>
      <c r="L326" s="43">
        <f t="shared" si="32"/>
        <v>46114</v>
      </c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ht="15.75" customHeight="1" x14ac:dyDescent="0.25">
      <c r="A327" s="7"/>
      <c r="B327" s="56">
        <v>100012904</v>
      </c>
      <c r="C327" s="59" t="s">
        <v>401</v>
      </c>
      <c r="D327" s="58"/>
      <c r="E327" s="61">
        <v>158.88</v>
      </c>
      <c r="F327" s="50">
        <v>160.94999999999999</v>
      </c>
      <c r="G327" s="50">
        <v>139.46</v>
      </c>
      <c r="H327" s="34">
        <f t="shared" si="30"/>
        <v>153.09666666666666</v>
      </c>
      <c r="I327" s="42">
        <f t="shared" si="33"/>
        <v>0.15409436397533338</v>
      </c>
      <c r="J327" s="36"/>
      <c r="K327" s="51">
        <v>45932</v>
      </c>
      <c r="L327" s="38">
        <f t="shared" si="32"/>
        <v>46114</v>
      </c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ht="15.75" customHeight="1" x14ac:dyDescent="0.25">
      <c r="A328" s="7"/>
      <c r="B328" s="56">
        <v>100012924</v>
      </c>
      <c r="C328" s="59" t="s">
        <v>402</v>
      </c>
      <c r="D328" s="58"/>
      <c r="E328" s="61">
        <v>3087</v>
      </c>
      <c r="F328" s="50">
        <v>3899</v>
      </c>
      <c r="G328" s="50">
        <v>3387.99</v>
      </c>
      <c r="H328" s="34">
        <f t="shared" si="30"/>
        <v>3457.9966666666664</v>
      </c>
      <c r="I328" s="42">
        <f t="shared" si="33"/>
        <v>0.26303854875283439</v>
      </c>
      <c r="J328" s="36"/>
      <c r="K328" s="51">
        <v>45932</v>
      </c>
      <c r="L328" s="38">
        <f t="shared" si="32"/>
        <v>46114</v>
      </c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ht="15.75" customHeight="1" x14ac:dyDescent="0.25">
      <c r="A329" s="7"/>
      <c r="B329" s="68">
        <v>100010398</v>
      </c>
      <c r="C329" s="59" t="s">
        <v>403</v>
      </c>
      <c r="D329" s="58"/>
      <c r="E329" s="61">
        <v>2374.4899999999998</v>
      </c>
      <c r="F329" s="50">
        <v>2800</v>
      </c>
      <c r="G329" s="50">
        <v>2324.4899999999998</v>
      </c>
      <c r="H329" s="34">
        <f t="shared" si="30"/>
        <v>2499.66</v>
      </c>
      <c r="I329" s="42">
        <f t="shared" si="33"/>
        <v>0.20456530249646177</v>
      </c>
      <c r="J329" s="36">
        <f t="shared" ref="J329:J350" si="35">IF(ISERROR(MAX(E329:G329)/H329-1),"",(MAX(E329:G329)/H329-1))</f>
        <v>0.1201523407183378</v>
      </c>
      <c r="K329" s="51"/>
      <c r="L329" s="43">
        <f t="shared" si="32"/>
        <v>182</v>
      </c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ht="15.75" customHeight="1" x14ac:dyDescent="0.25">
      <c r="A330" s="7"/>
      <c r="B330" s="56">
        <v>100002284</v>
      </c>
      <c r="C330" s="59" t="s">
        <v>404</v>
      </c>
      <c r="D330" s="58"/>
      <c r="E330" s="65">
        <v>2766</v>
      </c>
      <c r="F330" s="47">
        <v>3050</v>
      </c>
      <c r="G330" s="47">
        <v>3499.58</v>
      </c>
      <c r="H330" s="34">
        <f t="shared" si="30"/>
        <v>3105.1933333333332</v>
      </c>
      <c r="I330" s="42">
        <f t="shared" si="33"/>
        <v>0.26521330441070146</v>
      </c>
      <c r="J330" s="36">
        <f t="shared" si="35"/>
        <v>0.12700873160876736</v>
      </c>
      <c r="K330" s="51">
        <v>45933</v>
      </c>
      <c r="L330" s="43">
        <f t="shared" si="32"/>
        <v>46115</v>
      </c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ht="15.75" customHeight="1" x14ac:dyDescent="0.25">
      <c r="A331" s="7"/>
      <c r="B331" s="56">
        <v>100002343</v>
      </c>
      <c r="C331" s="59" t="s">
        <v>405</v>
      </c>
      <c r="D331" s="58"/>
      <c r="E331" s="82">
        <v>4260.24</v>
      </c>
      <c r="F331" s="50">
        <v>4535.03</v>
      </c>
      <c r="G331" s="50">
        <v>5574.8</v>
      </c>
      <c r="H331" s="34">
        <f t="shared" si="30"/>
        <v>4790.0233333333335</v>
      </c>
      <c r="I331" s="42">
        <f t="shared" si="33"/>
        <v>0.30856477569338825</v>
      </c>
      <c r="J331" s="36">
        <f t="shared" si="35"/>
        <v>0.16383566677128214</v>
      </c>
      <c r="K331" s="51">
        <v>45933</v>
      </c>
      <c r="L331" s="43">
        <f t="shared" si="32"/>
        <v>46115</v>
      </c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ht="15.75" customHeight="1" x14ac:dyDescent="0.25">
      <c r="A332" s="7"/>
      <c r="B332" s="68">
        <v>100010413</v>
      </c>
      <c r="C332" s="59" t="s">
        <v>406</v>
      </c>
      <c r="D332" s="58" t="s">
        <v>407</v>
      </c>
      <c r="E332" s="82">
        <v>5471.91</v>
      </c>
      <c r="F332" s="50">
        <v>4678</v>
      </c>
      <c r="G332" s="50">
        <v>4554</v>
      </c>
      <c r="H332" s="34">
        <f t="shared" si="30"/>
        <v>4901.3033333333333</v>
      </c>
      <c r="I332" s="42">
        <f t="shared" si="33"/>
        <v>0.20156126482213432</v>
      </c>
      <c r="J332" s="36">
        <f t="shared" si="35"/>
        <v>0.1164193741664632</v>
      </c>
      <c r="K332" s="51">
        <v>45933</v>
      </c>
      <c r="L332" s="43">
        <f t="shared" si="32"/>
        <v>46115</v>
      </c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ht="15.75" customHeight="1" x14ac:dyDescent="0.25">
      <c r="A333" s="7"/>
      <c r="B333" s="68">
        <v>100010413</v>
      </c>
      <c r="C333" s="59" t="s">
        <v>408</v>
      </c>
      <c r="D333" s="58" t="s">
        <v>409</v>
      </c>
      <c r="E333" s="82">
        <v>26568.27</v>
      </c>
      <c r="F333" s="50">
        <v>29900</v>
      </c>
      <c r="G333" s="50">
        <v>29999</v>
      </c>
      <c r="H333" s="34">
        <f t="shared" si="30"/>
        <v>28822.423333333336</v>
      </c>
      <c r="I333" s="42">
        <f t="shared" si="33"/>
        <v>0.12912884429434057</v>
      </c>
      <c r="J333" s="36">
        <f t="shared" si="35"/>
        <v>4.0821573295884095E-2</v>
      </c>
      <c r="K333" s="51">
        <v>45933</v>
      </c>
      <c r="L333" s="43">
        <f t="shared" si="32"/>
        <v>46115</v>
      </c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ht="15.75" customHeight="1" x14ac:dyDescent="0.25">
      <c r="A334" s="7"/>
      <c r="B334" s="68">
        <v>100010413</v>
      </c>
      <c r="C334" s="59" t="s">
        <v>410</v>
      </c>
      <c r="D334" s="58" t="s">
        <v>411</v>
      </c>
      <c r="E334" s="82">
        <v>5042</v>
      </c>
      <c r="F334" s="50">
        <v>4997</v>
      </c>
      <c r="G334" s="50">
        <v>4790</v>
      </c>
      <c r="H334" s="34">
        <f t="shared" si="30"/>
        <v>4943</v>
      </c>
      <c r="I334" s="42">
        <f t="shared" si="33"/>
        <v>5.2609603340292299E-2</v>
      </c>
      <c r="J334" s="36">
        <f t="shared" si="35"/>
        <v>2.0028322880841554E-2</v>
      </c>
      <c r="K334" s="51">
        <v>45933</v>
      </c>
      <c r="L334" s="43">
        <f t="shared" si="32"/>
        <v>46115</v>
      </c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ht="20.25" customHeight="1" x14ac:dyDescent="0.25">
      <c r="A335" s="7"/>
      <c r="B335" s="56">
        <v>100012846</v>
      </c>
      <c r="C335" s="59" t="s">
        <v>412</v>
      </c>
      <c r="D335" s="58"/>
      <c r="E335" s="82">
        <v>20499</v>
      </c>
      <c r="F335" s="50">
        <v>22855.9</v>
      </c>
      <c r="G335" s="50">
        <v>17479</v>
      </c>
      <c r="H335" s="34">
        <f t="shared" si="30"/>
        <v>20277.966666666667</v>
      </c>
      <c r="I335" s="42">
        <f t="shared" si="33"/>
        <v>0.30762057325933978</v>
      </c>
      <c r="J335" s="36">
        <f t="shared" si="35"/>
        <v>0.12712977468155096</v>
      </c>
      <c r="K335" s="51">
        <v>45933</v>
      </c>
      <c r="L335" s="43">
        <f t="shared" si="32"/>
        <v>46115</v>
      </c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ht="15.75" customHeight="1" x14ac:dyDescent="0.25">
      <c r="A336" s="7"/>
      <c r="B336" s="68">
        <v>100012320</v>
      </c>
      <c r="C336" s="59" t="s">
        <v>413</v>
      </c>
      <c r="D336" s="58" t="s">
        <v>414</v>
      </c>
      <c r="E336" s="66">
        <v>3890</v>
      </c>
      <c r="F336" s="47">
        <v>3428</v>
      </c>
      <c r="G336" s="47">
        <v>3580</v>
      </c>
      <c r="H336" s="34">
        <f t="shared" si="30"/>
        <v>3632.6666666666665</v>
      </c>
      <c r="I336" s="42">
        <f t="shared" si="33"/>
        <v>0.13477246207701277</v>
      </c>
      <c r="J336" s="36">
        <f t="shared" si="35"/>
        <v>7.0838685997430817E-2</v>
      </c>
      <c r="K336" s="51">
        <v>45933</v>
      </c>
      <c r="L336" s="43">
        <f t="shared" si="32"/>
        <v>46115</v>
      </c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ht="15.75" customHeight="1" x14ac:dyDescent="0.25">
      <c r="A337" s="7"/>
      <c r="B337" s="68">
        <v>100012345</v>
      </c>
      <c r="C337" s="59" t="s">
        <v>415</v>
      </c>
      <c r="D337" s="58" t="s">
        <v>416</v>
      </c>
      <c r="E337" s="66">
        <v>1571.55</v>
      </c>
      <c r="F337" s="47">
        <v>1484</v>
      </c>
      <c r="G337" s="47">
        <v>1664.4</v>
      </c>
      <c r="H337" s="34">
        <f t="shared" si="30"/>
        <v>1573.3166666666668</v>
      </c>
      <c r="I337" s="42">
        <f t="shared" si="33"/>
        <v>0.12156334231805932</v>
      </c>
      <c r="J337" s="36">
        <f t="shared" si="35"/>
        <v>5.7892562421212101E-2</v>
      </c>
      <c r="K337" s="51">
        <v>45933</v>
      </c>
      <c r="L337" s="43">
        <f t="shared" si="32"/>
        <v>46115</v>
      </c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ht="15.75" customHeight="1" x14ac:dyDescent="0.25">
      <c r="A338" s="7"/>
      <c r="B338" s="68">
        <v>100012345</v>
      </c>
      <c r="C338" s="59" t="s">
        <v>415</v>
      </c>
      <c r="D338" s="58" t="s">
        <v>417</v>
      </c>
      <c r="E338" s="66">
        <v>5074.4399999999996</v>
      </c>
      <c r="F338" s="47">
        <v>4326</v>
      </c>
      <c r="G338" s="47">
        <v>4762.5600000000004</v>
      </c>
      <c r="H338" s="34">
        <f t="shared" si="30"/>
        <v>4721</v>
      </c>
      <c r="I338" s="42">
        <f t="shared" si="33"/>
        <v>0.17300970873786392</v>
      </c>
      <c r="J338" s="36">
        <f t="shared" si="35"/>
        <v>7.4865494598601812E-2</v>
      </c>
      <c r="K338" s="51">
        <v>45933</v>
      </c>
      <c r="L338" s="43">
        <f t="shared" si="32"/>
        <v>46115</v>
      </c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ht="15.75" customHeight="1" x14ac:dyDescent="0.25">
      <c r="A339" s="7"/>
      <c r="B339" s="56">
        <v>100012345</v>
      </c>
      <c r="C339" s="59" t="s">
        <v>415</v>
      </c>
      <c r="D339" s="58"/>
      <c r="E339" s="66">
        <v>12999.9</v>
      </c>
      <c r="F339" s="84">
        <v>11915</v>
      </c>
      <c r="G339" s="84">
        <v>10120</v>
      </c>
      <c r="H339" s="34">
        <f t="shared" si="30"/>
        <v>11678.300000000001</v>
      </c>
      <c r="I339" s="42">
        <f t="shared" si="33"/>
        <v>0.28457509881422927</v>
      </c>
      <c r="J339" s="36">
        <f t="shared" si="35"/>
        <v>0.11316715617855322</v>
      </c>
      <c r="K339" s="51">
        <v>45933</v>
      </c>
      <c r="L339" s="43">
        <f t="shared" si="32"/>
        <v>46115</v>
      </c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ht="15.75" customHeight="1" x14ac:dyDescent="0.25">
      <c r="A340" s="7"/>
      <c r="B340" s="56">
        <v>100002272</v>
      </c>
      <c r="C340" s="59" t="s">
        <v>418</v>
      </c>
      <c r="D340" s="58"/>
      <c r="E340" s="66">
        <v>899</v>
      </c>
      <c r="F340" s="47">
        <v>796</v>
      </c>
      <c r="G340" s="47">
        <v>699</v>
      </c>
      <c r="H340" s="34">
        <f t="shared" si="30"/>
        <v>798</v>
      </c>
      <c r="I340" s="42">
        <f t="shared" si="33"/>
        <v>0.28612303290414887</v>
      </c>
      <c r="J340" s="36">
        <f t="shared" si="35"/>
        <v>0.12656641604010033</v>
      </c>
      <c r="K340" s="51">
        <v>45933</v>
      </c>
      <c r="L340" s="43">
        <f t="shared" si="32"/>
        <v>46115</v>
      </c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ht="15.75" customHeight="1" x14ac:dyDescent="0.25">
      <c r="A341" s="7"/>
      <c r="B341" s="56">
        <v>100002253</v>
      </c>
      <c r="C341" s="59" t="s">
        <v>419</v>
      </c>
      <c r="D341" s="58"/>
      <c r="E341" s="66">
        <v>179.9</v>
      </c>
      <c r="F341" s="47">
        <v>189.9</v>
      </c>
      <c r="G341" s="47">
        <v>159.9</v>
      </c>
      <c r="H341" s="34">
        <f t="shared" si="30"/>
        <v>176.56666666666669</v>
      </c>
      <c r="I341" s="42">
        <f t="shared" si="33"/>
        <v>0.18761726078799246</v>
      </c>
      <c r="J341" s="36">
        <f t="shared" si="35"/>
        <v>7.5514442137058602E-2</v>
      </c>
      <c r="K341" s="51">
        <v>45933</v>
      </c>
      <c r="L341" s="43">
        <f t="shared" si="32"/>
        <v>46115</v>
      </c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ht="15.75" customHeight="1" x14ac:dyDescent="0.25">
      <c r="A342" s="7"/>
      <c r="B342" s="56">
        <v>100010152</v>
      </c>
      <c r="C342" s="59" t="s">
        <v>420</v>
      </c>
      <c r="D342" s="58"/>
      <c r="E342" s="66">
        <v>1879</v>
      </c>
      <c r="F342" s="47">
        <v>1879</v>
      </c>
      <c r="G342" s="47">
        <v>1749.97</v>
      </c>
      <c r="H342" s="34">
        <f t="shared" si="30"/>
        <v>1835.99</v>
      </c>
      <c r="I342" s="42">
        <f t="shared" si="33"/>
        <v>7.3732692560443791E-2</v>
      </c>
      <c r="J342" s="36">
        <f t="shared" si="35"/>
        <v>2.3426053518809997E-2</v>
      </c>
      <c r="K342" s="51">
        <v>45937</v>
      </c>
      <c r="L342" s="43">
        <f t="shared" si="32"/>
        <v>46119</v>
      </c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ht="15.75" customHeight="1" x14ac:dyDescent="0.25">
      <c r="A343" s="7"/>
      <c r="B343" s="68">
        <v>100010193</v>
      </c>
      <c r="C343" s="59" t="s">
        <v>421</v>
      </c>
      <c r="D343" s="58"/>
      <c r="E343" s="66">
        <v>97.19</v>
      </c>
      <c r="F343" s="84">
        <v>81.290000000000006</v>
      </c>
      <c r="G343" s="84">
        <v>99</v>
      </c>
      <c r="H343" s="34">
        <f t="shared" si="30"/>
        <v>92.493333333333339</v>
      </c>
      <c r="I343" s="42">
        <f t="shared" si="33"/>
        <v>0.21786197564276044</v>
      </c>
      <c r="J343" s="36">
        <f t="shared" si="35"/>
        <v>7.0347412426120748E-2</v>
      </c>
      <c r="K343" s="51">
        <v>45937</v>
      </c>
      <c r="L343" s="43">
        <f t="shared" si="32"/>
        <v>46119</v>
      </c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ht="15.75" customHeight="1" x14ac:dyDescent="0.25">
      <c r="A344" s="7"/>
      <c r="B344" s="56">
        <v>100010250</v>
      </c>
      <c r="C344" s="59" t="s">
        <v>422</v>
      </c>
      <c r="D344" s="58" t="s">
        <v>423</v>
      </c>
      <c r="E344" s="66">
        <v>858.44</v>
      </c>
      <c r="F344" s="47">
        <v>739.99</v>
      </c>
      <c r="G344" s="47">
        <v>949.99</v>
      </c>
      <c r="H344" s="34">
        <f t="shared" si="30"/>
        <v>849.47333333333336</v>
      </c>
      <c r="I344" s="42">
        <f t="shared" si="33"/>
        <v>0.28378761875160485</v>
      </c>
      <c r="J344" s="36">
        <f t="shared" si="35"/>
        <v>0.11832821905337432</v>
      </c>
      <c r="K344" s="51">
        <v>45937</v>
      </c>
      <c r="L344" s="43">
        <f t="shared" si="32"/>
        <v>46119</v>
      </c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ht="15.75" customHeight="1" x14ac:dyDescent="0.25">
      <c r="A345" s="7"/>
      <c r="B345" s="56">
        <v>100010250</v>
      </c>
      <c r="C345" s="59" t="s">
        <v>422</v>
      </c>
      <c r="D345" s="104" t="s">
        <v>424</v>
      </c>
      <c r="E345" s="82">
        <v>484</v>
      </c>
      <c r="F345" s="50">
        <v>383.9</v>
      </c>
      <c r="G345" s="50">
        <v>383.9</v>
      </c>
      <c r="H345" s="34">
        <f t="shared" si="30"/>
        <v>417.26666666666665</v>
      </c>
      <c r="I345" s="42">
        <f t="shared" si="33"/>
        <v>0.26074498567335258</v>
      </c>
      <c r="J345" s="36">
        <f t="shared" si="35"/>
        <v>0.15992970123022854</v>
      </c>
      <c r="K345" s="51">
        <v>45937</v>
      </c>
      <c r="L345" s="43">
        <f t="shared" si="32"/>
        <v>46119</v>
      </c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ht="15.75" customHeight="1" x14ac:dyDescent="0.25">
      <c r="A346" s="7"/>
      <c r="B346" s="56">
        <v>100010250</v>
      </c>
      <c r="C346" s="59" t="s">
        <v>422</v>
      </c>
      <c r="D346" s="58" t="s">
        <v>425</v>
      </c>
      <c r="E346" s="66">
        <v>273.89999999999998</v>
      </c>
      <c r="F346" s="47">
        <v>273.89999999999998</v>
      </c>
      <c r="G346" s="47">
        <v>325</v>
      </c>
      <c r="H346" s="34">
        <f t="shared" si="30"/>
        <v>290.93333333333334</v>
      </c>
      <c r="I346" s="42">
        <f t="shared" si="33"/>
        <v>0.18656443957648783</v>
      </c>
      <c r="J346" s="36">
        <f t="shared" si="35"/>
        <v>0.11709440879926669</v>
      </c>
      <c r="K346" s="51">
        <v>45937</v>
      </c>
      <c r="L346" s="43">
        <f t="shared" si="32"/>
        <v>46119</v>
      </c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ht="15.75" customHeight="1" x14ac:dyDescent="0.25">
      <c r="A347" s="7"/>
      <c r="B347" s="56">
        <v>100010250</v>
      </c>
      <c r="C347" s="59" t="s">
        <v>422</v>
      </c>
      <c r="D347" s="104" t="s">
        <v>426</v>
      </c>
      <c r="E347" s="82">
        <v>211</v>
      </c>
      <c r="F347" s="50">
        <v>175.99</v>
      </c>
      <c r="G347" s="50">
        <v>211</v>
      </c>
      <c r="H347" s="34">
        <f t="shared" si="30"/>
        <v>199.33</v>
      </c>
      <c r="I347" s="42">
        <f t="shared" si="33"/>
        <v>0.19893175748622083</v>
      </c>
      <c r="J347" s="36">
        <f t="shared" si="35"/>
        <v>5.8546129533938673E-2</v>
      </c>
      <c r="K347" s="51">
        <v>45937</v>
      </c>
      <c r="L347" s="43">
        <f t="shared" si="32"/>
        <v>46119</v>
      </c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ht="15.75" customHeight="1" x14ac:dyDescent="0.25">
      <c r="A348" s="7"/>
      <c r="B348" s="56">
        <v>100013095</v>
      </c>
      <c r="C348" s="59" t="s">
        <v>427</v>
      </c>
      <c r="D348" s="58"/>
      <c r="E348" s="66">
        <v>707.99</v>
      </c>
      <c r="F348" s="47">
        <v>677</v>
      </c>
      <c r="G348" s="47">
        <v>646.80999999999995</v>
      </c>
      <c r="H348" s="34">
        <f t="shared" si="30"/>
        <v>677.26666666666665</v>
      </c>
      <c r="I348" s="42">
        <f t="shared" si="33"/>
        <v>9.4587282200337075E-2</v>
      </c>
      <c r="J348" s="36">
        <f t="shared" si="35"/>
        <v>4.5363716901269946E-2</v>
      </c>
      <c r="K348" s="51">
        <v>45937</v>
      </c>
      <c r="L348" s="43">
        <f t="shared" si="32"/>
        <v>46119</v>
      </c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ht="15.75" customHeight="1" x14ac:dyDescent="0.25">
      <c r="A349" s="7"/>
      <c r="B349" s="68">
        <v>100002337</v>
      </c>
      <c r="C349" s="59" t="s">
        <v>428</v>
      </c>
      <c r="D349" s="58"/>
      <c r="E349" s="66">
        <v>5612.75</v>
      </c>
      <c r="F349" s="47">
        <v>4591.62</v>
      </c>
      <c r="G349" s="47">
        <v>5705.71</v>
      </c>
      <c r="H349" s="34">
        <f t="shared" si="30"/>
        <v>5303.36</v>
      </c>
      <c r="I349" s="42">
        <f t="shared" si="33"/>
        <v>0.24263549683989538</v>
      </c>
      <c r="J349" s="36">
        <f t="shared" si="35"/>
        <v>7.5866997526096824E-2</v>
      </c>
      <c r="K349" s="51">
        <v>45937</v>
      </c>
      <c r="L349" s="43">
        <f t="shared" si="32"/>
        <v>46119</v>
      </c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ht="18.75" customHeight="1" x14ac:dyDescent="0.25">
      <c r="A350" s="7"/>
      <c r="B350" s="68">
        <v>100011701</v>
      </c>
      <c r="C350" s="59" t="s">
        <v>429</v>
      </c>
      <c r="D350" s="58" t="s">
        <v>430</v>
      </c>
      <c r="E350" s="82">
        <v>1579.89</v>
      </c>
      <c r="F350" s="50">
        <v>1644.33</v>
      </c>
      <c r="G350" s="50">
        <v>1444.89</v>
      </c>
      <c r="H350" s="34">
        <f t="shared" si="30"/>
        <v>1556.3700000000001</v>
      </c>
      <c r="I350" s="42">
        <f t="shared" si="33"/>
        <v>0.13803126881631123</v>
      </c>
      <c r="J350" s="36">
        <f t="shared" si="35"/>
        <v>5.6516124057903738E-2</v>
      </c>
      <c r="K350" s="51">
        <v>45937</v>
      </c>
      <c r="L350" s="43">
        <f t="shared" si="32"/>
        <v>46119</v>
      </c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ht="15.75" customHeight="1" x14ac:dyDescent="0.25">
      <c r="A351" s="7"/>
      <c r="B351" s="56">
        <v>100012802</v>
      </c>
      <c r="C351" s="59" t="s">
        <v>431</v>
      </c>
      <c r="D351" s="58" t="s">
        <v>432</v>
      </c>
      <c r="E351" s="66">
        <v>986.25</v>
      </c>
      <c r="F351" s="47">
        <v>911.9</v>
      </c>
      <c r="G351" s="47">
        <v>849</v>
      </c>
      <c r="H351" s="34">
        <f t="shared" si="30"/>
        <v>915.7166666666667</v>
      </c>
      <c r="I351" s="42">
        <f t="shared" si="33"/>
        <v>0.16166077738515905</v>
      </c>
      <c r="J351" s="36"/>
      <c r="K351" s="51">
        <v>45937</v>
      </c>
      <c r="L351" s="38">
        <f t="shared" si="32"/>
        <v>46119</v>
      </c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ht="15.75" customHeight="1" x14ac:dyDescent="0.25">
      <c r="A352" s="7"/>
      <c r="B352" s="68">
        <v>100012271</v>
      </c>
      <c r="C352" s="59" t="s">
        <v>433</v>
      </c>
      <c r="D352" s="58" t="s">
        <v>434</v>
      </c>
      <c r="E352" s="66">
        <v>906.5</v>
      </c>
      <c r="F352" s="47">
        <v>899</v>
      </c>
      <c r="G352" s="47">
        <v>757.9</v>
      </c>
      <c r="H352" s="34">
        <f t="shared" si="30"/>
        <v>854.4666666666667</v>
      </c>
      <c r="I352" s="42">
        <f t="shared" si="33"/>
        <v>0.19606808286053568</v>
      </c>
      <c r="J352" s="36">
        <f t="shared" ref="J352:J356" si="36">IF(ISERROR(MAX(E352:G352)/H352-1),"",(MAX(E352:G352)/H352-1))</f>
        <v>6.0895685417804435E-2</v>
      </c>
      <c r="K352" s="51">
        <v>45937</v>
      </c>
      <c r="L352" s="43">
        <f t="shared" si="32"/>
        <v>46119</v>
      </c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ht="15.75" customHeight="1" x14ac:dyDescent="0.25">
      <c r="A353" s="7"/>
      <c r="B353" s="56">
        <v>100012916</v>
      </c>
      <c r="C353" s="59" t="s">
        <v>435</v>
      </c>
      <c r="D353" s="58" t="s">
        <v>436</v>
      </c>
      <c r="E353" s="66">
        <v>312.89999999999998</v>
      </c>
      <c r="F353" s="47">
        <v>299</v>
      </c>
      <c r="G353" s="47">
        <v>268.32</v>
      </c>
      <c r="H353" s="34">
        <f t="shared" si="30"/>
        <v>293.40666666666669</v>
      </c>
      <c r="I353" s="42">
        <f t="shared" si="33"/>
        <v>0.16614490161001783</v>
      </c>
      <c r="J353" s="36">
        <f t="shared" si="36"/>
        <v>6.6437935970552697E-2</v>
      </c>
      <c r="K353" s="51">
        <v>45938</v>
      </c>
      <c r="L353" s="43">
        <f t="shared" si="32"/>
        <v>46120</v>
      </c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ht="15.75" customHeight="1" x14ac:dyDescent="0.25">
      <c r="A354" s="7"/>
      <c r="B354" s="56">
        <v>100013053</v>
      </c>
      <c r="C354" s="59" t="s">
        <v>437</v>
      </c>
      <c r="D354" s="58"/>
      <c r="E354" s="66">
        <v>2540</v>
      </c>
      <c r="F354" s="47">
        <v>2280</v>
      </c>
      <c r="G354" s="47">
        <v>2094.9</v>
      </c>
      <c r="H354" s="34">
        <f t="shared" si="30"/>
        <v>2304.9666666666667</v>
      </c>
      <c r="I354" s="42">
        <f t="shared" si="33"/>
        <v>0.21246837557878662</v>
      </c>
      <c r="J354" s="36">
        <f t="shared" si="36"/>
        <v>0.10196821356780283</v>
      </c>
      <c r="K354" s="51">
        <v>45938</v>
      </c>
      <c r="L354" s="43">
        <f t="shared" si="32"/>
        <v>46120</v>
      </c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ht="15.75" customHeight="1" x14ac:dyDescent="0.25">
      <c r="A355" s="7"/>
      <c r="B355" s="56">
        <v>100012830</v>
      </c>
      <c r="C355" s="59" t="s">
        <v>438</v>
      </c>
      <c r="D355" s="58"/>
      <c r="E355" s="66">
        <v>1965.52</v>
      </c>
      <c r="F355" s="47">
        <v>2054</v>
      </c>
      <c r="G355" s="47">
        <v>2054</v>
      </c>
      <c r="H355" s="34">
        <f t="shared" si="30"/>
        <v>2024.5066666666669</v>
      </c>
      <c r="I355" s="42">
        <f t="shared" si="33"/>
        <v>4.5016077170418001E-2</v>
      </c>
      <c r="J355" s="36">
        <f t="shared" si="36"/>
        <v>1.4568158168574374E-2</v>
      </c>
      <c r="K355" s="51">
        <v>45938</v>
      </c>
      <c r="L355" s="43">
        <f t="shared" si="32"/>
        <v>46120</v>
      </c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ht="15.75" customHeight="1" x14ac:dyDescent="0.25">
      <c r="A356" s="7"/>
      <c r="B356" s="56">
        <v>100012748</v>
      </c>
      <c r="C356" s="59" t="s">
        <v>439</v>
      </c>
      <c r="D356" s="58"/>
      <c r="E356" s="66">
        <v>699</v>
      </c>
      <c r="F356" s="47">
        <v>834.9</v>
      </c>
      <c r="G356" s="47">
        <v>869.9</v>
      </c>
      <c r="H356" s="34">
        <f t="shared" si="30"/>
        <v>801.26666666666677</v>
      </c>
      <c r="I356" s="42">
        <f t="shared" si="33"/>
        <v>0.24449213161659511</v>
      </c>
      <c r="J356" s="36">
        <f t="shared" si="36"/>
        <v>8.5656044596056136E-2</v>
      </c>
      <c r="K356" s="51">
        <v>45938</v>
      </c>
      <c r="L356" s="43">
        <f t="shared" si="32"/>
        <v>46120</v>
      </c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ht="15.75" customHeight="1" x14ac:dyDescent="0.25">
      <c r="A357" s="7"/>
      <c r="B357" s="56">
        <v>100010013</v>
      </c>
      <c r="C357" s="59" t="s">
        <v>440</v>
      </c>
      <c r="D357" s="58"/>
      <c r="E357" s="66">
        <v>249.9</v>
      </c>
      <c r="F357" s="47">
        <v>249.9</v>
      </c>
      <c r="G357" s="47">
        <v>249.9</v>
      </c>
      <c r="H357" s="34">
        <f t="shared" si="30"/>
        <v>249.9</v>
      </c>
      <c r="I357" s="42">
        <f t="shared" si="33"/>
        <v>0</v>
      </c>
      <c r="J357" s="36"/>
      <c r="K357" s="51">
        <v>45938</v>
      </c>
      <c r="L357" s="38">
        <f t="shared" si="32"/>
        <v>46120</v>
      </c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ht="15.75" customHeight="1" x14ac:dyDescent="0.25">
      <c r="A358" s="7"/>
      <c r="B358" s="56">
        <v>100010036</v>
      </c>
      <c r="C358" s="59" t="s">
        <v>441</v>
      </c>
      <c r="D358" s="58"/>
      <c r="E358" s="66">
        <v>67.650000000000006</v>
      </c>
      <c r="F358" s="47">
        <v>75.989999999999995</v>
      </c>
      <c r="G358" s="47">
        <v>59.5</v>
      </c>
      <c r="H358" s="34">
        <f t="shared" si="30"/>
        <v>67.713333333333324</v>
      </c>
      <c r="I358" s="42">
        <f t="shared" si="33"/>
        <v>0.27714285714285714</v>
      </c>
      <c r="J358" s="36"/>
      <c r="K358" s="51"/>
      <c r="L358" s="38">
        <f t="shared" si="32"/>
        <v>182</v>
      </c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ht="15.75" customHeight="1" x14ac:dyDescent="0.25">
      <c r="A359" s="7"/>
      <c r="B359" s="56">
        <v>100012778</v>
      </c>
      <c r="C359" s="59" t="s">
        <v>442</v>
      </c>
      <c r="D359" s="58"/>
      <c r="E359" s="66">
        <v>1419</v>
      </c>
      <c r="F359" s="47">
        <v>1111.67</v>
      </c>
      <c r="G359" s="47">
        <v>1350</v>
      </c>
      <c r="H359" s="34">
        <f t="shared" si="30"/>
        <v>1293.5566666666666</v>
      </c>
      <c r="I359" s="42">
        <f t="shared" si="33"/>
        <v>0.27645794165534721</v>
      </c>
      <c r="J359" s="36"/>
      <c r="K359" s="51">
        <v>45938</v>
      </c>
      <c r="L359" s="38">
        <f t="shared" si="32"/>
        <v>46120</v>
      </c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ht="15.75" customHeight="1" x14ac:dyDescent="0.25">
      <c r="A360" s="7"/>
      <c r="B360" s="56">
        <v>100010140</v>
      </c>
      <c r="C360" s="59" t="s">
        <v>443</v>
      </c>
      <c r="D360" s="58"/>
      <c r="E360" s="82">
        <v>1146.8499999999999</v>
      </c>
      <c r="F360" s="50">
        <v>1177.99</v>
      </c>
      <c r="G360" s="50">
        <v>1146.8499999999999</v>
      </c>
      <c r="H360" s="34">
        <f t="shared" si="30"/>
        <v>1157.23</v>
      </c>
      <c r="I360" s="42">
        <f t="shared" si="33"/>
        <v>2.7152635479792631E-2</v>
      </c>
      <c r="J360" s="36">
        <f t="shared" ref="J360:J362" si="37">IF(ISERROR(MAX(E360:G360)/H360-1),"",(MAX(E360:G360)/H360-1))</f>
        <v>1.7939389749660917E-2</v>
      </c>
      <c r="K360" s="51"/>
      <c r="L360" s="43">
        <f t="shared" si="32"/>
        <v>182</v>
      </c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ht="15.75" customHeight="1" x14ac:dyDescent="0.25">
      <c r="A361" s="7"/>
      <c r="B361" s="56">
        <v>100012778</v>
      </c>
      <c r="C361" s="59" t="s">
        <v>444</v>
      </c>
      <c r="D361" s="58"/>
      <c r="E361" s="82">
        <v>3866</v>
      </c>
      <c r="F361" s="50">
        <v>3648</v>
      </c>
      <c r="G361" s="50">
        <v>4114.07</v>
      </c>
      <c r="H361" s="34">
        <f t="shared" si="30"/>
        <v>3876.0233333333331</v>
      </c>
      <c r="I361" s="42">
        <f t="shared" si="33"/>
        <v>0.1277604166666666</v>
      </c>
      <c r="J361" s="36">
        <f t="shared" si="37"/>
        <v>6.1415178959191019E-2</v>
      </c>
      <c r="K361" s="51">
        <v>45938</v>
      </c>
      <c r="L361" s="43">
        <f t="shared" si="32"/>
        <v>46120</v>
      </c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ht="15.75" customHeight="1" x14ac:dyDescent="0.25">
      <c r="A362" s="7"/>
      <c r="B362" s="56">
        <v>100012289</v>
      </c>
      <c r="C362" s="59" t="s">
        <v>445</v>
      </c>
      <c r="D362" s="58"/>
      <c r="E362" s="82">
        <v>36068.44</v>
      </c>
      <c r="F362" s="106">
        <v>39500</v>
      </c>
      <c r="G362" s="106">
        <v>31022.720000000001</v>
      </c>
      <c r="H362" s="34">
        <f t="shared" si="30"/>
        <v>35530.386666666665</v>
      </c>
      <c r="I362" s="42">
        <f t="shared" si="33"/>
        <v>0.27326037175334728</v>
      </c>
      <c r="J362" s="36">
        <f t="shared" si="37"/>
        <v>0.11172446195350538</v>
      </c>
      <c r="K362" s="51">
        <v>45938</v>
      </c>
      <c r="L362" s="43">
        <f t="shared" si="32"/>
        <v>46120</v>
      </c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ht="15.75" customHeight="1" x14ac:dyDescent="0.25">
      <c r="A363" s="7"/>
      <c r="B363" s="56">
        <v>100012415</v>
      </c>
      <c r="C363" s="59" t="s">
        <v>446</v>
      </c>
      <c r="D363" s="58"/>
      <c r="E363" s="66">
        <v>14989</v>
      </c>
      <c r="F363" s="47">
        <v>14089.9</v>
      </c>
      <c r="G363" s="47">
        <v>13954.44</v>
      </c>
      <c r="H363" s="34">
        <f t="shared" si="30"/>
        <v>14344.446666666669</v>
      </c>
      <c r="I363" s="42">
        <f t="shared" si="33"/>
        <v>7.4138410427075474E-2</v>
      </c>
      <c r="J363" s="36"/>
      <c r="K363" s="51">
        <v>45938</v>
      </c>
      <c r="L363" s="38">
        <f t="shared" si="32"/>
        <v>46120</v>
      </c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ht="15.75" customHeight="1" x14ac:dyDescent="0.25">
      <c r="A364" s="7"/>
      <c r="B364" s="56">
        <v>100012464</v>
      </c>
      <c r="C364" s="59" t="s">
        <v>447</v>
      </c>
      <c r="D364" s="58"/>
      <c r="E364" s="66">
        <v>3090</v>
      </c>
      <c r="F364" s="47">
        <v>3459.26</v>
      </c>
      <c r="G364" s="47">
        <v>3457.96</v>
      </c>
      <c r="H364" s="34">
        <f t="shared" si="30"/>
        <v>3335.7400000000002</v>
      </c>
      <c r="I364" s="42">
        <f t="shared" si="33"/>
        <v>0.11950161812297733</v>
      </c>
      <c r="J364" s="36"/>
      <c r="K364" s="51">
        <v>45938</v>
      </c>
      <c r="L364" s="38">
        <f t="shared" si="32"/>
        <v>46120</v>
      </c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ht="15.75" customHeight="1" x14ac:dyDescent="0.25">
      <c r="A365" s="7"/>
      <c r="B365" s="56">
        <v>100010684</v>
      </c>
      <c r="C365" s="59" t="s">
        <v>448</v>
      </c>
      <c r="D365" s="58"/>
      <c r="E365" s="66">
        <v>95.64</v>
      </c>
      <c r="F365" s="47">
        <v>87.89</v>
      </c>
      <c r="G365" s="47">
        <v>79.900000000000006</v>
      </c>
      <c r="H365" s="34">
        <f t="shared" si="30"/>
        <v>87.81</v>
      </c>
      <c r="I365" s="42">
        <f t="shared" si="33"/>
        <v>0.19699624530663318</v>
      </c>
      <c r="J365" s="36"/>
      <c r="K365" s="51">
        <v>45938</v>
      </c>
      <c r="L365" s="38">
        <f t="shared" si="32"/>
        <v>46120</v>
      </c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ht="15.75" customHeight="1" x14ac:dyDescent="0.25">
      <c r="A366" s="7"/>
      <c r="B366" s="56">
        <v>100012618</v>
      </c>
      <c r="C366" s="59" t="s">
        <v>449</v>
      </c>
      <c r="D366" s="58"/>
      <c r="E366" s="66">
        <v>19350</v>
      </c>
      <c r="F366" s="47">
        <v>17582.2</v>
      </c>
      <c r="G366" s="47">
        <v>17848</v>
      </c>
      <c r="H366" s="34">
        <f t="shared" si="30"/>
        <v>18260.066666666666</v>
      </c>
      <c r="I366" s="42">
        <f t="shared" si="33"/>
        <v>0.10054486924275685</v>
      </c>
      <c r="J366" s="36"/>
      <c r="K366" s="51">
        <v>45938</v>
      </c>
      <c r="L366" s="38">
        <f t="shared" si="32"/>
        <v>46120</v>
      </c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ht="20.25" customHeight="1" x14ac:dyDescent="0.25">
      <c r="A367" s="7"/>
      <c r="B367" s="56">
        <v>100013052</v>
      </c>
      <c r="C367" s="59" t="s">
        <v>450</v>
      </c>
      <c r="D367" s="58"/>
      <c r="E367" s="66">
        <v>5790.01</v>
      </c>
      <c r="F367" s="47">
        <v>5790</v>
      </c>
      <c r="G367" s="47">
        <v>5174.1000000000004</v>
      </c>
      <c r="H367" s="34">
        <f t="shared" si="30"/>
        <v>5584.7033333333338</v>
      </c>
      <c r="I367" s="42">
        <f t="shared" si="33"/>
        <v>0.11903712722985627</v>
      </c>
      <c r="J367" s="36"/>
      <c r="K367" s="51">
        <v>45938</v>
      </c>
      <c r="L367" s="38">
        <f t="shared" si="32"/>
        <v>46120</v>
      </c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ht="15.75" customHeight="1" x14ac:dyDescent="0.25">
      <c r="A368" s="7"/>
      <c r="B368" s="56">
        <v>100012468</v>
      </c>
      <c r="C368" s="59" t="s">
        <v>451</v>
      </c>
      <c r="D368" s="58"/>
      <c r="E368" s="82">
        <v>5830.69</v>
      </c>
      <c r="F368" s="106">
        <v>6444.33</v>
      </c>
      <c r="G368" s="106">
        <v>6273.76</v>
      </c>
      <c r="H368" s="34">
        <f t="shared" si="30"/>
        <v>6182.9266666666663</v>
      </c>
      <c r="I368" s="42">
        <f t="shared" si="33"/>
        <v>0.10524311873894865</v>
      </c>
      <c r="J368" s="36">
        <f>IF(ISERROR(MAX(E368:G368)/H368-1),"",(MAX(E368:G368)/H368-1))</f>
        <v>4.2278252262412996E-2</v>
      </c>
      <c r="K368" s="51">
        <v>45938</v>
      </c>
      <c r="L368" s="43">
        <f t="shared" si="32"/>
        <v>46120</v>
      </c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ht="15.75" customHeight="1" x14ac:dyDescent="0.25">
      <c r="A369" s="7"/>
      <c r="B369" s="85">
        <v>100010069</v>
      </c>
      <c r="C369" s="86" t="s">
        <v>615</v>
      </c>
      <c r="D369" s="87"/>
      <c r="E369" s="100"/>
      <c r="F369" s="98"/>
      <c r="G369" s="98"/>
      <c r="H369" s="90">
        <f t="shared" si="30"/>
        <v>0</v>
      </c>
      <c r="I369" s="91" t="str">
        <f t="shared" si="33"/>
        <v/>
      </c>
      <c r="J369" s="92"/>
      <c r="K369" s="93">
        <v>45938</v>
      </c>
      <c r="L369" s="95">
        <f t="shared" si="32"/>
        <v>46120</v>
      </c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ht="15.75" customHeight="1" x14ac:dyDescent="0.25">
      <c r="A370" s="7"/>
      <c r="B370" s="56">
        <v>100010140</v>
      </c>
      <c r="C370" s="59" t="s">
        <v>452</v>
      </c>
      <c r="D370" s="58"/>
      <c r="E370" s="82">
        <v>1044.42</v>
      </c>
      <c r="F370" s="50">
        <v>1083.04</v>
      </c>
      <c r="G370" s="50">
        <v>1159.78</v>
      </c>
      <c r="H370" s="34">
        <f t="shared" si="30"/>
        <v>1095.7466666666667</v>
      </c>
      <c r="I370" s="42">
        <f t="shared" si="33"/>
        <v>0.11045364891518727</v>
      </c>
      <c r="J370" s="36">
        <f t="shared" ref="J370:J371" si="38">IF(ISERROR(MAX(E370:G370)/H370-1),"",(MAX(E370:G370)/H370-1))</f>
        <v>5.8438081795062047E-2</v>
      </c>
      <c r="K370" s="51">
        <v>45938</v>
      </c>
      <c r="L370" s="43">
        <f t="shared" si="32"/>
        <v>46120</v>
      </c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ht="15.75" customHeight="1" x14ac:dyDescent="0.25">
      <c r="A371" s="7"/>
      <c r="B371" s="56">
        <v>100012616</v>
      </c>
      <c r="C371" s="59" t="s">
        <v>453</v>
      </c>
      <c r="D371" s="58"/>
      <c r="E371" s="82">
        <v>7257.59</v>
      </c>
      <c r="F371" s="50">
        <v>7590</v>
      </c>
      <c r="G371" s="50">
        <v>6499.99</v>
      </c>
      <c r="H371" s="34">
        <f t="shared" si="30"/>
        <v>7115.8600000000006</v>
      </c>
      <c r="I371" s="42">
        <f t="shared" si="33"/>
        <v>0.1676941041447757</v>
      </c>
      <c r="J371" s="36">
        <f t="shared" si="38"/>
        <v>6.6631440191347036E-2</v>
      </c>
      <c r="K371" s="51">
        <v>45938</v>
      </c>
      <c r="L371" s="43">
        <f t="shared" si="32"/>
        <v>46120</v>
      </c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ht="15.75" customHeight="1" x14ac:dyDescent="0.25">
      <c r="A372" s="7"/>
      <c r="B372" s="56">
        <v>100010069</v>
      </c>
      <c r="C372" s="59" t="s">
        <v>454</v>
      </c>
      <c r="D372" s="58"/>
      <c r="E372" s="66">
        <v>393.33</v>
      </c>
      <c r="F372" s="47">
        <v>339.9</v>
      </c>
      <c r="G372" s="47">
        <v>318.89999999999998</v>
      </c>
      <c r="H372" s="34">
        <f t="shared" si="30"/>
        <v>350.71000000000004</v>
      </c>
      <c r="I372" s="42">
        <f t="shared" si="33"/>
        <v>0.23339604891815613</v>
      </c>
      <c r="J372" s="36"/>
      <c r="K372" s="51">
        <v>45938</v>
      </c>
      <c r="L372" s="38">
        <f t="shared" si="32"/>
        <v>46120</v>
      </c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ht="15.75" customHeight="1" x14ac:dyDescent="0.25">
      <c r="A373" s="7"/>
      <c r="B373" s="56">
        <v>100012417</v>
      </c>
      <c r="C373" s="59" t="s">
        <v>455</v>
      </c>
      <c r="D373" s="58"/>
      <c r="E373" s="82">
        <v>13999</v>
      </c>
      <c r="F373" s="50">
        <v>12498</v>
      </c>
      <c r="G373" s="50">
        <v>11868.27</v>
      </c>
      <c r="H373" s="34">
        <f t="shared" si="30"/>
        <v>12788.423333333334</v>
      </c>
      <c r="I373" s="42">
        <f t="shared" si="33"/>
        <v>0.17953164193264892</v>
      </c>
      <c r="J373" s="36"/>
      <c r="K373" s="51">
        <v>45938</v>
      </c>
      <c r="L373" s="38">
        <f t="shared" si="32"/>
        <v>46120</v>
      </c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ht="15.75" customHeight="1" x14ac:dyDescent="0.25">
      <c r="A374" s="7"/>
      <c r="B374" s="56">
        <v>100010140</v>
      </c>
      <c r="C374" s="59" t="s">
        <v>456</v>
      </c>
      <c r="D374" s="58"/>
      <c r="E374" s="66">
        <v>1109.99</v>
      </c>
      <c r="F374" s="47">
        <v>1109.99</v>
      </c>
      <c r="G374" s="47">
        <v>1119.9000000000001</v>
      </c>
      <c r="H374" s="34">
        <f t="shared" si="30"/>
        <v>1113.2933333333333</v>
      </c>
      <c r="I374" s="42">
        <f t="shared" si="33"/>
        <v>8.9280083604357241E-3</v>
      </c>
      <c r="J374" s="36"/>
      <c r="K374" s="51">
        <v>45938</v>
      </c>
      <c r="L374" s="38">
        <f t="shared" si="32"/>
        <v>46120</v>
      </c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ht="15.75" customHeight="1" x14ac:dyDescent="0.25">
      <c r="A375" s="7"/>
      <c r="B375" s="56">
        <v>100010734</v>
      </c>
      <c r="C375" s="59" t="s">
        <v>457</v>
      </c>
      <c r="D375" s="58"/>
      <c r="E375" s="66">
        <v>650.07000000000005</v>
      </c>
      <c r="F375" s="47">
        <v>655.5</v>
      </c>
      <c r="G375" s="47">
        <v>990</v>
      </c>
      <c r="H375" s="34">
        <f t="shared" si="30"/>
        <v>765.19</v>
      </c>
      <c r="I375" s="42">
        <f t="shared" si="33"/>
        <v>0.52291291707046916</v>
      </c>
      <c r="J375" s="36"/>
      <c r="K375" s="51">
        <v>45938</v>
      </c>
      <c r="L375" s="38">
        <f t="shared" si="32"/>
        <v>46120</v>
      </c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ht="15.75" customHeight="1" x14ac:dyDescent="0.25">
      <c r="A376" s="7"/>
      <c r="B376" s="85"/>
      <c r="C376" s="86"/>
      <c r="D376" s="87"/>
      <c r="E376" s="88">
        <v>1199.9000000000001</v>
      </c>
      <c r="F376" s="89">
        <v>1042.23</v>
      </c>
      <c r="G376" s="89">
        <v>990</v>
      </c>
      <c r="H376" s="90">
        <f t="shared" si="30"/>
        <v>1077.3766666666668</v>
      </c>
      <c r="I376" s="91">
        <f t="shared" si="33"/>
        <v>0.21202020202020222</v>
      </c>
      <c r="J376" s="92">
        <f t="shared" ref="J376:J396" si="39">IF(ISERROR(MAX(E376:G376)/H376-1),"",(MAX(E376:G376)/H376-1))</f>
        <v>0.11372376729896372</v>
      </c>
      <c r="K376" s="93">
        <v>45938</v>
      </c>
      <c r="L376" s="94">
        <f t="shared" si="32"/>
        <v>46120</v>
      </c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ht="15.75" customHeight="1" x14ac:dyDescent="0.25">
      <c r="A377" s="7"/>
      <c r="B377" s="68">
        <v>100012465</v>
      </c>
      <c r="C377" s="59" t="s">
        <v>458</v>
      </c>
      <c r="D377" s="58" t="s">
        <v>459</v>
      </c>
      <c r="E377" s="82">
        <v>299</v>
      </c>
      <c r="F377" s="50">
        <v>354.44</v>
      </c>
      <c r="G377" s="50">
        <v>387.5</v>
      </c>
      <c r="H377" s="34">
        <f t="shared" si="30"/>
        <v>346.98</v>
      </c>
      <c r="I377" s="42">
        <f t="shared" si="33"/>
        <v>0.29598662207357851</v>
      </c>
      <c r="J377" s="36">
        <f t="shared" si="39"/>
        <v>0.11677906507579672</v>
      </c>
      <c r="K377" s="51">
        <v>45938</v>
      </c>
      <c r="L377" s="43">
        <f t="shared" si="32"/>
        <v>46120</v>
      </c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ht="15.75" customHeight="1" x14ac:dyDescent="0.25">
      <c r="A378" s="7"/>
      <c r="B378" s="68">
        <v>100012465</v>
      </c>
      <c r="C378" s="59" t="s">
        <v>458</v>
      </c>
      <c r="D378" s="58" t="s">
        <v>460</v>
      </c>
      <c r="E378" s="82">
        <v>629</v>
      </c>
      <c r="F378" s="50">
        <v>556.9</v>
      </c>
      <c r="G378" s="50">
        <v>627.49</v>
      </c>
      <c r="H378" s="34">
        <f t="shared" si="30"/>
        <v>604.46333333333337</v>
      </c>
      <c r="I378" s="42">
        <f t="shared" si="33"/>
        <v>0.12946669060872695</v>
      </c>
      <c r="J378" s="36">
        <f t="shared" si="39"/>
        <v>4.0592481484953646E-2</v>
      </c>
      <c r="K378" s="51">
        <v>45938</v>
      </c>
      <c r="L378" s="43">
        <f t="shared" si="32"/>
        <v>46120</v>
      </c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ht="15.75" customHeight="1" x14ac:dyDescent="0.25">
      <c r="A379" s="7"/>
      <c r="B379" s="68">
        <v>100012465</v>
      </c>
      <c r="C379" s="59" t="s">
        <v>458</v>
      </c>
      <c r="D379" s="58" t="s">
        <v>461</v>
      </c>
      <c r="E379" s="82">
        <v>379</v>
      </c>
      <c r="F379" s="50">
        <v>419</v>
      </c>
      <c r="G379" s="50">
        <v>444.43</v>
      </c>
      <c r="H379" s="34">
        <f t="shared" si="30"/>
        <v>414.14333333333337</v>
      </c>
      <c r="I379" s="42">
        <f t="shared" si="33"/>
        <v>0.17263852242744071</v>
      </c>
      <c r="J379" s="36">
        <f t="shared" si="39"/>
        <v>7.3130880612992222E-2</v>
      </c>
      <c r="K379" s="51">
        <v>45938</v>
      </c>
      <c r="L379" s="43">
        <f t="shared" si="32"/>
        <v>46120</v>
      </c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ht="15.75" customHeight="1" x14ac:dyDescent="0.25">
      <c r="A380" s="7"/>
      <c r="B380" s="68">
        <v>100012465</v>
      </c>
      <c r="C380" s="59" t="s">
        <v>458</v>
      </c>
      <c r="D380" s="58" t="s">
        <v>462</v>
      </c>
      <c r="E380" s="82">
        <v>498</v>
      </c>
      <c r="F380" s="50">
        <v>514.42999999999995</v>
      </c>
      <c r="G380" s="50">
        <v>549</v>
      </c>
      <c r="H380" s="34">
        <f t="shared" si="30"/>
        <v>520.47666666666657</v>
      </c>
      <c r="I380" s="42">
        <f t="shared" si="33"/>
        <v>0.10240963855421681</v>
      </c>
      <c r="J380" s="36">
        <f t="shared" si="39"/>
        <v>5.4802328634649289E-2</v>
      </c>
      <c r="K380" s="51">
        <v>45938</v>
      </c>
      <c r="L380" s="43">
        <f t="shared" si="32"/>
        <v>46120</v>
      </c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ht="15.75" customHeight="1" x14ac:dyDescent="0.25">
      <c r="A381" s="7"/>
      <c r="B381" s="68">
        <v>100012465</v>
      </c>
      <c r="C381" s="59" t="s">
        <v>458</v>
      </c>
      <c r="D381" s="58" t="s">
        <v>463</v>
      </c>
      <c r="E381" s="82">
        <v>1084.5</v>
      </c>
      <c r="F381" s="50">
        <v>1035.31</v>
      </c>
      <c r="G381" s="50">
        <v>905.9</v>
      </c>
      <c r="H381" s="34">
        <f t="shared" si="30"/>
        <v>1008.57</v>
      </c>
      <c r="I381" s="42">
        <f t="shared" si="33"/>
        <v>0.19715200353239881</v>
      </c>
      <c r="J381" s="36">
        <f t="shared" si="39"/>
        <v>7.528480918528202E-2</v>
      </c>
      <c r="K381" s="51">
        <v>45938</v>
      </c>
      <c r="L381" s="43">
        <f t="shared" si="32"/>
        <v>46120</v>
      </c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ht="15.75" customHeight="1" x14ac:dyDescent="0.25">
      <c r="A382" s="7"/>
      <c r="B382" s="68">
        <v>100012465</v>
      </c>
      <c r="C382" s="59" t="s">
        <v>458</v>
      </c>
      <c r="D382" s="58" t="s">
        <v>464</v>
      </c>
      <c r="E382" s="66">
        <v>717.32</v>
      </c>
      <c r="F382" s="47">
        <v>599.99</v>
      </c>
      <c r="G382" s="47">
        <v>599.99</v>
      </c>
      <c r="H382" s="34">
        <f t="shared" si="30"/>
        <v>639.1</v>
      </c>
      <c r="I382" s="42">
        <f t="shared" si="33"/>
        <v>0.19555325922098699</v>
      </c>
      <c r="J382" s="36">
        <f t="shared" si="39"/>
        <v>0.12239086214989836</v>
      </c>
      <c r="K382" s="51">
        <v>45938</v>
      </c>
      <c r="L382" s="43">
        <f t="shared" si="32"/>
        <v>46120</v>
      </c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ht="15.75" customHeight="1" x14ac:dyDescent="0.25">
      <c r="A383" s="7"/>
      <c r="B383" s="68">
        <v>100012465</v>
      </c>
      <c r="C383" s="59" t="s">
        <v>458</v>
      </c>
      <c r="D383" s="58" t="s">
        <v>465</v>
      </c>
      <c r="E383" s="66">
        <v>2569.9499999999998</v>
      </c>
      <c r="F383" s="47">
        <v>2293.92</v>
      </c>
      <c r="G383" s="47">
        <v>2179.9899999999998</v>
      </c>
      <c r="H383" s="34">
        <f t="shared" si="30"/>
        <v>2347.9533333333334</v>
      </c>
      <c r="I383" s="42">
        <f t="shared" si="33"/>
        <v>0.17888155450254373</v>
      </c>
      <c r="J383" s="36">
        <f t="shared" si="39"/>
        <v>9.4549011479501122E-2</v>
      </c>
      <c r="K383" s="51">
        <v>45938</v>
      </c>
      <c r="L383" s="43">
        <f t="shared" si="32"/>
        <v>46120</v>
      </c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ht="15.75" customHeight="1" x14ac:dyDescent="0.25">
      <c r="A384" s="7"/>
      <c r="B384" s="68">
        <v>100012465</v>
      </c>
      <c r="C384" s="59" t="s">
        <v>458</v>
      </c>
      <c r="D384" s="58" t="s">
        <v>466</v>
      </c>
      <c r="E384" s="66">
        <v>1207.3900000000001</v>
      </c>
      <c r="F384" s="84">
        <v>1478</v>
      </c>
      <c r="G384" s="47" t="s">
        <v>467</v>
      </c>
      <c r="H384" s="34">
        <f t="shared" si="30"/>
        <v>895.13000000000011</v>
      </c>
      <c r="I384" s="42">
        <f t="shared" si="33"/>
        <v>0.22412807792014178</v>
      </c>
      <c r="J384" s="36">
        <f t="shared" si="39"/>
        <v>0.65115681521119817</v>
      </c>
      <c r="K384" s="51">
        <v>45938</v>
      </c>
      <c r="L384" s="43">
        <f t="shared" si="32"/>
        <v>46120</v>
      </c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ht="15.75" customHeight="1" x14ac:dyDescent="0.25">
      <c r="A385" s="7"/>
      <c r="B385" s="68">
        <v>100012465</v>
      </c>
      <c r="C385" s="59" t="s">
        <v>458</v>
      </c>
      <c r="D385" s="104" t="s">
        <v>468</v>
      </c>
      <c r="E385" s="66">
        <v>2287</v>
      </c>
      <c r="F385" s="47">
        <v>2188.42</v>
      </c>
      <c r="G385" s="47">
        <v>2287</v>
      </c>
      <c r="H385" s="34">
        <f t="shared" si="30"/>
        <v>2254.14</v>
      </c>
      <c r="I385" s="42">
        <f t="shared" si="33"/>
        <v>4.504619771341889E-2</v>
      </c>
      <c r="J385" s="36">
        <f t="shared" si="39"/>
        <v>1.4577621620662562E-2</v>
      </c>
      <c r="K385" s="51">
        <v>45938</v>
      </c>
      <c r="L385" s="43">
        <f t="shared" si="32"/>
        <v>46120</v>
      </c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ht="15.75" customHeight="1" x14ac:dyDescent="0.25">
      <c r="A386" s="7"/>
      <c r="B386" s="68">
        <v>100012465</v>
      </c>
      <c r="C386" s="59" t="s">
        <v>458</v>
      </c>
      <c r="D386" s="58" t="s">
        <v>469</v>
      </c>
      <c r="E386" s="50">
        <v>5959</v>
      </c>
      <c r="F386" s="50">
        <v>4809</v>
      </c>
      <c r="G386" s="50">
        <v>6111</v>
      </c>
      <c r="H386" s="34">
        <f t="shared" si="30"/>
        <v>5626.333333333333</v>
      </c>
      <c r="I386" s="42">
        <f t="shared" si="33"/>
        <v>0.27074235807860259</v>
      </c>
      <c r="J386" s="36">
        <f t="shared" si="39"/>
        <v>8.6142543989572884E-2</v>
      </c>
      <c r="K386" s="51">
        <v>45938</v>
      </c>
      <c r="L386" s="43">
        <f t="shared" si="32"/>
        <v>46120</v>
      </c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ht="15.75" customHeight="1" x14ac:dyDescent="0.25">
      <c r="A387" s="7"/>
      <c r="B387" s="68">
        <v>100012465</v>
      </c>
      <c r="C387" s="59" t="s">
        <v>458</v>
      </c>
      <c r="D387" s="58" t="s">
        <v>470</v>
      </c>
      <c r="E387" s="82">
        <v>5794</v>
      </c>
      <c r="F387" s="50">
        <v>5163.17</v>
      </c>
      <c r="G387" s="50">
        <v>6299</v>
      </c>
      <c r="H387" s="34">
        <f t="shared" si="30"/>
        <v>5752.0566666666664</v>
      </c>
      <c r="I387" s="42">
        <f t="shared" si="33"/>
        <v>0.21998694600410218</v>
      </c>
      <c r="J387" s="36">
        <f t="shared" si="39"/>
        <v>9.5086569035886859E-2</v>
      </c>
      <c r="K387" s="51">
        <v>45939</v>
      </c>
      <c r="L387" s="43">
        <f t="shared" si="32"/>
        <v>46121</v>
      </c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ht="18" customHeight="1" x14ac:dyDescent="0.25">
      <c r="A388" s="7"/>
      <c r="B388" s="56">
        <v>100010206</v>
      </c>
      <c r="C388" s="59" t="s">
        <v>471</v>
      </c>
      <c r="D388" s="58"/>
      <c r="E388" s="82">
        <v>1677.43</v>
      </c>
      <c r="F388" s="50">
        <v>1702.08</v>
      </c>
      <c r="G388" s="50">
        <v>1396</v>
      </c>
      <c r="H388" s="34">
        <f t="shared" si="30"/>
        <v>1591.8366666666668</v>
      </c>
      <c r="I388" s="42">
        <f t="shared" si="33"/>
        <v>0.2192550143266474</v>
      </c>
      <c r="J388" s="36">
        <f t="shared" si="39"/>
        <v>6.9255430310060984E-2</v>
      </c>
      <c r="K388" s="51">
        <v>45939</v>
      </c>
      <c r="L388" s="43">
        <f t="shared" si="32"/>
        <v>46121</v>
      </c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ht="18" customHeight="1" x14ac:dyDescent="0.25">
      <c r="A389" s="7"/>
      <c r="B389" s="56">
        <v>100010149</v>
      </c>
      <c r="C389" s="59" t="s">
        <v>616</v>
      </c>
      <c r="D389" s="58"/>
      <c r="E389" s="82">
        <v>1131.05</v>
      </c>
      <c r="F389" s="50">
        <v>1049</v>
      </c>
      <c r="G389" s="50">
        <v>1111.0899999999999</v>
      </c>
      <c r="H389" s="34">
        <f t="shared" si="30"/>
        <v>1097.0466666666669</v>
      </c>
      <c r="I389" s="42">
        <f t="shared" si="33"/>
        <v>7.8217349857006679E-2</v>
      </c>
      <c r="J389" s="36">
        <f t="shared" si="39"/>
        <v>3.0995339001075317E-2</v>
      </c>
      <c r="K389" s="51">
        <v>45939</v>
      </c>
      <c r="L389" s="43">
        <f t="shared" si="32"/>
        <v>46121</v>
      </c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ht="15.75" customHeight="1" x14ac:dyDescent="0.25">
      <c r="A390" s="7"/>
      <c r="B390" s="56">
        <v>100010219</v>
      </c>
      <c r="C390" s="59" t="s">
        <v>472</v>
      </c>
      <c r="D390" s="58"/>
      <c r="E390" s="82">
        <v>691.15</v>
      </c>
      <c r="F390" s="50">
        <v>657.09</v>
      </c>
      <c r="G390" s="50">
        <v>681.42</v>
      </c>
      <c r="H390" s="34">
        <f t="shared" si="30"/>
        <v>676.55333333333328</v>
      </c>
      <c r="I390" s="42">
        <f t="shared" si="33"/>
        <v>5.1834604087720004E-2</v>
      </c>
      <c r="J390" s="36">
        <f t="shared" si="39"/>
        <v>2.1575042125282051E-2</v>
      </c>
      <c r="K390" s="51">
        <v>45939</v>
      </c>
      <c r="L390" s="43">
        <f t="shared" si="32"/>
        <v>46121</v>
      </c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ht="15.75" customHeight="1" x14ac:dyDescent="0.25">
      <c r="A391" s="7"/>
      <c r="B391" s="56">
        <v>100010219</v>
      </c>
      <c r="C391" s="59" t="s">
        <v>473</v>
      </c>
      <c r="D391" s="58"/>
      <c r="E391" s="82">
        <v>1289</v>
      </c>
      <c r="F391" s="50">
        <v>1483.9</v>
      </c>
      <c r="G391" s="50">
        <v>1349</v>
      </c>
      <c r="H391" s="34">
        <f t="shared" si="30"/>
        <v>1373.9666666666665</v>
      </c>
      <c r="I391" s="42">
        <f t="shared" si="33"/>
        <v>0.15120248254460833</v>
      </c>
      <c r="J391" s="36">
        <f t="shared" si="39"/>
        <v>8.0011645115116936E-2</v>
      </c>
      <c r="K391" s="51">
        <v>45939</v>
      </c>
      <c r="L391" s="43">
        <f t="shared" si="32"/>
        <v>46121</v>
      </c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ht="15.75" customHeight="1" x14ac:dyDescent="0.25">
      <c r="A392" s="7"/>
      <c r="B392" s="56">
        <v>100010219</v>
      </c>
      <c r="C392" s="59" t="s">
        <v>474</v>
      </c>
      <c r="D392" s="58"/>
      <c r="E392" s="66">
        <v>1318.9</v>
      </c>
      <c r="F392" s="47">
        <v>1199</v>
      </c>
      <c r="G392" s="47">
        <v>1248</v>
      </c>
      <c r="H392" s="34">
        <f t="shared" si="30"/>
        <v>1255.3</v>
      </c>
      <c r="I392" s="42">
        <f t="shared" si="33"/>
        <v>0.10000000000000009</v>
      </c>
      <c r="J392" s="36">
        <f t="shared" si="39"/>
        <v>5.0665179638333502E-2</v>
      </c>
      <c r="K392" s="51">
        <v>45939</v>
      </c>
      <c r="L392" s="43">
        <f t="shared" si="32"/>
        <v>46121</v>
      </c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ht="18" customHeight="1" x14ac:dyDescent="0.25">
      <c r="A393" s="7"/>
      <c r="B393" s="56">
        <v>100010773</v>
      </c>
      <c r="C393" s="59" t="s">
        <v>475</v>
      </c>
      <c r="D393" s="58" t="s">
        <v>476</v>
      </c>
      <c r="E393" s="66">
        <v>739</v>
      </c>
      <c r="F393" s="47">
        <v>739</v>
      </c>
      <c r="G393" s="47">
        <v>641</v>
      </c>
      <c r="H393" s="34">
        <f t="shared" si="30"/>
        <v>706.33333333333337</v>
      </c>
      <c r="I393" s="42">
        <f t="shared" si="33"/>
        <v>0.15288611544461772</v>
      </c>
      <c r="J393" s="36">
        <f t="shared" si="39"/>
        <v>4.6248230297309956E-2</v>
      </c>
      <c r="K393" s="83">
        <v>45939</v>
      </c>
      <c r="L393" s="43">
        <f t="shared" si="32"/>
        <v>46121</v>
      </c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ht="15.75" customHeight="1" x14ac:dyDescent="0.25">
      <c r="A394" s="7"/>
      <c r="B394" s="56">
        <v>100010773</v>
      </c>
      <c r="C394" s="59" t="s">
        <v>477</v>
      </c>
      <c r="D394" s="58" t="s">
        <v>478</v>
      </c>
      <c r="E394" s="82">
        <v>8636.9599999999991</v>
      </c>
      <c r="F394" s="50">
        <v>7790.25</v>
      </c>
      <c r="G394" s="50">
        <v>10199</v>
      </c>
      <c r="H394" s="34">
        <f t="shared" si="30"/>
        <v>8875.4033333333336</v>
      </c>
      <c r="I394" s="42">
        <f t="shared" si="33"/>
        <v>0.30920060331825039</v>
      </c>
      <c r="J394" s="36">
        <f t="shared" si="39"/>
        <v>0.14913087517900592</v>
      </c>
      <c r="K394" s="51">
        <v>45939</v>
      </c>
      <c r="L394" s="43">
        <f t="shared" si="32"/>
        <v>46121</v>
      </c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ht="15.75" customHeight="1" x14ac:dyDescent="0.25">
      <c r="A395" s="7"/>
      <c r="B395" s="56">
        <v>100012262</v>
      </c>
      <c r="C395" s="59" t="s">
        <v>479</v>
      </c>
      <c r="D395" s="58"/>
      <c r="E395" s="66">
        <v>1199.9000000000001</v>
      </c>
      <c r="F395" s="47">
        <v>1199.9000000000001</v>
      </c>
      <c r="G395" s="47">
        <v>999</v>
      </c>
      <c r="H395" s="34">
        <f t="shared" si="30"/>
        <v>1132.9333333333334</v>
      </c>
      <c r="I395" s="42">
        <f t="shared" si="33"/>
        <v>0.20110110110110124</v>
      </c>
      <c r="J395" s="36">
        <f t="shared" si="39"/>
        <v>5.9109097328468918E-2</v>
      </c>
      <c r="K395" s="51">
        <v>45939</v>
      </c>
      <c r="L395" s="43">
        <f t="shared" si="32"/>
        <v>46121</v>
      </c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ht="15.75" customHeight="1" x14ac:dyDescent="0.25">
      <c r="A396" s="7"/>
      <c r="B396" s="56">
        <v>100012474</v>
      </c>
      <c r="C396" s="107" t="s">
        <v>480</v>
      </c>
      <c r="D396" s="58"/>
      <c r="E396" s="82">
        <v>4600</v>
      </c>
      <c r="F396" s="50">
        <v>4390</v>
      </c>
      <c r="G396" s="50">
        <v>5313.79</v>
      </c>
      <c r="H396" s="34">
        <f t="shared" si="30"/>
        <v>4767.93</v>
      </c>
      <c r="I396" s="42">
        <f t="shared" si="33"/>
        <v>0.21043052391799533</v>
      </c>
      <c r="J396" s="36">
        <f t="shared" si="39"/>
        <v>0.11448574119167021</v>
      </c>
      <c r="K396" s="51">
        <v>45939</v>
      </c>
      <c r="L396" s="43">
        <f t="shared" si="32"/>
        <v>46121</v>
      </c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ht="23.25" customHeight="1" x14ac:dyDescent="0.25">
      <c r="A397" s="7"/>
      <c r="B397" s="56">
        <v>100012005</v>
      </c>
      <c r="C397" s="59" t="s">
        <v>481</v>
      </c>
      <c r="D397" s="58"/>
      <c r="E397" s="66">
        <v>499</v>
      </c>
      <c r="F397" s="47">
        <v>565.79999999999995</v>
      </c>
      <c r="G397" s="47">
        <v>499</v>
      </c>
      <c r="H397" s="34">
        <f t="shared" si="30"/>
        <v>521.26666666666665</v>
      </c>
      <c r="I397" s="42">
        <f t="shared" si="33"/>
        <v>0.13386773547094188</v>
      </c>
      <c r="J397" s="36"/>
      <c r="K397" s="51">
        <v>45939</v>
      </c>
      <c r="L397" s="38">
        <f t="shared" si="32"/>
        <v>46121</v>
      </c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ht="20.25" customHeight="1" x14ac:dyDescent="0.25">
      <c r="A398" s="7"/>
      <c r="B398" s="56">
        <v>100012245</v>
      </c>
      <c r="C398" s="59" t="s">
        <v>482</v>
      </c>
      <c r="D398" s="58"/>
      <c r="E398" s="66">
        <v>251.44</v>
      </c>
      <c r="F398" s="47">
        <v>233.21</v>
      </c>
      <c r="G398" s="47">
        <v>248.64</v>
      </c>
      <c r="H398" s="34">
        <f t="shared" si="30"/>
        <v>244.42999999999998</v>
      </c>
      <c r="I398" s="42">
        <f t="shared" si="33"/>
        <v>7.816988979889361E-2</v>
      </c>
      <c r="J398" s="36"/>
      <c r="K398" s="51">
        <v>45939</v>
      </c>
      <c r="L398" s="38">
        <f t="shared" si="32"/>
        <v>46121</v>
      </c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ht="15.75" customHeight="1" x14ac:dyDescent="0.25">
      <c r="A399" s="7"/>
      <c r="B399" s="56">
        <v>100010146</v>
      </c>
      <c r="C399" s="59" t="s">
        <v>483</v>
      </c>
      <c r="D399" s="58"/>
      <c r="E399" s="66">
        <v>497.94</v>
      </c>
      <c r="F399" s="47">
        <v>497.94</v>
      </c>
      <c r="G399" s="47">
        <v>497.94</v>
      </c>
      <c r="H399" s="34">
        <f t="shared" si="30"/>
        <v>497.94</v>
      </c>
      <c r="I399" s="42">
        <f t="shared" si="33"/>
        <v>0</v>
      </c>
      <c r="J399" s="36">
        <f t="shared" ref="J399:J423" si="40">IF(ISERROR(MAX(E399:G399)/H399-1),"",(MAX(E399:G399)/H399-1))</f>
        <v>0</v>
      </c>
      <c r="K399" s="51">
        <v>45939</v>
      </c>
      <c r="L399" s="43">
        <f t="shared" si="32"/>
        <v>46121</v>
      </c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ht="15.75" customHeight="1" x14ac:dyDescent="0.25">
      <c r="A400" s="7"/>
      <c r="B400" s="56">
        <v>100010146</v>
      </c>
      <c r="C400" s="59" t="s">
        <v>484</v>
      </c>
      <c r="D400" s="58"/>
      <c r="E400" s="66">
        <v>287.77</v>
      </c>
      <c r="F400" s="47">
        <v>336.9</v>
      </c>
      <c r="G400" s="47">
        <v>299</v>
      </c>
      <c r="H400" s="34">
        <f t="shared" si="30"/>
        <v>307.89</v>
      </c>
      <c r="I400" s="42">
        <f t="shared" si="33"/>
        <v>0.17072662195503363</v>
      </c>
      <c r="J400" s="36">
        <f t="shared" si="40"/>
        <v>9.4221962389164915E-2</v>
      </c>
      <c r="K400" s="51">
        <v>45939</v>
      </c>
      <c r="L400" s="43">
        <f t="shared" si="32"/>
        <v>46121</v>
      </c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ht="15.75" customHeight="1" x14ac:dyDescent="0.25">
      <c r="A401" s="7"/>
      <c r="B401" s="56">
        <v>100010146</v>
      </c>
      <c r="C401" s="59" t="s">
        <v>485</v>
      </c>
      <c r="D401" s="58"/>
      <c r="E401" s="66">
        <v>739</v>
      </c>
      <c r="F401" s="47">
        <v>739</v>
      </c>
      <c r="G401" s="47">
        <v>739</v>
      </c>
      <c r="H401" s="34">
        <f t="shared" si="30"/>
        <v>739</v>
      </c>
      <c r="I401" s="42">
        <f t="shared" si="33"/>
        <v>0</v>
      </c>
      <c r="J401" s="36">
        <f t="shared" si="40"/>
        <v>0</v>
      </c>
      <c r="K401" s="51">
        <v>45939</v>
      </c>
      <c r="L401" s="43">
        <f t="shared" si="32"/>
        <v>46121</v>
      </c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ht="15.75" customHeight="1" x14ac:dyDescent="0.25">
      <c r="A402" s="7"/>
      <c r="B402" s="56">
        <v>100012614</v>
      </c>
      <c r="C402" s="59" t="s">
        <v>486</v>
      </c>
      <c r="D402" s="58" t="s">
        <v>487</v>
      </c>
      <c r="E402" s="66">
        <v>257.89999999999998</v>
      </c>
      <c r="F402" s="47">
        <v>289.89999999999998</v>
      </c>
      <c r="G402" s="47">
        <v>290.89999999999998</v>
      </c>
      <c r="H402" s="34">
        <f t="shared" si="30"/>
        <v>279.56666666666666</v>
      </c>
      <c r="I402" s="42">
        <f t="shared" si="33"/>
        <v>0.1279565723148508</v>
      </c>
      <c r="J402" s="36">
        <f t="shared" si="40"/>
        <v>4.0538929295337978E-2</v>
      </c>
      <c r="K402" s="51">
        <v>45939</v>
      </c>
      <c r="L402" s="43">
        <f t="shared" si="32"/>
        <v>46121</v>
      </c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ht="15.75" customHeight="1" x14ac:dyDescent="0.25">
      <c r="A403" s="7"/>
      <c r="B403" s="56">
        <v>100012614</v>
      </c>
      <c r="C403" s="59" t="s">
        <v>486</v>
      </c>
      <c r="D403" s="58" t="s">
        <v>488</v>
      </c>
      <c r="E403" s="82">
        <v>111.1</v>
      </c>
      <c r="F403" s="50">
        <v>125.6</v>
      </c>
      <c r="G403" s="50">
        <v>111.1</v>
      </c>
      <c r="H403" s="34">
        <f t="shared" si="30"/>
        <v>115.93333333333332</v>
      </c>
      <c r="I403" s="42">
        <f t="shared" si="33"/>
        <v>0.13051305130513047</v>
      </c>
      <c r="J403" s="36">
        <f t="shared" si="40"/>
        <v>8.3381253594019711E-2</v>
      </c>
      <c r="K403" s="51">
        <v>45939</v>
      </c>
      <c r="L403" s="43">
        <f t="shared" si="32"/>
        <v>46121</v>
      </c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ht="18.75" customHeight="1" x14ac:dyDescent="0.25">
      <c r="A404" s="7"/>
      <c r="B404" s="56">
        <v>100012356</v>
      </c>
      <c r="C404" s="59" t="s">
        <v>489</v>
      </c>
      <c r="D404" s="58"/>
      <c r="E404" s="82">
        <v>838.48</v>
      </c>
      <c r="F404" s="50">
        <v>867</v>
      </c>
      <c r="G404" s="50">
        <v>955.53</v>
      </c>
      <c r="H404" s="34">
        <f t="shared" si="30"/>
        <v>887.00333333333344</v>
      </c>
      <c r="I404" s="42">
        <f t="shared" si="33"/>
        <v>0.13959784371720252</v>
      </c>
      <c r="J404" s="36">
        <f t="shared" si="40"/>
        <v>7.7256380096279109E-2</v>
      </c>
      <c r="K404" s="51">
        <v>45939</v>
      </c>
      <c r="L404" s="43">
        <f t="shared" si="32"/>
        <v>46121</v>
      </c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ht="18.75" customHeight="1" x14ac:dyDescent="0.25">
      <c r="A405" s="7"/>
      <c r="B405" s="56">
        <v>100012461</v>
      </c>
      <c r="C405" s="59" t="s">
        <v>490</v>
      </c>
      <c r="D405" s="58"/>
      <c r="E405" s="82">
        <v>288.87</v>
      </c>
      <c r="F405" s="50">
        <v>248.99</v>
      </c>
      <c r="G405" s="50">
        <v>299.98</v>
      </c>
      <c r="H405" s="34">
        <f t="shared" si="30"/>
        <v>279.28000000000003</v>
      </c>
      <c r="I405" s="42">
        <f t="shared" si="33"/>
        <v>0.20478734085706263</v>
      </c>
      <c r="J405" s="36">
        <f t="shared" si="40"/>
        <v>7.4119163563448831E-2</v>
      </c>
      <c r="K405" s="51">
        <v>45939</v>
      </c>
      <c r="L405" s="43">
        <f t="shared" si="32"/>
        <v>46121</v>
      </c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ht="15.75" customHeight="1" x14ac:dyDescent="0.25">
      <c r="A406" s="7"/>
      <c r="B406" s="56">
        <v>100012511</v>
      </c>
      <c r="C406" s="59" t="s">
        <v>491</v>
      </c>
      <c r="D406" s="58" t="s">
        <v>492</v>
      </c>
      <c r="E406" s="66">
        <v>48578.01</v>
      </c>
      <c r="F406" s="47">
        <v>45936.480000000003</v>
      </c>
      <c r="G406" s="47">
        <v>46369.14</v>
      </c>
      <c r="H406" s="34">
        <f t="shared" si="30"/>
        <v>46961.21</v>
      </c>
      <c r="I406" s="42">
        <f t="shared" si="33"/>
        <v>5.7503970700410578E-2</v>
      </c>
      <c r="J406" s="36">
        <f t="shared" si="40"/>
        <v>3.4428414429696463E-2</v>
      </c>
      <c r="K406" s="51">
        <v>45940</v>
      </c>
      <c r="L406" s="43">
        <f t="shared" si="32"/>
        <v>46122</v>
      </c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ht="15.75" customHeight="1" x14ac:dyDescent="0.25">
      <c r="A407" s="7"/>
      <c r="B407" s="56">
        <v>100010152</v>
      </c>
      <c r="C407" s="59" t="s">
        <v>493</v>
      </c>
      <c r="D407" s="58"/>
      <c r="E407" s="66"/>
      <c r="F407" s="47">
        <v>1879</v>
      </c>
      <c r="G407" s="47">
        <v>1699</v>
      </c>
      <c r="H407" s="34">
        <f t="shared" si="30"/>
        <v>1192.6666666666667</v>
      </c>
      <c r="I407" s="42">
        <f t="shared" si="33"/>
        <v>0.1059446733372571</v>
      </c>
      <c r="J407" s="36">
        <f t="shared" si="40"/>
        <v>0.57546115148127441</v>
      </c>
      <c r="K407" s="78">
        <v>45940</v>
      </c>
      <c r="L407" s="43">
        <f t="shared" si="32"/>
        <v>46122</v>
      </c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ht="15.75" customHeight="1" x14ac:dyDescent="0.25">
      <c r="A408" s="7"/>
      <c r="B408" s="56">
        <v>100012468</v>
      </c>
      <c r="C408" s="59" t="s">
        <v>494</v>
      </c>
      <c r="D408" s="58"/>
      <c r="E408" s="66">
        <v>11111</v>
      </c>
      <c r="F408" s="47">
        <v>13843.17</v>
      </c>
      <c r="G408" s="47">
        <v>11339.7</v>
      </c>
      <c r="H408" s="34">
        <f t="shared" si="30"/>
        <v>12097.956666666665</v>
      </c>
      <c r="I408" s="42">
        <f t="shared" si="33"/>
        <v>0.2458977589775897</v>
      </c>
      <c r="J408" s="36">
        <f t="shared" si="40"/>
        <v>0.14425686761979373</v>
      </c>
      <c r="K408" s="51">
        <v>45940</v>
      </c>
      <c r="L408" s="43">
        <f t="shared" si="32"/>
        <v>46122</v>
      </c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ht="17.25" customHeight="1" x14ac:dyDescent="0.25">
      <c r="A409" s="7"/>
      <c r="B409" s="56">
        <v>100012790</v>
      </c>
      <c r="C409" s="59" t="s">
        <v>495</v>
      </c>
      <c r="D409" s="58"/>
      <c r="E409" s="66">
        <v>1890</v>
      </c>
      <c r="F409" s="47">
        <v>1843</v>
      </c>
      <c r="G409" s="47">
        <v>1900</v>
      </c>
      <c r="H409" s="34">
        <f t="shared" si="30"/>
        <v>1877.6666666666667</v>
      </c>
      <c r="I409" s="42">
        <f t="shared" si="33"/>
        <v>3.0927835051546282E-2</v>
      </c>
      <c r="J409" s="36">
        <f t="shared" si="40"/>
        <v>1.1894194922776435E-2</v>
      </c>
      <c r="K409" s="51">
        <v>45940</v>
      </c>
      <c r="L409" s="43">
        <f t="shared" si="32"/>
        <v>46122</v>
      </c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ht="21" customHeight="1" x14ac:dyDescent="0.25">
      <c r="A410" s="7"/>
      <c r="B410" s="56">
        <v>100012813</v>
      </c>
      <c r="C410" s="59" t="s">
        <v>496</v>
      </c>
      <c r="D410" s="58"/>
      <c r="E410" s="82">
        <v>777.76</v>
      </c>
      <c r="F410" s="50">
        <v>897.87</v>
      </c>
      <c r="G410" s="50">
        <v>738.52</v>
      </c>
      <c r="H410" s="34">
        <f t="shared" si="30"/>
        <v>804.7166666666667</v>
      </c>
      <c r="I410" s="42">
        <f t="shared" si="33"/>
        <v>0.21576937659102002</v>
      </c>
      <c r="J410" s="36">
        <f t="shared" si="40"/>
        <v>0.11575916989416557</v>
      </c>
      <c r="K410" s="51">
        <v>45940</v>
      </c>
      <c r="L410" s="43">
        <f t="shared" si="32"/>
        <v>46122</v>
      </c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ht="15.75" customHeight="1" x14ac:dyDescent="0.25">
      <c r="A411" s="7"/>
      <c r="B411" s="56">
        <v>100013119</v>
      </c>
      <c r="C411" s="59" t="s">
        <v>497</v>
      </c>
      <c r="D411" s="58"/>
      <c r="E411" s="66">
        <v>1129</v>
      </c>
      <c r="F411" s="47">
        <v>1254.44</v>
      </c>
      <c r="G411" s="47">
        <v>1452.98</v>
      </c>
      <c r="H411" s="34">
        <f t="shared" si="30"/>
        <v>1278.8066666666666</v>
      </c>
      <c r="I411" s="42">
        <f t="shared" si="33"/>
        <v>0.28696191319751985</v>
      </c>
      <c r="J411" s="36">
        <f t="shared" si="40"/>
        <v>0.13619989469349036</v>
      </c>
      <c r="K411" s="51">
        <v>45940</v>
      </c>
      <c r="L411" s="43">
        <f t="shared" si="32"/>
        <v>46122</v>
      </c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ht="15.75" customHeight="1" x14ac:dyDescent="0.25">
      <c r="A412" s="7"/>
      <c r="B412" s="56">
        <v>100013058</v>
      </c>
      <c r="C412" s="59" t="s">
        <v>498</v>
      </c>
      <c r="D412" s="58"/>
      <c r="E412" s="66">
        <v>1795</v>
      </c>
      <c r="F412" s="47">
        <v>1483.96</v>
      </c>
      <c r="G412" s="47">
        <v>1792</v>
      </c>
      <c r="H412" s="34">
        <f t="shared" si="30"/>
        <v>1690.32</v>
      </c>
      <c r="I412" s="42">
        <f t="shared" si="33"/>
        <v>0.20960133696326033</v>
      </c>
      <c r="J412" s="36">
        <f t="shared" si="40"/>
        <v>6.1929102181835338E-2</v>
      </c>
      <c r="K412" s="51">
        <v>45940</v>
      </c>
      <c r="L412" s="43">
        <f t="shared" si="32"/>
        <v>46122</v>
      </c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ht="15.75" customHeight="1" x14ac:dyDescent="0.25">
      <c r="A413" s="7"/>
      <c r="B413" s="56">
        <v>100013081</v>
      </c>
      <c r="C413" s="59" t="s">
        <v>499</v>
      </c>
      <c r="D413" s="58">
        <v>5638</v>
      </c>
      <c r="E413" s="82">
        <v>5013</v>
      </c>
      <c r="F413" s="50">
        <v>5154.4399999999996</v>
      </c>
      <c r="G413" s="50">
        <v>4490</v>
      </c>
      <c r="H413" s="34">
        <f t="shared" si="30"/>
        <v>4885.8133333333326</v>
      </c>
      <c r="I413" s="42">
        <f t="shared" si="33"/>
        <v>0.14798218262806229</v>
      </c>
      <c r="J413" s="36">
        <f t="shared" si="40"/>
        <v>5.4980951653222032E-2</v>
      </c>
      <c r="K413" s="51">
        <v>45940</v>
      </c>
      <c r="L413" s="43">
        <f t="shared" si="32"/>
        <v>46122</v>
      </c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ht="15.75" customHeight="1" x14ac:dyDescent="0.25">
      <c r="A414" s="7"/>
      <c r="B414" s="56">
        <v>100013081</v>
      </c>
      <c r="C414" s="59" t="s">
        <v>499</v>
      </c>
      <c r="D414" s="58" t="s">
        <v>500</v>
      </c>
      <c r="E414" s="82">
        <v>2595</v>
      </c>
      <c r="F414" s="50">
        <v>2333.3200000000002</v>
      </c>
      <c r="G414" s="50">
        <v>2333.3200000000002</v>
      </c>
      <c r="H414" s="34">
        <f t="shared" si="30"/>
        <v>2420.5466666666666</v>
      </c>
      <c r="I414" s="42">
        <f t="shared" si="33"/>
        <v>0.11214921228121288</v>
      </c>
      <c r="J414" s="36">
        <f t="shared" si="40"/>
        <v>7.2071873571259326E-2</v>
      </c>
      <c r="K414" s="51">
        <v>45940</v>
      </c>
      <c r="L414" s="43">
        <f t="shared" ref="L414:L417" si="41">EDATE(K415,6)</f>
        <v>46122</v>
      </c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ht="15.75" customHeight="1" x14ac:dyDescent="0.25">
      <c r="A415" s="7"/>
      <c r="B415" s="56">
        <v>100012635</v>
      </c>
      <c r="C415" s="108" t="s">
        <v>501</v>
      </c>
      <c r="D415" s="58"/>
      <c r="E415" s="82">
        <v>1012.37</v>
      </c>
      <c r="F415" s="50">
        <v>805.98</v>
      </c>
      <c r="G415" s="107">
        <v>826.2</v>
      </c>
      <c r="H415" s="34">
        <f t="shared" si="30"/>
        <v>881.51666666666677</v>
      </c>
      <c r="I415" s="42">
        <f t="shared" si="33"/>
        <v>0.25607335169607182</v>
      </c>
      <c r="J415" s="36">
        <f t="shared" si="40"/>
        <v>0.148441133652228</v>
      </c>
      <c r="K415" s="51">
        <v>45940</v>
      </c>
      <c r="L415" s="43">
        <f t="shared" si="41"/>
        <v>46122</v>
      </c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ht="15.75" customHeight="1" x14ac:dyDescent="0.25">
      <c r="A416" s="7"/>
      <c r="B416" s="56">
        <v>100013086</v>
      </c>
      <c r="C416" s="59" t="s">
        <v>502</v>
      </c>
      <c r="D416" s="80" t="s">
        <v>503</v>
      </c>
      <c r="E416" s="66">
        <v>1349</v>
      </c>
      <c r="F416" s="47">
        <v>1411.74</v>
      </c>
      <c r="G416" s="47">
        <v>1493.29</v>
      </c>
      <c r="H416" s="34">
        <f t="shared" si="30"/>
        <v>1418.01</v>
      </c>
      <c r="I416" s="42">
        <f t="shared" si="33"/>
        <v>0.10696071163825049</v>
      </c>
      <c r="J416" s="36">
        <f t="shared" si="40"/>
        <v>5.3088483155972144E-2</v>
      </c>
      <c r="K416" s="51">
        <v>45940</v>
      </c>
      <c r="L416" s="43">
        <f t="shared" si="41"/>
        <v>46122</v>
      </c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ht="15.75" customHeight="1" x14ac:dyDescent="0.25">
      <c r="A417" s="7"/>
      <c r="B417" s="56">
        <v>100013086</v>
      </c>
      <c r="C417" s="59" t="s">
        <v>502</v>
      </c>
      <c r="D417" s="58" t="s">
        <v>504</v>
      </c>
      <c r="E417" s="82">
        <v>1849</v>
      </c>
      <c r="F417" s="50">
        <v>1941.15</v>
      </c>
      <c r="G417" s="50">
        <v>1941.15</v>
      </c>
      <c r="H417" s="34">
        <f t="shared" si="30"/>
        <v>1910.4333333333334</v>
      </c>
      <c r="I417" s="42">
        <f t="shared" si="33"/>
        <v>4.9837750135208303E-2</v>
      </c>
      <c r="J417" s="36">
        <f t="shared" si="40"/>
        <v>1.6078376633573477E-2</v>
      </c>
      <c r="K417" s="51">
        <v>45940</v>
      </c>
      <c r="L417" s="43">
        <f t="shared" si="41"/>
        <v>46122</v>
      </c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ht="15.75" customHeight="1" x14ac:dyDescent="0.25">
      <c r="A418" s="7"/>
      <c r="B418" s="68">
        <v>100012737</v>
      </c>
      <c r="C418" s="59" t="s">
        <v>505</v>
      </c>
      <c r="D418" s="104" t="s">
        <v>506</v>
      </c>
      <c r="E418" s="66">
        <v>4657.6099999999997</v>
      </c>
      <c r="F418" s="47">
        <v>5500</v>
      </c>
      <c r="G418" s="47">
        <v>4444.8999999999996</v>
      </c>
      <c r="H418" s="34">
        <f t="shared" si="30"/>
        <v>4867.5033333333331</v>
      </c>
      <c r="I418" s="42">
        <f t="shared" si="33"/>
        <v>0.23737316925015195</v>
      </c>
      <c r="J418" s="36">
        <f t="shared" si="40"/>
        <v>0.12994272902398296</v>
      </c>
      <c r="K418" s="51">
        <v>45940</v>
      </c>
      <c r="L418" s="43">
        <f t="shared" ref="L418:L435" si="42">EDATE(K418,6)</f>
        <v>46122</v>
      </c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ht="15.75" customHeight="1" x14ac:dyDescent="0.25">
      <c r="A419" s="7"/>
      <c r="B419" s="68">
        <v>100012737</v>
      </c>
      <c r="C419" s="59" t="s">
        <v>505</v>
      </c>
      <c r="D419" s="58" t="s">
        <v>507</v>
      </c>
      <c r="E419" s="82">
        <v>629.99</v>
      </c>
      <c r="F419" s="50">
        <v>594</v>
      </c>
      <c r="G419" s="50">
        <v>555.5</v>
      </c>
      <c r="H419" s="34">
        <f t="shared" si="30"/>
        <v>593.1633333333333</v>
      </c>
      <c r="I419" s="42">
        <f t="shared" si="33"/>
        <v>0.13409540954095411</v>
      </c>
      <c r="J419" s="36">
        <f t="shared" si="40"/>
        <v>6.208520418771668E-2</v>
      </c>
      <c r="K419" s="51">
        <v>45940</v>
      </c>
      <c r="L419" s="43">
        <f t="shared" si="42"/>
        <v>46122</v>
      </c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ht="15.75" customHeight="1" x14ac:dyDescent="0.25">
      <c r="A420" s="7"/>
      <c r="B420" s="68">
        <v>100012737</v>
      </c>
      <c r="C420" s="59" t="s">
        <v>505</v>
      </c>
      <c r="D420" s="58" t="s">
        <v>508</v>
      </c>
      <c r="E420" s="82">
        <v>1205.8</v>
      </c>
      <c r="F420" s="109">
        <v>1325.06</v>
      </c>
      <c r="G420" s="50">
        <v>1299</v>
      </c>
      <c r="H420" s="34">
        <f t="shared" si="30"/>
        <v>1276.6199999999999</v>
      </c>
      <c r="I420" s="42">
        <f t="shared" si="33"/>
        <v>9.8905291093050351E-2</v>
      </c>
      <c r="J420" s="36">
        <f t="shared" si="40"/>
        <v>3.7943945731697903E-2</v>
      </c>
      <c r="K420" s="78">
        <v>45940</v>
      </c>
      <c r="L420" s="43">
        <f t="shared" si="42"/>
        <v>46122</v>
      </c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ht="15.75" customHeight="1" x14ac:dyDescent="0.25">
      <c r="A421" s="7"/>
      <c r="B421" s="56">
        <v>100013081</v>
      </c>
      <c r="C421" s="59" t="s">
        <v>509</v>
      </c>
      <c r="D421" s="58" t="s">
        <v>510</v>
      </c>
      <c r="E421" s="82">
        <v>805</v>
      </c>
      <c r="F421" s="50">
        <v>640.9</v>
      </c>
      <c r="G421" s="50">
        <v>754</v>
      </c>
      <c r="H421" s="34">
        <f t="shared" si="30"/>
        <v>733.30000000000007</v>
      </c>
      <c r="I421" s="42">
        <f t="shared" si="33"/>
        <v>0.25604618505227039</v>
      </c>
      <c r="J421" s="36">
        <f t="shared" si="40"/>
        <v>9.7777171689622078E-2</v>
      </c>
      <c r="K421" s="51">
        <v>45940</v>
      </c>
      <c r="L421" s="43">
        <f t="shared" si="42"/>
        <v>46122</v>
      </c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ht="15.75" customHeight="1" x14ac:dyDescent="0.25">
      <c r="A422" s="7"/>
      <c r="B422" s="56">
        <v>100013081</v>
      </c>
      <c r="C422" s="59" t="s">
        <v>509</v>
      </c>
      <c r="D422" s="58" t="s">
        <v>511</v>
      </c>
      <c r="E422" s="66">
        <v>592.52</v>
      </c>
      <c r="F422" s="47">
        <v>559.99</v>
      </c>
      <c r="G422" s="47">
        <v>469</v>
      </c>
      <c r="H422" s="34">
        <f t="shared" si="30"/>
        <v>540.50333333333333</v>
      </c>
      <c r="I422" s="42">
        <f t="shared" si="33"/>
        <v>0.26336886993603414</v>
      </c>
      <c r="J422" s="36">
        <f t="shared" si="40"/>
        <v>9.6237457678336913E-2</v>
      </c>
      <c r="K422" s="51">
        <v>45940</v>
      </c>
      <c r="L422" s="43">
        <f t="shared" si="42"/>
        <v>46122</v>
      </c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ht="15.75" customHeight="1" x14ac:dyDescent="0.25">
      <c r="A423" s="7"/>
      <c r="B423" s="56">
        <v>100013081</v>
      </c>
      <c r="C423" s="59" t="s">
        <v>509</v>
      </c>
      <c r="D423" s="58" t="s">
        <v>512</v>
      </c>
      <c r="E423" s="66">
        <v>776.09</v>
      </c>
      <c r="F423" s="47">
        <v>776.09</v>
      </c>
      <c r="G423" s="47">
        <v>890</v>
      </c>
      <c r="H423" s="34">
        <f t="shared" si="30"/>
        <v>814.06000000000006</v>
      </c>
      <c r="I423" s="42">
        <f t="shared" si="33"/>
        <v>0.14677421433081217</v>
      </c>
      <c r="J423" s="36">
        <f t="shared" si="40"/>
        <v>9.3285507210770557E-2</v>
      </c>
      <c r="K423" s="51">
        <v>45940</v>
      </c>
      <c r="L423" s="43">
        <f t="shared" si="42"/>
        <v>46122</v>
      </c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ht="15.75" customHeight="1" x14ac:dyDescent="0.25">
      <c r="A424" s="7"/>
      <c r="B424" s="56">
        <v>100013081</v>
      </c>
      <c r="C424" s="59" t="s">
        <v>509</v>
      </c>
      <c r="D424" s="58" t="s">
        <v>513</v>
      </c>
      <c r="E424" s="66">
        <v>950.62</v>
      </c>
      <c r="F424" s="47">
        <v>1118.3800000000001</v>
      </c>
      <c r="G424" s="47">
        <v>1210.93</v>
      </c>
      <c r="H424" s="34">
        <f t="shared" si="30"/>
        <v>1093.3100000000002</v>
      </c>
      <c r="I424" s="42">
        <f t="shared" si="33"/>
        <v>0.27383181502598308</v>
      </c>
      <c r="J424" s="78"/>
      <c r="K424" s="43">
        <v>45943</v>
      </c>
      <c r="L424" s="43">
        <f t="shared" si="42"/>
        <v>46125</v>
      </c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ht="15.75" customHeight="1" x14ac:dyDescent="0.25">
      <c r="A425" s="7"/>
      <c r="B425" s="56">
        <v>100012819</v>
      </c>
      <c r="C425" s="59" t="s">
        <v>514</v>
      </c>
      <c r="D425" s="58"/>
      <c r="E425" s="66">
        <v>7079.4</v>
      </c>
      <c r="F425" s="47">
        <v>5929.4</v>
      </c>
      <c r="G425" s="47">
        <v>5756.57</v>
      </c>
      <c r="H425" s="34">
        <f t="shared" si="30"/>
        <v>6255.123333333333</v>
      </c>
      <c r="I425" s="42">
        <f t="shared" si="33"/>
        <v>0.22979482573824339</v>
      </c>
      <c r="J425" s="36">
        <f t="shared" ref="J425:J437" si="43">IF(ISERROR(MAX(E425:G425)/H425-1),"",(MAX(E425:G425)/H425-1))</f>
        <v>0.1317762452858644</v>
      </c>
      <c r="K425" s="51">
        <v>45943</v>
      </c>
      <c r="L425" s="43">
        <f t="shared" si="42"/>
        <v>46125</v>
      </c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ht="15.75" customHeight="1" x14ac:dyDescent="0.25">
      <c r="A426" s="7"/>
      <c r="B426" s="56">
        <v>100013086</v>
      </c>
      <c r="C426" s="59" t="s">
        <v>515</v>
      </c>
      <c r="D426" s="58" t="s">
        <v>516</v>
      </c>
      <c r="E426" s="66">
        <v>1169.9000000000001</v>
      </c>
      <c r="F426" s="47">
        <v>1187.9000000000001</v>
      </c>
      <c r="G426" s="47">
        <v>1165.9000000000001</v>
      </c>
      <c r="H426" s="34">
        <f t="shared" si="30"/>
        <v>1174.5666666666668</v>
      </c>
      <c r="I426" s="42">
        <f t="shared" si="33"/>
        <v>1.8869542842439246E-2</v>
      </c>
      <c r="J426" s="36">
        <f t="shared" si="43"/>
        <v>1.1351704174589194E-2</v>
      </c>
      <c r="K426" s="43">
        <v>45940</v>
      </c>
      <c r="L426" s="43">
        <f t="shared" si="42"/>
        <v>46122</v>
      </c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ht="15.75" customHeight="1" x14ac:dyDescent="0.25">
      <c r="A427" s="7"/>
      <c r="B427" s="56">
        <v>100013086</v>
      </c>
      <c r="C427" s="59" t="s">
        <v>515</v>
      </c>
      <c r="D427" s="58" t="s">
        <v>517</v>
      </c>
      <c r="E427" s="82">
        <v>1708.9</v>
      </c>
      <c r="F427" s="50">
        <v>1678.9</v>
      </c>
      <c r="G427" s="50">
        <v>1499</v>
      </c>
      <c r="H427" s="34">
        <f t="shared" si="30"/>
        <v>1628.9333333333334</v>
      </c>
      <c r="I427" s="42">
        <f t="shared" si="33"/>
        <v>0.14002668445630428</v>
      </c>
      <c r="J427" s="36">
        <f t="shared" si="43"/>
        <v>4.9091429974625456E-2</v>
      </c>
      <c r="K427" s="43">
        <v>45940</v>
      </c>
      <c r="L427" s="43">
        <f t="shared" si="42"/>
        <v>46122</v>
      </c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ht="15.75" customHeight="1" x14ac:dyDescent="0.25">
      <c r="A428" s="7"/>
      <c r="B428" s="56">
        <v>100013095</v>
      </c>
      <c r="C428" s="59" t="s">
        <v>518</v>
      </c>
      <c r="D428" s="58" t="s">
        <v>519</v>
      </c>
      <c r="E428" s="66">
        <v>707.99</v>
      </c>
      <c r="F428" s="47">
        <v>677</v>
      </c>
      <c r="G428" s="47">
        <v>707.99</v>
      </c>
      <c r="H428" s="34">
        <f t="shared" si="30"/>
        <v>697.66</v>
      </c>
      <c r="I428" s="42">
        <f t="shared" si="33"/>
        <v>4.5775480059084162E-2</v>
      </c>
      <c r="J428" s="36">
        <f t="shared" si="43"/>
        <v>1.4806639337213046E-2</v>
      </c>
      <c r="K428" s="43">
        <v>45940</v>
      </c>
      <c r="L428" s="43">
        <f t="shared" si="42"/>
        <v>46122</v>
      </c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ht="15.75" customHeight="1" x14ac:dyDescent="0.25">
      <c r="A429" s="7"/>
      <c r="B429" s="68">
        <v>100013121</v>
      </c>
      <c r="C429" s="59" t="s">
        <v>520</v>
      </c>
      <c r="D429" s="58" t="s">
        <v>521</v>
      </c>
      <c r="E429" s="66">
        <v>2512.9</v>
      </c>
      <c r="F429" s="47">
        <v>2499</v>
      </c>
      <c r="G429" s="47">
        <v>1918.73</v>
      </c>
      <c r="H429" s="34">
        <f t="shared" si="30"/>
        <v>2310.2099999999996</v>
      </c>
      <c r="I429" s="42">
        <f t="shared" si="33"/>
        <v>0.30966837439347916</v>
      </c>
      <c r="J429" s="36">
        <f t="shared" si="43"/>
        <v>8.7736612688889881E-2</v>
      </c>
      <c r="K429" s="43">
        <v>45940</v>
      </c>
      <c r="L429" s="43">
        <f t="shared" si="42"/>
        <v>46122</v>
      </c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ht="15.75" customHeight="1" x14ac:dyDescent="0.25">
      <c r="A430" s="7"/>
      <c r="B430" s="68">
        <v>100013121</v>
      </c>
      <c r="C430" s="59" t="s">
        <v>520</v>
      </c>
      <c r="D430" s="58" t="s">
        <v>522</v>
      </c>
      <c r="E430" s="66">
        <v>1658.4</v>
      </c>
      <c r="F430" s="47">
        <v>1690</v>
      </c>
      <c r="G430" s="47">
        <v>1500.1</v>
      </c>
      <c r="H430" s="34">
        <f t="shared" si="30"/>
        <v>1616.1666666666667</v>
      </c>
      <c r="I430" s="42">
        <f t="shared" si="33"/>
        <v>0.12659156056262932</v>
      </c>
      <c r="J430" s="36">
        <f t="shared" si="43"/>
        <v>4.5684232236774314E-2</v>
      </c>
      <c r="K430" s="43">
        <v>45940</v>
      </c>
      <c r="L430" s="43">
        <f t="shared" si="42"/>
        <v>46122</v>
      </c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ht="15.75" customHeight="1" x14ac:dyDescent="0.25">
      <c r="A431" s="7"/>
      <c r="B431" s="85">
        <v>100013121</v>
      </c>
      <c r="C431" s="86" t="s">
        <v>520</v>
      </c>
      <c r="D431" s="87" t="s">
        <v>523</v>
      </c>
      <c r="E431" s="88"/>
      <c r="F431" s="89"/>
      <c r="G431" s="89"/>
      <c r="H431" s="90">
        <f t="shared" si="30"/>
        <v>0</v>
      </c>
      <c r="I431" s="91" t="str">
        <f t="shared" si="33"/>
        <v/>
      </c>
      <c r="J431" s="92" t="str">
        <f t="shared" si="43"/>
        <v/>
      </c>
      <c r="K431" s="94">
        <v>45940</v>
      </c>
      <c r="L431" s="94">
        <f t="shared" si="42"/>
        <v>46122</v>
      </c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ht="15.75" customHeight="1" x14ac:dyDescent="0.25">
      <c r="A432" s="7"/>
      <c r="B432" s="56">
        <v>100013110</v>
      </c>
      <c r="C432" s="59" t="s">
        <v>524</v>
      </c>
      <c r="D432" s="58" t="s">
        <v>525</v>
      </c>
      <c r="E432" s="66">
        <v>1998</v>
      </c>
      <c r="F432" s="47">
        <v>1742.3</v>
      </c>
      <c r="G432" s="47">
        <v>1892.83</v>
      </c>
      <c r="H432" s="34">
        <f t="shared" si="30"/>
        <v>1877.71</v>
      </c>
      <c r="I432" s="42">
        <f t="shared" si="33"/>
        <v>0.14676002984560643</v>
      </c>
      <c r="J432" s="36">
        <f t="shared" si="43"/>
        <v>6.4062075613380065E-2</v>
      </c>
      <c r="K432" s="43">
        <v>45940</v>
      </c>
      <c r="L432" s="43">
        <f t="shared" si="42"/>
        <v>46122</v>
      </c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ht="15.75" customHeight="1" x14ac:dyDescent="0.25">
      <c r="A433" s="7"/>
      <c r="B433" s="56">
        <v>100013110</v>
      </c>
      <c r="C433" s="59" t="s">
        <v>524</v>
      </c>
      <c r="D433" s="58" t="s">
        <v>526</v>
      </c>
      <c r="E433" s="66">
        <v>1285</v>
      </c>
      <c r="F433" s="47">
        <v>1257.7</v>
      </c>
      <c r="G433" s="47">
        <v>1048</v>
      </c>
      <c r="H433" s="34">
        <f t="shared" si="30"/>
        <v>1196.8999999999999</v>
      </c>
      <c r="I433" s="42">
        <f t="shared" si="33"/>
        <v>0.22614503816793885</v>
      </c>
      <c r="J433" s="36">
        <f t="shared" si="43"/>
        <v>7.3606817612164921E-2</v>
      </c>
      <c r="K433" s="51">
        <v>45943</v>
      </c>
      <c r="L433" s="43">
        <f t="shared" si="42"/>
        <v>46125</v>
      </c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ht="15.75" customHeight="1" x14ac:dyDescent="0.25">
      <c r="A434" s="7"/>
      <c r="B434" s="56">
        <v>100013096</v>
      </c>
      <c r="C434" s="59" t="s">
        <v>527</v>
      </c>
      <c r="D434" s="79"/>
      <c r="E434" s="82">
        <v>524.46</v>
      </c>
      <c r="F434" s="50">
        <v>549</v>
      </c>
      <c r="G434" s="50">
        <v>619</v>
      </c>
      <c r="H434" s="34">
        <f t="shared" si="30"/>
        <v>564.15333333333331</v>
      </c>
      <c r="I434" s="42">
        <f t="shared" si="33"/>
        <v>0.18026160241009803</v>
      </c>
      <c r="J434" s="36">
        <f t="shared" si="43"/>
        <v>9.7219432069295619E-2</v>
      </c>
      <c r="K434" s="51">
        <v>45943</v>
      </c>
      <c r="L434" s="43">
        <f t="shared" si="42"/>
        <v>46125</v>
      </c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ht="15.75" customHeight="1" x14ac:dyDescent="0.25">
      <c r="A435" s="7"/>
      <c r="B435" s="56">
        <v>100010291</v>
      </c>
      <c r="C435" s="59" t="s">
        <v>528</v>
      </c>
      <c r="D435" s="58"/>
      <c r="E435" s="82">
        <v>466.66</v>
      </c>
      <c r="F435" s="50">
        <v>480.21</v>
      </c>
      <c r="G435" s="50">
        <v>440.1</v>
      </c>
      <c r="H435" s="34">
        <f t="shared" si="30"/>
        <v>462.32333333333332</v>
      </c>
      <c r="I435" s="42">
        <f t="shared" si="33"/>
        <v>9.1138377641444945E-2</v>
      </c>
      <c r="J435" s="36">
        <f t="shared" si="43"/>
        <v>3.8688652241937405E-2</v>
      </c>
      <c r="K435" s="51">
        <v>45943</v>
      </c>
      <c r="L435" s="43">
        <f t="shared" si="42"/>
        <v>46125</v>
      </c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ht="15.75" customHeight="1" x14ac:dyDescent="0.25">
      <c r="A436" s="110"/>
      <c r="B436" s="56">
        <v>100002248</v>
      </c>
      <c r="C436" s="59" t="s">
        <v>102</v>
      </c>
      <c r="D436" s="81" t="s">
        <v>529</v>
      </c>
      <c r="E436" s="66">
        <v>23838.22</v>
      </c>
      <c r="F436" s="47">
        <v>20555.29</v>
      </c>
      <c r="G436" s="47">
        <v>21990</v>
      </c>
      <c r="H436" s="34">
        <f t="shared" si="30"/>
        <v>22127.83666666667</v>
      </c>
      <c r="I436" s="42">
        <f t="shared" si="33"/>
        <v>0.15971217141670091</v>
      </c>
      <c r="J436" s="36">
        <f t="shared" si="43"/>
        <v>7.7295551259642492E-2</v>
      </c>
      <c r="K436" s="78">
        <v>45943</v>
      </c>
      <c r="L436" s="43">
        <f>EDATE(K435,6)</f>
        <v>46125</v>
      </c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ht="15.75" customHeight="1" x14ac:dyDescent="0.25">
      <c r="A437" s="7"/>
      <c r="B437" s="56">
        <v>100002250</v>
      </c>
      <c r="C437" s="59" t="s">
        <v>530</v>
      </c>
      <c r="D437" s="58"/>
      <c r="E437" s="82">
        <v>45979</v>
      </c>
      <c r="F437" s="50">
        <v>44799.839999999997</v>
      </c>
      <c r="G437" s="50">
        <v>44500</v>
      </c>
      <c r="H437" s="34">
        <f t="shared" si="30"/>
        <v>45092.946666666663</v>
      </c>
      <c r="I437" s="42">
        <f t="shared" si="33"/>
        <v>3.3235955056179822E-2</v>
      </c>
      <c r="J437" s="36">
        <f t="shared" si="43"/>
        <v>1.9649488419622774E-2</v>
      </c>
      <c r="K437" s="51">
        <v>45943</v>
      </c>
      <c r="L437" s="43">
        <f t="shared" ref="L437:L500" si="44">EDATE(K437,6)</f>
        <v>46125</v>
      </c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ht="15.75" customHeight="1" x14ac:dyDescent="0.25">
      <c r="A438" s="7"/>
      <c r="B438" s="56">
        <v>100002250</v>
      </c>
      <c r="C438" s="59" t="s">
        <v>530</v>
      </c>
      <c r="D438" s="58" t="s">
        <v>531</v>
      </c>
      <c r="E438" s="82">
        <v>5900</v>
      </c>
      <c r="F438" s="50">
        <v>5451</v>
      </c>
      <c r="G438" s="50">
        <v>5150</v>
      </c>
      <c r="H438" s="34">
        <f t="shared" si="30"/>
        <v>5500.333333333333</v>
      </c>
      <c r="I438" s="42">
        <f t="shared" si="33"/>
        <v>0.14563106796116498</v>
      </c>
      <c r="J438" s="36"/>
      <c r="K438" s="51">
        <v>45943</v>
      </c>
      <c r="L438" s="43">
        <f t="shared" si="44"/>
        <v>46125</v>
      </c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ht="15.75" customHeight="1" x14ac:dyDescent="0.25">
      <c r="A439" s="7"/>
      <c r="B439" s="56">
        <v>100010717</v>
      </c>
      <c r="C439" s="59" t="s">
        <v>532</v>
      </c>
      <c r="D439" s="58" t="s">
        <v>531</v>
      </c>
      <c r="E439" s="82">
        <v>2959.99</v>
      </c>
      <c r="F439" s="50">
        <v>2690</v>
      </c>
      <c r="G439" s="50">
        <v>2773</v>
      </c>
      <c r="H439" s="34">
        <f t="shared" si="30"/>
        <v>2807.6633333333334</v>
      </c>
      <c r="I439" s="42">
        <f t="shared" si="33"/>
        <v>0.10036802973977688</v>
      </c>
      <c r="J439" s="36"/>
      <c r="K439" s="51">
        <v>45944</v>
      </c>
      <c r="L439" s="43">
        <f t="shared" si="44"/>
        <v>46126</v>
      </c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ht="15.75" customHeight="1" x14ac:dyDescent="0.25">
      <c r="A440" s="7"/>
      <c r="B440" s="56">
        <v>100010717</v>
      </c>
      <c r="C440" s="59" t="s">
        <v>532</v>
      </c>
      <c r="D440" s="58" t="s">
        <v>533</v>
      </c>
      <c r="E440" s="82">
        <v>3770.1</v>
      </c>
      <c r="F440" s="50">
        <v>3550</v>
      </c>
      <c r="G440" s="50">
        <v>3550</v>
      </c>
      <c r="H440" s="34">
        <f t="shared" si="30"/>
        <v>3623.3666666666668</v>
      </c>
      <c r="I440" s="42">
        <f t="shared" si="33"/>
        <v>6.2000000000000055E-2</v>
      </c>
      <c r="J440" s="36"/>
      <c r="K440" s="51">
        <v>45944</v>
      </c>
      <c r="L440" s="43">
        <f t="shared" si="44"/>
        <v>46126</v>
      </c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ht="15.75" customHeight="1" x14ac:dyDescent="0.25">
      <c r="A441" s="7"/>
      <c r="B441" s="56">
        <v>100012829</v>
      </c>
      <c r="C441" s="59" t="s">
        <v>534</v>
      </c>
      <c r="D441" s="58"/>
      <c r="E441" s="66">
        <v>1179.55</v>
      </c>
      <c r="F441" s="47">
        <v>1050</v>
      </c>
      <c r="G441" s="47">
        <v>1188.42</v>
      </c>
      <c r="H441" s="34">
        <f t="shared" si="30"/>
        <v>1139.3233333333335</v>
      </c>
      <c r="I441" s="42">
        <f t="shared" si="33"/>
        <v>0.13182857142857141</v>
      </c>
      <c r="J441" s="36">
        <f t="shared" ref="J441:J468" si="45">IF(ISERROR(MAX(E441:G441)/H441-1),"",(MAX(E441:G441)/H441-1))</f>
        <v>4.3092829954622047E-2</v>
      </c>
      <c r="K441" s="78">
        <v>45943</v>
      </c>
      <c r="L441" s="43">
        <f t="shared" si="44"/>
        <v>46125</v>
      </c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ht="15.75" customHeight="1" x14ac:dyDescent="0.25">
      <c r="A442" s="7"/>
      <c r="B442" s="56">
        <v>100013113</v>
      </c>
      <c r="C442" s="59" t="s">
        <v>535</v>
      </c>
      <c r="D442" s="58" t="s">
        <v>536</v>
      </c>
      <c r="E442" s="66">
        <v>1447.9</v>
      </c>
      <c r="F442" s="47">
        <v>1369.77</v>
      </c>
      <c r="G442" s="47">
        <v>1275</v>
      </c>
      <c r="H442" s="34">
        <f t="shared" si="30"/>
        <v>1364.2233333333334</v>
      </c>
      <c r="I442" s="42">
        <f t="shared" si="33"/>
        <v>0.13560784313725494</v>
      </c>
      <c r="J442" s="36">
        <f t="shared" si="45"/>
        <v>6.1336486938844414E-2</v>
      </c>
      <c r="K442" s="51">
        <v>45943</v>
      </c>
      <c r="L442" s="43">
        <f t="shared" si="44"/>
        <v>46125</v>
      </c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ht="15.75" customHeight="1" x14ac:dyDescent="0.25">
      <c r="A443" s="7"/>
      <c r="B443" s="56">
        <v>100012610</v>
      </c>
      <c r="C443" s="59" t="s">
        <v>537</v>
      </c>
      <c r="D443" s="58"/>
      <c r="E443" s="66">
        <v>988</v>
      </c>
      <c r="F443" s="47">
        <v>872.98</v>
      </c>
      <c r="G443" s="47">
        <v>999</v>
      </c>
      <c r="H443" s="34">
        <f t="shared" si="30"/>
        <v>953.32666666666671</v>
      </c>
      <c r="I443" s="42">
        <f t="shared" si="33"/>
        <v>0.14435611354212008</v>
      </c>
      <c r="J443" s="36">
        <f t="shared" si="45"/>
        <v>4.7909425940041439E-2</v>
      </c>
      <c r="K443" s="51">
        <v>45943</v>
      </c>
      <c r="L443" s="43">
        <f t="shared" si="44"/>
        <v>46125</v>
      </c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ht="15.75" customHeight="1" x14ac:dyDescent="0.25">
      <c r="A444" s="7"/>
      <c r="B444" s="56">
        <v>100013113</v>
      </c>
      <c r="C444" s="59" t="s">
        <v>535</v>
      </c>
      <c r="D444" s="81"/>
      <c r="E444" s="66">
        <v>2545</v>
      </c>
      <c r="F444" s="47">
        <v>2442</v>
      </c>
      <c r="G444" s="47">
        <v>2442</v>
      </c>
      <c r="H444" s="34">
        <f t="shared" si="30"/>
        <v>2476.3333333333335</v>
      </c>
      <c r="I444" s="42">
        <f t="shared" si="33"/>
        <v>4.2178542178542111E-2</v>
      </c>
      <c r="J444" s="36">
        <f t="shared" si="45"/>
        <v>2.7729169470992021E-2</v>
      </c>
      <c r="K444" s="51">
        <v>45943</v>
      </c>
      <c r="L444" s="43">
        <f t="shared" si="44"/>
        <v>46125</v>
      </c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ht="15.75" customHeight="1" x14ac:dyDescent="0.25">
      <c r="A445" s="7"/>
      <c r="B445" s="56">
        <v>100012873</v>
      </c>
      <c r="C445" s="59" t="s">
        <v>538</v>
      </c>
      <c r="D445" s="58"/>
      <c r="E445" s="66">
        <v>77714.61</v>
      </c>
      <c r="F445" s="47">
        <v>70371.509999999995</v>
      </c>
      <c r="G445" s="47">
        <v>71595.37</v>
      </c>
      <c r="H445" s="34">
        <f t="shared" si="30"/>
        <v>73227.16333333333</v>
      </c>
      <c r="I445" s="42">
        <f t="shared" si="33"/>
        <v>0.10434762590713209</v>
      </c>
      <c r="J445" s="36">
        <f t="shared" si="45"/>
        <v>6.1281175760415696E-2</v>
      </c>
      <c r="K445" s="51">
        <v>45944</v>
      </c>
      <c r="L445" s="43">
        <f t="shared" si="44"/>
        <v>46126</v>
      </c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ht="15.75" customHeight="1" x14ac:dyDescent="0.25">
      <c r="A446" s="7"/>
      <c r="B446" s="56">
        <v>100012751</v>
      </c>
      <c r="C446" s="59" t="s">
        <v>539</v>
      </c>
      <c r="D446" s="58"/>
      <c r="E446" s="66">
        <v>1107.96</v>
      </c>
      <c r="F446" s="47">
        <v>1107.96</v>
      </c>
      <c r="G446" s="47">
        <v>1154.99</v>
      </c>
      <c r="H446" s="34">
        <f t="shared" si="30"/>
        <v>1123.6366666666665</v>
      </c>
      <c r="I446" s="42">
        <f t="shared" si="33"/>
        <v>4.2447380771869048E-2</v>
      </c>
      <c r="J446" s="36">
        <f t="shared" si="45"/>
        <v>2.7903444470484429E-2</v>
      </c>
      <c r="K446" s="51">
        <v>45944</v>
      </c>
      <c r="L446" s="43">
        <f t="shared" si="44"/>
        <v>46126</v>
      </c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ht="15.75" customHeight="1" x14ac:dyDescent="0.25">
      <c r="A447" s="7"/>
      <c r="B447" s="56">
        <v>100012783</v>
      </c>
      <c r="C447" s="59" t="s">
        <v>540</v>
      </c>
      <c r="D447" s="58"/>
      <c r="E447" s="82">
        <v>89.19</v>
      </c>
      <c r="F447" s="50">
        <v>79.36</v>
      </c>
      <c r="G447" s="50">
        <v>82</v>
      </c>
      <c r="H447" s="34">
        <f t="shared" si="30"/>
        <v>83.516666666666666</v>
      </c>
      <c r="I447" s="42">
        <f t="shared" si="33"/>
        <v>0.12386592741935476</v>
      </c>
      <c r="J447" s="36">
        <f t="shared" si="45"/>
        <v>6.7930552783875386E-2</v>
      </c>
      <c r="K447" s="51">
        <v>45944</v>
      </c>
      <c r="L447" s="43">
        <f t="shared" si="44"/>
        <v>46126</v>
      </c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ht="15.75" customHeight="1" x14ac:dyDescent="0.25">
      <c r="A448" s="7"/>
      <c r="B448" s="56">
        <v>100012806</v>
      </c>
      <c r="C448" s="59" t="s">
        <v>541</v>
      </c>
      <c r="D448" s="58"/>
      <c r="E448" s="66">
        <v>142.69999999999999</v>
      </c>
      <c r="F448" s="47">
        <v>152</v>
      </c>
      <c r="G448" s="47">
        <v>136.66999999999999</v>
      </c>
      <c r="H448" s="34">
        <f t="shared" si="30"/>
        <v>143.79</v>
      </c>
      <c r="I448" s="42">
        <f t="shared" si="33"/>
        <v>0.11216799590253901</v>
      </c>
      <c r="J448" s="36">
        <f t="shared" si="45"/>
        <v>5.7097155574101111E-2</v>
      </c>
      <c r="K448" s="51">
        <v>45944</v>
      </c>
      <c r="L448" s="43">
        <f t="shared" si="44"/>
        <v>46126</v>
      </c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ht="15.75" customHeight="1" x14ac:dyDescent="0.25">
      <c r="A449" s="7"/>
      <c r="B449" s="56">
        <v>100012841</v>
      </c>
      <c r="C449" s="59" t="s">
        <v>542</v>
      </c>
      <c r="D449" s="58"/>
      <c r="E449" s="82">
        <v>9790</v>
      </c>
      <c r="F449" s="50">
        <v>9842.9</v>
      </c>
      <c r="G449" s="50">
        <v>9898</v>
      </c>
      <c r="H449" s="34">
        <f t="shared" si="30"/>
        <v>9843.6333333333332</v>
      </c>
      <c r="I449" s="42">
        <f t="shared" si="33"/>
        <v>1.1031664964249233E-2</v>
      </c>
      <c r="J449" s="36">
        <f t="shared" si="45"/>
        <v>5.5230284210776581E-3</v>
      </c>
      <c r="K449" s="51">
        <v>45944</v>
      </c>
      <c r="L449" s="43">
        <f t="shared" si="44"/>
        <v>46126</v>
      </c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ht="15.75" customHeight="1" x14ac:dyDescent="0.25">
      <c r="A450" s="7"/>
      <c r="B450" s="56"/>
      <c r="C450" s="59"/>
      <c r="D450" s="58"/>
      <c r="E450" s="66">
        <v>9490</v>
      </c>
      <c r="F450" s="47">
        <v>7990</v>
      </c>
      <c r="G450" s="47">
        <v>9932.42</v>
      </c>
      <c r="H450" s="34">
        <f t="shared" si="30"/>
        <v>9137.4733333333334</v>
      </c>
      <c r="I450" s="42">
        <f t="shared" si="33"/>
        <v>0.24310638297872345</v>
      </c>
      <c r="J450" s="36">
        <f t="shared" si="45"/>
        <v>8.6998521108315074E-2</v>
      </c>
      <c r="K450" s="51">
        <v>45943</v>
      </c>
      <c r="L450" s="43">
        <f t="shared" si="44"/>
        <v>46125</v>
      </c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ht="15.75" customHeight="1" x14ac:dyDescent="0.25">
      <c r="A451" s="7"/>
      <c r="B451" s="56">
        <v>100012843</v>
      </c>
      <c r="C451" s="59" t="s">
        <v>543</v>
      </c>
      <c r="D451" s="58"/>
      <c r="E451" s="82">
        <v>299.8</v>
      </c>
      <c r="F451" s="50">
        <v>299</v>
      </c>
      <c r="G451" s="50">
        <v>304</v>
      </c>
      <c r="H451" s="34">
        <f t="shared" si="30"/>
        <v>300.93333333333334</v>
      </c>
      <c r="I451" s="42">
        <f t="shared" si="33"/>
        <v>1.6722408026755842E-2</v>
      </c>
      <c r="J451" s="36">
        <f t="shared" si="45"/>
        <v>1.0190518387239722E-2</v>
      </c>
      <c r="K451" s="51">
        <v>45944</v>
      </c>
      <c r="L451" s="43">
        <f t="shared" si="44"/>
        <v>46126</v>
      </c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ht="15.75" customHeight="1" x14ac:dyDescent="0.25">
      <c r="A452" s="7"/>
      <c r="B452" s="56">
        <v>100013093</v>
      </c>
      <c r="C452" s="59" t="s">
        <v>544</v>
      </c>
      <c r="D452" s="58"/>
      <c r="E452" s="66">
        <v>30500</v>
      </c>
      <c r="F452" s="47">
        <v>35499</v>
      </c>
      <c r="G452" s="47">
        <v>31110.71</v>
      </c>
      <c r="H452" s="34">
        <f t="shared" si="30"/>
        <v>32369.903333333332</v>
      </c>
      <c r="I452" s="42">
        <f t="shared" si="33"/>
        <v>0.16390163934426227</v>
      </c>
      <c r="J452" s="36">
        <f t="shared" si="45"/>
        <v>9.6666852367286449E-2</v>
      </c>
      <c r="K452" s="51">
        <v>45944</v>
      </c>
      <c r="L452" s="43">
        <f t="shared" si="44"/>
        <v>46126</v>
      </c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ht="20.25" customHeight="1" x14ac:dyDescent="0.25">
      <c r="A453" s="7"/>
      <c r="B453" s="56">
        <v>100002274</v>
      </c>
      <c r="C453" s="59" t="s">
        <v>545</v>
      </c>
      <c r="D453" s="58"/>
      <c r="E453" s="66">
        <v>1149</v>
      </c>
      <c r="F453" s="47">
        <v>1378.55</v>
      </c>
      <c r="G453" s="47">
        <v>1533.22</v>
      </c>
      <c r="H453" s="34">
        <f t="shared" si="30"/>
        <v>1353.5900000000001</v>
      </c>
      <c r="I453" s="42">
        <f t="shared" si="33"/>
        <v>0.33439512619669287</v>
      </c>
      <c r="J453" s="36">
        <f t="shared" si="45"/>
        <v>0.13270635864626645</v>
      </c>
      <c r="K453" s="51">
        <v>45944</v>
      </c>
      <c r="L453" s="43">
        <f t="shared" si="44"/>
        <v>46126</v>
      </c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ht="15.75" customHeight="1" x14ac:dyDescent="0.25">
      <c r="A454" s="7"/>
      <c r="B454" s="56">
        <v>100010841</v>
      </c>
      <c r="C454" s="59" t="s">
        <v>546</v>
      </c>
      <c r="D454" s="58"/>
      <c r="E454" s="66" t="s">
        <v>547</v>
      </c>
      <c r="F454" s="47">
        <v>1903.41</v>
      </c>
      <c r="G454" s="47">
        <v>1999</v>
      </c>
      <c r="H454" s="34">
        <f t="shared" si="30"/>
        <v>1300.8033333333333</v>
      </c>
      <c r="I454" s="42">
        <f t="shared" si="33"/>
        <v>5.0220393924587992E-2</v>
      </c>
      <c r="J454" s="36">
        <f t="shared" si="45"/>
        <v>0.53674267952367893</v>
      </c>
      <c r="K454" s="51">
        <v>45944</v>
      </c>
      <c r="L454" s="43">
        <f t="shared" si="44"/>
        <v>46126</v>
      </c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ht="15.75" customHeight="1" x14ac:dyDescent="0.25">
      <c r="A455" s="7"/>
      <c r="B455" s="56">
        <v>100012906</v>
      </c>
      <c r="C455" s="105" t="s">
        <v>548</v>
      </c>
      <c r="D455" s="58"/>
      <c r="E455" s="66">
        <v>21688.28</v>
      </c>
      <c r="F455" s="47">
        <v>26900</v>
      </c>
      <c r="G455" s="47">
        <v>22468.39</v>
      </c>
      <c r="H455" s="34">
        <f t="shared" si="30"/>
        <v>23685.556666666667</v>
      </c>
      <c r="I455" s="42">
        <f t="shared" si="33"/>
        <v>0.24030121337422794</v>
      </c>
      <c r="J455" s="36">
        <f t="shared" si="45"/>
        <v>0.1357132272030197</v>
      </c>
      <c r="K455" s="51">
        <v>45944</v>
      </c>
      <c r="L455" s="43">
        <f t="shared" si="44"/>
        <v>46126</v>
      </c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ht="15.75" customHeight="1" x14ac:dyDescent="0.25">
      <c r="A456" s="7"/>
      <c r="B456" s="56">
        <v>100010105</v>
      </c>
      <c r="C456" s="59" t="s">
        <v>549</v>
      </c>
      <c r="D456" s="58"/>
      <c r="E456" s="66">
        <v>510</v>
      </c>
      <c r="F456" s="47">
        <v>540</v>
      </c>
      <c r="G456" s="47">
        <v>629</v>
      </c>
      <c r="H456" s="34">
        <f t="shared" si="30"/>
        <v>559.66666666666663</v>
      </c>
      <c r="I456" s="42">
        <f t="shared" si="33"/>
        <v>0.23333333333333339</v>
      </c>
      <c r="J456" s="36">
        <f t="shared" si="45"/>
        <v>0.12388326384752846</v>
      </c>
      <c r="K456" s="51"/>
      <c r="L456" s="43">
        <f t="shared" si="44"/>
        <v>182</v>
      </c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ht="15.75" customHeight="1" x14ac:dyDescent="0.25">
      <c r="A457" s="7"/>
      <c r="B457" s="56">
        <v>100012354</v>
      </c>
      <c r="C457" s="59" t="s">
        <v>550</v>
      </c>
      <c r="D457" s="58"/>
      <c r="E457" s="82">
        <v>1051.6300000000001</v>
      </c>
      <c r="F457" s="50">
        <v>900.78</v>
      </c>
      <c r="G457" s="50">
        <v>910.48</v>
      </c>
      <c r="H457" s="34">
        <f t="shared" si="30"/>
        <v>954.29666666666674</v>
      </c>
      <c r="I457" s="42">
        <f t="shared" si="33"/>
        <v>0.16746597393370211</v>
      </c>
      <c r="J457" s="36">
        <f t="shared" si="45"/>
        <v>0.10199483738460091</v>
      </c>
      <c r="K457" s="51"/>
      <c r="L457" s="43">
        <f t="shared" si="44"/>
        <v>182</v>
      </c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ht="15.75" customHeight="1" x14ac:dyDescent="0.25">
      <c r="A458" s="7"/>
      <c r="B458" s="56">
        <v>100010711</v>
      </c>
      <c r="C458" s="59" t="s">
        <v>551</v>
      </c>
      <c r="D458" s="58"/>
      <c r="E458" s="82">
        <v>9457</v>
      </c>
      <c r="F458" s="50">
        <v>10835.8</v>
      </c>
      <c r="G458" s="50">
        <v>10836</v>
      </c>
      <c r="H458" s="34">
        <f t="shared" si="30"/>
        <v>10376.266666666666</v>
      </c>
      <c r="I458" s="42">
        <f t="shared" si="33"/>
        <v>0.14581791265729094</v>
      </c>
      <c r="J458" s="36">
        <f t="shared" si="45"/>
        <v>4.430623731078609E-2</v>
      </c>
      <c r="K458" s="51">
        <v>45944</v>
      </c>
      <c r="L458" s="43">
        <f t="shared" si="44"/>
        <v>46126</v>
      </c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ht="18.75" customHeight="1" x14ac:dyDescent="0.25">
      <c r="A459" s="7"/>
      <c r="B459" s="56">
        <v>100010571</v>
      </c>
      <c r="C459" s="59" t="s">
        <v>552</v>
      </c>
      <c r="D459" s="58"/>
      <c r="E459" s="82">
        <v>41.6</v>
      </c>
      <c r="F459" s="50">
        <v>43.9</v>
      </c>
      <c r="G459" s="50">
        <v>39.9</v>
      </c>
      <c r="H459" s="34">
        <f t="shared" si="30"/>
        <v>41.800000000000004</v>
      </c>
      <c r="I459" s="42">
        <f t="shared" si="33"/>
        <v>0.10025062656641603</v>
      </c>
      <c r="J459" s="36">
        <f t="shared" si="45"/>
        <v>5.0239234449760639E-2</v>
      </c>
      <c r="K459" s="51">
        <v>45945</v>
      </c>
      <c r="L459" s="43">
        <f t="shared" si="44"/>
        <v>46127</v>
      </c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ht="15.75" customHeight="1" x14ac:dyDescent="0.25">
      <c r="A460" s="7"/>
      <c r="B460" s="56">
        <v>100010572</v>
      </c>
      <c r="C460" s="59" t="s">
        <v>553</v>
      </c>
      <c r="D460" s="58"/>
      <c r="E460" s="66">
        <v>45.9</v>
      </c>
      <c r="F460" s="47">
        <v>47.9</v>
      </c>
      <c r="G460" s="47">
        <v>47.6</v>
      </c>
      <c r="H460" s="34">
        <f t="shared" si="30"/>
        <v>47.133333333333333</v>
      </c>
      <c r="I460" s="42">
        <f t="shared" si="33"/>
        <v>4.3572984749455257E-2</v>
      </c>
      <c r="J460" s="36">
        <f t="shared" si="45"/>
        <v>1.6265912305516217E-2</v>
      </c>
      <c r="K460" s="51">
        <v>45945</v>
      </c>
      <c r="L460" s="43">
        <f t="shared" si="44"/>
        <v>46127</v>
      </c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ht="15.75" customHeight="1" x14ac:dyDescent="0.25">
      <c r="A461" s="7"/>
      <c r="B461" s="68">
        <v>100013082</v>
      </c>
      <c r="C461" s="57" t="s">
        <v>554</v>
      </c>
      <c r="D461" s="58" t="s">
        <v>555</v>
      </c>
      <c r="E461" s="66">
        <v>931.61</v>
      </c>
      <c r="F461" s="47">
        <v>1178.78</v>
      </c>
      <c r="G461" s="47">
        <v>931.61</v>
      </c>
      <c r="H461" s="34">
        <f t="shared" si="30"/>
        <v>1014</v>
      </c>
      <c r="I461" s="42">
        <f t="shared" si="33"/>
        <v>0.26531488498405986</v>
      </c>
      <c r="J461" s="36">
        <f t="shared" si="45"/>
        <v>0.16250493096646945</v>
      </c>
      <c r="K461" s="51"/>
      <c r="L461" s="43">
        <f t="shared" si="44"/>
        <v>182</v>
      </c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ht="15.75" customHeight="1" x14ac:dyDescent="0.25">
      <c r="A462" s="7"/>
      <c r="B462" s="68">
        <v>100013082</v>
      </c>
      <c r="C462" s="57" t="s">
        <v>554</v>
      </c>
      <c r="D462" s="58" t="s">
        <v>556</v>
      </c>
      <c r="E462" s="66">
        <v>3790</v>
      </c>
      <c r="F462" s="47">
        <v>3445.44</v>
      </c>
      <c r="G462" s="47">
        <v>3589</v>
      </c>
      <c r="H462" s="34">
        <f t="shared" si="30"/>
        <v>3608.146666666667</v>
      </c>
      <c r="I462" s="42">
        <f t="shared" si="33"/>
        <v>0.1000046438190767</v>
      </c>
      <c r="J462" s="36">
        <f t="shared" si="45"/>
        <v>5.0400759762167846E-2</v>
      </c>
      <c r="K462" s="51"/>
      <c r="L462" s="43">
        <f t="shared" si="44"/>
        <v>182</v>
      </c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ht="15.75" customHeight="1" x14ac:dyDescent="0.25">
      <c r="A463" s="7"/>
      <c r="B463" s="68">
        <v>100013082</v>
      </c>
      <c r="C463" s="57" t="s">
        <v>554</v>
      </c>
      <c r="D463" s="58" t="s">
        <v>557</v>
      </c>
      <c r="E463" s="66">
        <v>2100</v>
      </c>
      <c r="F463" s="47">
        <v>2390</v>
      </c>
      <c r="G463" s="47">
        <v>2489</v>
      </c>
      <c r="H463" s="34">
        <f t="shared" si="30"/>
        <v>2326.3333333333335</v>
      </c>
      <c r="I463" s="42">
        <f t="shared" si="33"/>
        <v>0.1852380952380952</v>
      </c>
      <c r="J463" s="36">
        <f t="shared" si="45"/>
        <v>6.992405788794942E-2</v>
      </c>
      <c r="K463" s="51"/>
      <c r="L463" s="43">
        <f t="shared" si="44"/>
        <v>182</v>
      </c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ht="15.75" customHeight="1" x14ac:dyDescent="0.25">
      <c r="A464" s="7"/>
      <c r="B464" s="68">
        <v>100013082</v>
      </c>
      <c r="C464" s="57" t="s">
        <v>554</v>
      </c>
      <c r="D464" s="58" t="s">
        <v>558</v>
      </c>
      <c r="E464" s="66">
        <v>4526.55</v>
      </c>
      <c r="F464" s="47">
        <v>3914.91</v>
      </c>
      <c r="G464" s="47">
        <v>3505.5</v>
      </c>
      <c r="H464" s="34">
        <f t="shared" si="30"/>
        <v>3982.3199999999997</v>
      </c>
      <c r="I464" s="42">
        <f t="shared" si="33"/>
        <v>0.29127086007702196</v>
      </c>
      <c r="J464" s="36">
        <f t="shared" si="45"/>
        <v>0.13666154402458885</v>
      </c>
      <c r="K464" s="51"/>
      <c r="L464" s="43">
        <f t="shared" si="44"/>
        <v>182</v>
      </c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ht="15.75" customHeight="1" x14ac:dyDescent="0.25">
      <c r="A465" s="7"/>
      <c r="B465" s="85">
        <v>100013082</v>
      </c>
      <c r="C465" s="135" t="s">
        <v>554</v>
      </c>
      <c r="D465" s="87" t="s">
        <v>559</v>
      </c>
      <c r="E465" s="88">
        <v>7900</v>
      </c>
      <c r="F465" s="89">
        <v>9900</v>
      </c>
      <c r="G465" s="89"/>
      <c r="H465" s="90">
        <f t="shared" si="30"/>
        <v>5933.333333333333</v>
      </c>
      <c r="I465" s="91">
        <f t="shared" si="33"/>
        <v>0.25316455696202533</v>
      </c>
      <c r="J465" s="92">
        <f t="shared" si="45"/>
        <v>0.66853932584269682</v>
      </c>
      <c r="K465" s="93"/>
      <c r="L465" s="94">
        <f t="shared" si="44"/>
        <v>182</v>
      </c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ht="21" customHeight="1" x14ac:dyDescent="0.25">
      <c r="A466" s="7"/>
      <c r="B466" s="56">
        <v>100010579</v>
      </c>
      <c r="C466" s="59" t="s">
        <v>560</v>
      </c>
      <c r="D466" s="58"/>
      <c r="E466" s="66">
        <v>56.9</v>
      </c>
      <c r="F466" s="47">
        <v>46</v>
      </c>
      <c r="G466" s="47">
        <v>52.33</v>
      </c>
      <c r="H466" s="34">
        <f t="shared" si="30"/>
        <v>51.743333333333339</v>
      </c>
      <c r="I466" s="42">
        <f t="shared" si="33"/>
        <v>0.23695652173913051</v>
      </c>
      <c r="J466" s="36">
        <f t="shared" si="45"/>
        <v>9.9658571152483333E-2</v>
      </c>
      <c r="K466" s="51">
        <v>45945</v>
      </c>
      <c r="L466" s="43">
        <f t="shared" si="44"/>
        <v>46127</v>
      </c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ht="15.75" customHeight="1" x14ac:dyDescent="0.25">
      <c r="A467" s="7"/>
      <c r="B467" s="56">
        <v>100010626</v>
      </c>
      <c r="C467" s="59" t="s">
        <v>561</v>
      </c>
      <c r="D467" s="58"/>
      <c r="E467" s="66">
        <v>64.900000000000006</v>
      </c>
      <c r="F467" s="47">
        <v>63.66</v>
      </c>
      <c r="G467" s="47">
        <v>63.99</v>
      </c>
      <c r="H467" s="34">
        <f t="shared" si="30"/>
        <v>64.183333333333337</v>
      </c>
      <c r="I467" s="42">
        <f t="shared" si="33"/>
        <v>1.9478479421929151E-2</v>
      </c>
      <c r="J467" s="36">
        <f t="shared" si="45"/>
        <v>1.1165930927031997E-2</v>
      </c>
      <c r="K467" s="51">
        <v>45945</v>
      </c>
      <c r="L467" s="43">
        <f t="shared" si="44"/>
        <v>46127</v>
      </c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ht="15.75" customHeight="1" x14ac:dyDescent="0.25">
      <c r="A468" s="7"/>
      <c r="B468" s="56">
        <v>100012856</v>
      </c>
      <c r="C468" s="59" t="s">
        <v>562</v>
      </c>
      <c r="D468" s="58"/>
      <c r="E468" s="66">
        <v>23.7</v>
      </c>
      <c r="F468" s="47">
        <v>23.99</v>
      </c>
      <c r="G468" s="47">
        <v>23.6</v>
      </c>
      <c r="H468" s="34">
        <f t="shared" si="30"/>
        <v>23.763333333333332</v>
      </c>
      <c r="I468" s="42">
        <f t="shared" si="33"/>
        <v>1.6525423728813493E-2</v>
      </c>
      <c r="J468" s="36">
        <f t="shared" si="45"/>
        <v>9.5385046991163236E-3</v>
      </c>
      <c r="K468" s="51">
        <v>45945</v>
      </c>
      <c r="L468" s="43">
        <f t="shared" si="44"/>
        <v>46127</v>
      </c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ht="15.75" customHeight="1" x14ac:dyDescent="0.25">
      <c r="A469" s="7"/>
      <c r="B469" s="56">
        <v>100012857</v>
      </c>
      <c r="C469" s="59" t="s">
        <v>563</v>
      </c>
      <c r="D469" s="58"/>
      <c r="E469" s="66">
        <v>81.39</v>
      </c>
      <c r="F469" s="47">
        <v>69.900000000000006</v>
      </c>
      <c r="G469" s="47">
        <v>74.180000000000007</v>
      </c>
      <c r="H469" s="34">
        <f t="shared" si="30"/>
        <v>75.15666666666668</v>
      </c>
      <c r="I469" s="42">
        <f t="shared" si="33"/>
        <v>0.16437768240343331</v>
      </c>
      <c r="J469" s="36"/>
      <c r="K469" s="51">
        <v>45945</v>
      </c>
      <c r="L469" s="43">
        <f t="shared" si="44"/>
        <v>46127</v>
      </c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ht="15.75" customHeight="1" x14ac:dyDescent="0.25">
      <c r="A470" s="7"/>
      <c r="B470" s="56">
        <v>100012883</v>
      </c>
      <c r="C470" s="59" t="s">
        <v>564</v>
      </c>
      <c r="D470" s="58"/>
      <c r="E470" s="66">
        <v>280</v>
      </c>
      <c r="F470" s="47">
        <v>352</v>
      </c>
      <c r="G470" s="47">
        <v>296</v>
      </c>
      <c r="H470" s="34">
        <f t="shared" si="30"/>
        <v>309.33333333333331</v>
      </c>
      <c r="I470" s="42">
        <f t="shared" si="33"/>
        <v>0.25714285714285712</v>
      </c>
      <c r="J470" s="36">
        <f t="shared" ref="J470:J472" si="46">IF(ISERROR(MAX(E470:G470)/H470-1),"",(MAX(E470:G470)/H470-1))</f>
        <v>0.13793103448275867</v>
      </c>
      <c r="K470" s="51">
        <v>45945</v>
      </c>
      <c r="L470" s="43">
        <f t="shared" si="44"/>
        <v>46127</v>
      </c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ht="15.75" customHeight="1" x14ac:dyDescent="0.25">
      <c r="A471" s="7"/>
      <c r="B471" s="111">
        <v>100010239</v>
      </c>
      <c r="C471" s="57" t="s">
        <v>565</v>
      </c>
      <c r="D471" s="58"/>
      <c r="E471" s="66">
        <v>965</v>
      </c>
      <c r="F471" s="47">
        <v>799</v>
      </c>
      <c r="G471" s="47">
        <v>799</v>
      </c>
      <c r="H471" s="34">
        <f t="shared" si="30"/>
        <v>854.33333333333337</v>
      </c>
      <c r="I471" s="42">
        <f t="shared" si="33"/>
        <v>0.20775969962453056</v>
      </c>
      <c r="J471" s="36">
        <f t="shared" si="46"/>
        <v>0.12953570035115103</v>
      </c>
      <c r="K471" s="51">
        <v>45945</v>
      </c>
      <c r="L471" s="43">
        <f t="shared" si="44"/>
        <v>46127</v>
      </c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ht="15.75" customHeight="1" x14ac:dyDescent="0.25">
      <c r="A472" s="7"/>
      <c r="B472" s="56">
        <v>100002319</v>
      </c>
      <c r="C472" s="59" t="s">
        <v>566</v>
      </c>
      <c r="D472" s="58"/>
      <c r="E472" s="82">
        <v>1590</v>
      </c>
      <c r="F472" s="50">
        <v>2000</v>
      </c>
      <c r="G472" s="50">
        <v>1750</v>
      </c>
      <c r="H472" s="34">
        <f t="shared" si="30"/>
        <v>1780</v>
      </c>
      <c r="I472" s="42">
        <f t="shared" si="33"/>
        <v>0.25786163522012573</v>
      </c>
      <c r="J472" s="36">
        <f t="shared" si="46"/>
        <v>0.12359550561797761</v>
      </c>
      <c r="K472" s="51">
        <v>45945</v>
      </c>
      <c r="L472" s="43">
        <f t="shared" si="44"/>
        <v>46127</v>
      </c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ht="15.75" customHeight="1" x14ac:dyDescent="0.25">
      <c r="A473" s="7"/>
      <c r="B473" s="56">
        <v>100012600</v>
      </c>
      <c r="C473" s="59" t="s">
        <v>567</v>
      </c>
      <c r="D473" s="58"/>
      <c r="E473" s="66">
        <v>2379</v>
      </c>
      <c r="F473" s="47">
        <v>2423.2199999999998</v>
      </c>
      <c r="G473" s="47">
        <v>2399</v>
      </c>
      <c r="H473" s="34">
        <f t="shared" si="30"/>
        <v>2400.4066666666663</v>
      </c>
      <c r="I473" s="42">
        <f t="shared" si="33"/>
        <v>1.8587641866330218E-2</v>
      </c>
      <c r="J473" s="36"/>
      <c r="K473" s="51">
        <v>45945</v>
      </c>
      <c r="L473" s="43">
        <f t="shared" si="44"/>
        <v>46127</v>
      </c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ht="15.75" customHeight="1" x14ac:dyDescent="0.25">
      <c r="A474" s="7"/>
      <c r="B474" s="56">
        <v>100012605</v>
      </c>
      <c r="C474" s="59" t="s">
        <v>568</v>
      </c>
      <c r="D474" s="58"/>
      <c r="E474" s="66">
        <v>32.4</v>
      </c>
      <c r="F474" s="47">
        <v>32.35</v>
      </c>
      <c r="G474" s="47">
        <v>29.9</v>
      </c>
      <c r="H474" s="34">
        <f t="shared" si="30"/>
        <v>31.55</v>
      </c>
      <c r="I474" s="42">
        <f t="shared" si="33"/>
        <v>8.3612040133779209E-2</v>
      </c>
      <c r="J474" s="36">
        <f t="shared" ref="J474:J493" si="47">IF(ISERROR(MAX(E474:G474)/H474-1),"",(MAX(E474:G474)/H474-1))</f>
        <v>2.694136291600624E-2</v>
      </c>
      <c r="K474" s="51">
        <v>45945</v>
      </c>
      <c r="L474" s="43">
        <f t="shared" si="44"/>
        <v>46127</v>
      </c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ht="15.75" customHeight="1" x14ac:dyDescent="0.25">
      <c r="A475" s="7"/>
      <c r="B475" s="56">
        <v>100013123</v>
      </c>
      <c r="C475" s="59" t="s">
        <v>569</v>
      </c>
      <c r="D475" s="58"/>
      <c r="E475" s="66">
        <v>9831.58</v>
      </c>
      <c r="F475" s="84">
        <v>10000</v>
      </c>
      <c r="G475" s="47">
        <v>8961.5400000000009</v>
      </c>
      <c r="H475" s="34">
        <f t="shared" si="30"/>
        <v>9597.7066666666669</v>
      </c>
      <c r="I475" s="42">
        <f t="shared" si="33"/>
        <v>0.11587963675886059</v>
      </c>
      <c r="J475" s="36">
        <f t="shared" si="47"/>
        <v>4.1915568719194107E-2</v>
      </c>
      <c r="K475" s="51">
        <v>45945</v>
      </c>
      <c r="L475" s="43">
        <f t="shared" si="44"/>
        <v>46127</v>
      </c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ht="15.75" customHeight="1" x14ac:dyDescent="0.25">
      <c r="A476" s="7"/>
      <c r="B476" s="56">
        <v>100002315</v>
      </c>
      <c r="C476" s="59" t="s">
        <v>570</v>
      </c>
      <c r="D476" s="58"/>
      <c r="E476" s="66">
        <v>1016.9</v>
      </c>
      <c r="F476" s="47">
        <v>1084.9000000000001</v>
      </c>
      <c r="G476" s="47">
        <v>1098.9000000000001</v>
      </c>
      <c r="H476" s="34">
        <f t="shared" si="30"/>
        <v>1066.9000000000001</v>
      </c>
      <c r="I476" s="42">
        <f t="shared" si="33"/>
        <v>8.0637230799488702E-2</v>
      </c>
      <c r="J476" s="36">
        <f t="shared" si="47"/>
        <v>2.9993438935232986E-2</v>
      </c>
      <c r="K476" s="51">
        <v>45946</v>
      </c>
      <c r="L476" s="43">
        <f t="shared" si="44"/>
        <v>46128</v>
      </c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ht="15.75" customHeight="1" x14ac:dyDescent="0.25">
      <c r="A477" s="7"/>
      <c r="B477" s="56">
        <v>100002338</v>
      </c>
      <c r="C477" s="59" t="s">
        <v>571</v>
      </c>
      <c r="D477" s="81" t="s">
        <v>572</v>
      </c>
      <c r="E477" s="66">
        <v>1003.63</v>
      </c>
      <c r="F477" s="47">
        <v>956.9</v>
      </c>
      <c r="G477" s="47">
        <v>909.89</v>
      </c>
      <c r="H477" s="34">
        <f t="shared" si="30"/>
        <v>956.80666666666673</v>
      </c>
      <c r="I477" s="42">
        <f t="shared" si="33"/>
        <v>0.10302344239413563</v>
      </c>
      <c r="J477" s="36">
        <f t="shared" si="47"/>
        <v>4.893708934580987E-2</v>
      </c>
      <c r="K477" s="51">
        <v>45946</v>
      </c>
      <c r="L477" s="43">
        <f t="shared" si="44"/>
        <v>46128</v>
      </c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ht="15.75" customHeight="1" x14ac:dyDescent="0.25">
      <c r="A478" s="7"/>
      <c r="B478" s="56">
        <v>100002338</v>
      </c>
      <c r="C478" s="59" t="s">
        <v>571</v>
      </c>
      <c r="D478" s="58" t="s">
        <v>573</v>
      </c>
      <c r="E478" s="66">
        <v>1799</v>
      </c>
      <c r="F478" s="47">
        <v>1999.62</v>
      </c>
      <c r="G478" s="47">
        <v>1905.19</v>
      </c>
      <c r="H478" s="34">
        <f t="shared" si="30"/>
        <v>1901.2699999999998</v>
      </c>
      <c r="I478" s="42">
        <f t="shared" si="33"/>
        <v>0.11151750972762642</v>
      </c>
      <c r="J478" s="36">
        <f t="shared" si="47"/>
        <v>5.1728581421891739E-2</v>
      </c>
      <c r="K478" s="51">
        <v>45946</v>
      </c>
      <c r="L478" s="43">
        <f t="shared" si="44"/>
        <v>46128</v>
      </c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ht="15.75" customHeight="1" x14ac:dyDescent="0.25">
      <c r="A479" s="7"/>
      <c r="B479" s="112">
        <v>100011698</v>
      </c>
      <c r="C479" s="59" t="s">
        <v>574</v>
      </c>
      <c r="D479" s="58" t="s">
        <v>575</v>
      </c>
      <c r="E479" s="66">
        <v>740.63</v>
      </c>
      <c r="F479" s="47">
        <v>649</v>
      </c>
      <c r="G479" s="47">
        <v>649.9</v>
      </c>
      <c r="H479" s="34">
        <f t="shared" si="30"/>
        <v>679.84333333333336</v>
      </c>
      <c r="I479" s="42">
        <f t="shared" si="33"/>
        <v>0.14118644067796615</v>
      </c>
      <c r="J479" s="36">
        <f t="shared" si="47"/>
        <v>8.9412756860649312E-2</v>
      </c>
      <c r="K479" s="51">
        <v>45946</v>
      </c>
      <c r="L479" s="43">
        <f t="shared" si="44"/>
        <v>46128</v>
      </c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ht="15.75" customHeight="1" x14ac:dyDescent="0.25">
      <c r="A480" s="7"/>
      <c r="B480" s="56">
        <v>100012888</v>
      </c>
      <c r="C480" s="59" t="s">
        <v>576</v>
      </c>
      <c r="D480" s="58"/>
      <c r="E480" s="66">
        <v>1313</v>
      </c>
      <c r="F480" s="47">
        <v>1049</v>
      </c>
      <c r="G480" s="47">
        <v>1110</v>
      </c>
      <c r="H480" s="34">
        <f t="shared" si="30"/>
        <v>1157.3333333333333</v>
      </c>
      <c r="I480" s="42">
        <f t="shared" si="33"/>
        <v>0.25166825548141092</v>
      </c>
      <c r="J480" s="36">
        <f t="shared" si="47"/>
        <v>0.13450460829493105</v>
      </c>
      <c r="K480" s="51">
        <v>45946</v>
      </c>
      <c r="L480" s="43">
        <f t="shared" si="44"/>
        <v>46128</v>
      </c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ht="15.75" customHeight="1" x14ac:dyDescent="0.25">
      <c r="A481" s="7"/>
      <c r="B481" s="56">
        <v>100011698</v>
      </c>
      <c r="C481" s="59" t="s">
        <v>577</v>
      </c>
      <c r="D481" s="58" t="s">
        <v>578</v>
      </c>
      <c r="E481" s="66">
        <v>1949.6</v>
      </c>
      <c r="F481" s="47">
        <v>1690.43</v>
      </c>
      <c r="G481" s="47">
        <v>1805.68</v>
      </c>
      <c r="H481" s="34">
        <f t="shared" si="30"/>
        <v>1815.2366666666667</v>
      </c>
      <c r="I481" s="42">
        <f t="shared" si="33"/>
        <v>0.15331602018421342</v>
      </c>
      <c r="J481" s="36">
        <f t="shared" si="47"/>
        <v>7.4019732964113016E-2</v>
      </c>
      <c r="K481" s="51">
        <v>45947</v>
      </c>
      <c r="L481" s="43">
        <f t="shared" si="44"/>
        <v>46129</v>
      </c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ht="15.75" customHeight="1" x14ac:dyDescent="0.25">
      <c r="A482" s="7"/>
      <c r="B482" s="56">
        <v>100012898</v>
      </c>
      <c r="C482" s="59" t="s">
        <v>579</v>
      </c>
      <c r="D482" s="58" t="s">
        <v>573</v>
      </c>
      <c r="E482" s="66">
        <v>1990</v>
      </c>
      <c r="F482" s="47">
        <v>2159</v>
      </c>
      <c r="G482" s="47">
        <v>1873</v>
      </c>
      <c r="H482" s="34">
        <f t="shared" si="30"/>
        <v>2007.3333333333333</v>
      </c>
      <c r="I482" s="42">
        <f t="shared" si="33"/>
        <v>0.15269620928990935</v>
      </c>
      <c r="J482" s="36">
        <f t="shared" si="47"/>
        <v>7.5556293590169465E-2</v>
      </c>
      <c r="K482" s="51">
        <v>45947</v>
      </c>
      <c r="L482" s="43">
        <f t="shared" si="44"/>
        <v>46129</v>
      </c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ht="15.75" customHeight="1" x14ac:dyDescent="0.25">
      <c r="A483" s="7"/>
      <c r="B483" s="56">
        <v>100012287</v>
      </c>
      <c r="C483" s="59" t="s">
        <v>617</v>
      </c>
      <c r="D483" s="58"/>
      <c r="E483" s="66">
        <v>386</v>
      </c>
      <c r="F483" s="47">
        <v>349.99</v>
      </c>
      <c r="G483" s="47">
        <v>314.99</v>
      </c>
      <c r="H483" s="34">
        <f t="shared" si="30"/>
        <v>350.32666666666665</v>
      </c>
      <c r="I483" s="42">
        <f t="shared" si="33"/>
        <v>0.225435728118353</v>
      </c>
      <c r="J483" s="36">
        <f t="shared" si="47"/>
        <v>0.10182876933909313</v>
      </c>
      <c r="K483" s="51">
        <v>45947</v>
      </c>
      <c r="L483" s="43">
        <f t="shared" si="44"/>
        <v>46129</v>
      </c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ht="15.75" customHeight="1" x14ac:dyDescent="0.25">
      <c r="A484" s="7"/>
      <c r="B484" s="56">
        <v>100010721</v>
      </c>
      <c r="C484" s="59" t="s">
        <v>580</v>
      </c>
      <c r="D484" s="58" t="s">
        <v>581</v>
      </c>
      <c r="E484" s="66">
        <v>1147.9000000000001</v>
      </c>
      <c r="F484" s="47">
        <v>1448.9</v>
      </c>
      <c r="G484" s="47">
        <v>1147.9000000000001</v>
      </c>
      <c r="H484" s="34">
        <f t="shared" si="30"/>
        <v>1248.2333333333333</v>
      </c>
      <c r="I484" s="42">
        <f t="shared" si="33"/>
        <v>0.26221796323721569</v>
      </c>
      <c r="J484" s="36">
        <f t="shared" si="47"/>
        <v>0.16076054156541253</v>
      </c>
      <c r="K484" s="51">
        <v>45943</v>
      </c>
      <c r="L484" s="43">
        <f t="shared" si="44"/>
        <v>46125</v>
      </c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ht="15.75" customHeight="1" x14ac:dyDescent="0.25">
      <c r="A485" s="7"/>
      <c r="B485" s="56">
        <v>100002279</v>
      </c>
      <c r="C485" s="59" t="s">
        <v>582</v>
      </c>
      <c r="D485" s="58" t="s">
        <v>583</v>
      </c>
      <c r="E485" s="66">
        <v>1789.37</v>
      </c>
      <c r="F485" s="47">
        <v>1542.32</v>
      </c>
      <c r="G485" s="47">
        <v>1699.9</v>
      </c>
      <c r="H485" s="34">
        <f t="shared" si="30"/>
        <v>1677.1966666666667</v>
      </c>
      <c r="I485" s="42">
        <f t="shared" si="33"/>
        <v>0.16018076663727365</v>
      </c>
      <c r="J485" s="36">
        <f t="shared" si="47"/>
        <v>6.6881443042855038E-2</v>
      </c>
      <c r="K485" s="51">
        <v>45943</v>
      </c>
      <c r="L485" s="43">
        <f t="shared" si="44"/>
        <v>46125</v>
      </c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ht="15.75" customHeight="1" x14ac:dyDescent="0.25">
      <c r="A486" s="7"/>
      <c r="B486" s="56">
        <v>100010059</v>
      </c>
      <c r="C486" s="59" t="s">
        <v>584</v>
      </c>
      <c r="D486" s="58"/>
      <c r="E486" s="66">
        <v>369.9</v>
      </c>
      <c r="F486" s="47">
        <v>369.9</v>
      </c>
      <c r="G486" s="47">
        <v>399.9</v>
      </c>
      <c r="H486" s="34">
        <f t="shared" si="30"/>
        <v>379.89999999999992</v>
      </c>
      <c r="I486" s="42">
        <f t="shared" si="33"/>
        <v>8.1103000811030057E-2</v>
      </c>
      <c r="J486" s="36">
        <f t="shared" si="47"/>
        <v>5.2645433008686737E-2</v>
      </c>
      <c r="K486" s="51">
        <v>45943</v>
      </c>
      <c r="L486" s="43">
        <f t="shared" si="44"/>
        <v>46125</v>
      </c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ht="15.75" customHeight="1" x14ac:dyDescent="0.25">
      <c r="A487" s="7"/>
      <c r="B487" s="56">
        <v>100002354</v>
      </c>
      <c r="C487" s="59" t="s">
        <v>585</v>
      </c>
      <c r="D487" s="58"/>
      <c r="E487" s="66">
        <v>7068.4</v>
      </c>
      <c r="F487" s="47">
        <v>7548</v>
      </c>
      <c r="G487" s="47">
        <v>7128</v>
      </c>
      <c r="H487" s="34">
        <f t="shared" si="30"/>
        <v>7248.1333333333341</v>
      </c>
      <c r="I487" s="42">
        <f t="shared" si="33"/>
        <v>6.7851281761077464E-2</v>
      </c>
      <c r="J487" s="36">
        <f t="shared" si="47"/>
        <v>4.1371571531060747E-2</v>
      </c>
      <c r="K487" s="51">
        <v>45945</v>
      </c>
      <c r="L487" s="43">
        <f t="shared" si="44"/>
        <v>46127</v>
      </c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ht="15.75" customHeight="1" x14ac:dyDescent="0.25">
      <c r="A488" s="7"/>
      <c r="B488" s="56">
        <v>100010060</v>
      </c>
      <c r="C488" s="59" t="s">
        <v>586</v>
      </c>
      <c r="D488" s="58" t="s">
        <v>587</v>
      </c>
      <c r="E488" s="82">
        <v>952.74</v>
      </c>
      <c r="F488" s="50">
        <v>950</v>
      </c>
      <c r="G488" s="50">
        <v>974.69</v>
      </c>
      <c r="H488" s="34">
        <f t="shared" si="30"/>
        <v>959.14333333333343</v>
      </c>
      <c r="I488" s="42">
        <f t="shared" si="33"/>
        <v>2.5989473684210562E-2</v>
      </c>
      <c r="J488" s="36">
        <f t="shared" si="47"/>
        <v>1.6208908644171904E-2</v>
      </c>
      <c r="K488" s="51">
        <v>45945</v>
      </c>
      <c r="L488" s="43">
        <f t="shared" si="44"/>
        <v>46127</v>
      </c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ht="15.75" customHeight="1" x14ac:dyDescent="0.25">
      <c r="A489" s="7"/>
      <c r="B489" s="56">
        <v>100010150</v>
      </c>
      <c r="C489" s="59" t="s">
        <v>588</v>
      </c>
      <c r="D489" s="58" t="s">
        <v>589</v>
      </c>
      <c r="E489" s="82">
        <v>1433.78</v>
      </c>
      <c r="F489" s="50">
        <v>1677.9</v>
      </c>
      <c r="G489" s="50">
        <v>1543.64</v>
      </c>
      <c r="H489" s="34">
        <f t="shared" si="30"/>
        <v>1551.7733333333335</v>
      </c>
      <c r="I489" s="42">
        <f t="shared" si="33"/>
        <v>0.1702632202987906</v>
      </c>
      <c r="J489" s="36">
        <f t="shared" si="47"/>
        <v>8.1279052782622818E-2</v>
      </c>
      <c r="K489" s="51">
        <v>45946</v>
      </c>
      <c r="L489" s="43">
        <f t="shared" si="44"/>
        <v>46128</v>
      </c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ht="15.75" customHeight="1" x14ac:dyDescent="0.25">
      <c r="A490" s="7"/>
      <c r="B490" s="56">
        <v>100010150</v>
      </c>
      <c r="C490" s="59" t="s">
        <v>588</v>
      </c>
      <c r="D490" s="58" t="s">
        <v>590</v>
      </c>
      <c r="E490" s="82">
        <v>2406.5500000000002</v>
      </c>
      <c r="F490" s="50">
        <v>2607.33</v>
      </c>
      <c r="G490" s="50">
        <v>2579.89</v>
      </c>
      <c r="H490" s="34">
        <f t="shared" si="30"/>
        <v>2531.2566666666667</v>
      </c>
      <c r="I490" s="42">
        <f t="shared" si="33"/>
        <v>8.3430637219255699E-2</v>
      </c>
      <c r="J490" s="36">
        <f t="shared" si="47"/>
        <v>3.0053583397969597E-2</v>
      </c>
      <c r="K490" s="51">
        <v>45946</v>
      </c>
      <c r="L490" s="43">
        <f t="shared" si="44"/>
        <v>46128</v>
      </c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ht="15.75" customHeight="1" x14ac:dyDescent="0.25">
      <c r="A491" s="7"/>
      <c r="B491" s="56">
        <v>100010940</v>
      </c>
      <c r="C491" s="59" t="s">
        <v>591</v>
      </c>
      <c r="D491" s="58"/>
      <c r="E491" s="82">
        <v>159.13999999999999</v>
      </c>
      <c r="F491" s="50">
        <v>159.13999999999999</v>
      </c>
      <c r="G491" s="50">
        <v>140.4</v>
      </c>
      <c r="H491" s="34">
        <f t="shared" si="30"/>
        <v>152.89333333333332</v>
      </c>
      <c r="I491" s="42">
        <f t="shared" si="33"/>
        <v>0.13347578347578337</v>
      </c>
      <c r="J491" s="36">
        <f t="shared" si="47"/>
        <v>4.0856370454347202E-2</v>
      </c>
      <c r="K491" s="51">
        <v>45947</v>
      </c>
      <c r="L491" s="43">
        <f t="shared" si="44"/>
        <v>46129</v>
      </c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ht="15.75" customHeight="1" x14ac:dyDescent="0.25">
      <c r="A492" s="7"/>
      <c r="B492" s="56">
        <v>100012324</v>
      </c>
      <c r="C492" s="59" t="s">
        <v>592</v>
      </c>
      <c r="D492" s="58"/>
      <c r="E492" s="82">
        <v>322.2</v>
      </c>
      <c r="F492" s="50">
        <v>322.2</v>
      </c>
      <c r="G492" s="50">
        <v>348.8</v>
      </c>
      <c r="H492" s="34">
        <f t="shared" si="30"/>
        <v>331.06666666666666</v>
      </c>
      <c r="I492" s="42">
        <f t="shared" si="33"/>
        <v>8.2557417752948448E-2</v>
      </c>
      <c r="J492" s="36">
        <f t="shared" si="47"/>
        <v>5.3564236810310195E-2</v>
      </c>
      <c r="K492" s="51">
        <v>45947</v>
      </c>
      <c r="L492" s="43">
        <f t="shared" si="44"/>
        <v>46129</v>
      </c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ht="15.75" customHeight="1" x14ac:dyDescent="0.25">
      <c r="A493" s="7"/>
      <c r="B493" s="56">
        <v>100012371</v>
      </c>
      <c r="C493" s="59" t="s">
        <v>593</v>
      </c>
      <c r="D493" s="58"/>
      <c r="E493" s="82">
        <v>9500</v>
      </c>
      <c r="F493" s="50">
        <v>9567.7999999999993</v>
      </c>
      <c r="G493" s="50">
        <v>9017.7999999999993</v>
      </c>
      <c r="H493" s="34">
        <f t="shared" si="30"/>
        <v>9361.8666666666668</v>
      </c>
      <c r="I493" s="42">
        <f t="shared" si="33"/>
        <v>6.0990485484264445E-2</v>
      </c>
      <c r="J493" s="36">
        <f t="shared" si="47"/>
        <v>2.1997037627823346E-2</v>
      </c>
      <c r="K493" s="51">
        <v>45947</v>
      </c>
      <c r="L493" s="43">
        <f t="shared" si="44"/>
        <v>46129</v>
      </c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ht="15.75" customHeight="1" x14ac:dyDescent="0.25">
      <c r="A494" s="7"/>
      <c r="B494" s="56"/>
      <c r="C494" s="59"/>
      <c r="D494" s="58"/>
      <c r="E494" s="66"/>
      <c r="F494" s="47"/>
      <c r="G494" s="47"/>
      <c r="H494" s="34">
        <f t="shared" si="30"/>
        <v>0</v>
      </c>
      <c r="I494" s="42" t="str">
        <f t="shared" si="33"/>
        <v/>
      </c>
      <c r="J494" s="36"/>
      <c r="K494" s="51"/>
      <c r="L494" s="43">
        <f t="shared" si="44"/>
        <v>182</v>
      </c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ht="15.75" customHeight="1" x14ac:dyDescent="0.25">
      <c r="A495" s="7"/>
      <c r="B495" s="56"/>
      <c r="C495" s="59"/>
      <c r="D495" s="58"/>
      <c r="E495" s="66"/>
      <c r="F495" s="47"/>
      <c r="G495" s="47"/>
      <c r="H495" s="34">
        <f t="shared" si="30"/>
        <v>0</v>
      </c>
      <c r="I495" s="42" t="str">
        <f t="shared" si="33"/>
        <v/>
      </c>
      <c r="J495" s="36"/>
      <c r="K495" s="51"/>
      <c r="L495" s="43">
        <f t="shared" si="44"/>
        <v>182</v>
      </c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ht="15.75" customHeight="1" x14ac:dyDescent="0.25">
      <c r="A496" s="7"/>
      <c r="B496" s="56"/>
      <c r="C496" s="59"/>
      <c r="D496" s="58"/>
      <c r="E496" s="66"/>
      <c r="F496" s="47"/>
      <c r="G496" s="47"/>
      <c r="H496" s="34">
        <f t="shared" si="30"/>
        <v>0</v>
      </c>
      <c r="I496" s="42" t="str">
        <f t="shared" si="33"/>
        <v/>
      </c>
      <c r="J496" s="36"/>
      <c r="K496" s="51"/>
      <c r="L496" s="43">
        <f t="shared" si="44"/>
        <v>182</v>
      </c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ht="15.75" customHeight="1" x14ac:dyDescent="0.25">
      <c r="A497" s="7"/>
      <c r="B497" s="56"/>
      <c r="C497" s="59"/>
      <c r="D497" s="58"/>
      <c r="E497" s="66"/>
      <c r="F497" s="47"/>
      <c r="G497" s="47"/>
      <c r="H497" s="34">
        <f t="shared" si="30"/>
        <v>0</v>
      </c>
      <c r="I497" s="42" t="str">
        <f t="shared" si="33"/>
        <v/>
      </c>
      <c r="J497" s="36" t="str">
        <f t="shared" ref="J497:J505" si="48">IF(ISERROR(MAX(E497:G497)/H497-1),"",(MAX(E497:G497)/H497-1))</f>
        <v/>
      </c>
      <c r="K497" s="51"/>
      <c r="L497" s="43">
        <f t="shared" si="44"/>
        <v>182</v>
      </c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ht="15.75" customHeight="1" x14ac:dyDescent="0.25">
      <c r="A498" s="7"/>
      <c r="B498" s="56"/>
      <c r="C498" s="59"/>
      <c r="D498" s="58"/>
      <c r="E498" s="66"/>
      <c r="F498" s="47"/>
      <c r="G498" s="47"/>
      <c r="H498" s="34">
        <f t="shared" si="30"/>
        <v>0</v>
      </c>
      <c r="I498" s="42" t="str">
        <f t="shared" si="33"/>
        <v/>
      </c>
      <c r="J498" s="36" t="str">
        <f t="shared" si="48"/>
        <v/>
      </c>
      <c r="K498" s="51"/>
      <c r="L498" s="43">
        <f t="shared" si="44"/>
        <v>182</v>
      </c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ht="15.75" customHeight="1" x14ac:dyDescent="0.25">
      <c r="A499" s="7"/>
      <c r="B499" s="56"/>
      <c r="C499" s="59"/>
      <c r="D499" s="58"/>
      <c r="E499" s="66"/>
      <c r="F499" s="84"/>
      <c r="G499" s="47"/>
      <c r="H499" s="34">
        <f t="shared" si="30"/>
        <v>0</v>
      </c>
      <c r="I499" s="42" t="str">
        <f t="shared" si="33"/>
        <v/>
      </c>
      <c r="J499" s="36" t="str">
        <f t="shared" si="48"/>
        <v/>
      </c>
      <c r="K499" s="51"/>
      <c r="L499" s="43">
        <f t="shared" si="44"/>
        <v>182</v>
      </c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ht="15.75" customHeight="1" x14ac:dyDescent="0.25">
      <c r="A500" s="7"/>
      <c r="B500" s="56"/>
      <c r="C500" s="59"/>
      <c r="D500" s="58"/>
      <c r="E500" s="82"/>
      <c r="F500" s="50"/>
      <c r="G500" s="50"/>
      <c r="H500" s="34">
        <f t="shared" si="30"/>
        <v>0</v>
      </c>
      <c r="I500" s="42" t="str">
        <f t="shared" si="33"/>
        <v/>
      </c>
      <c r="J500" s="36" t="str">
        <f t="shared" si="48"/>
        <v/>
      </c>
      <c r="K500" s="51"/>
      <c r="L500" s="43">
        <f t="shared" si="44"/>
        <v>182</v>
      </c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ht="15.75" customHeight="1" x14ac:dyDescent="0.25">
      <c r="A501" s="7"/>
      <c r="B501" s="56"/>
      <c r="C501" s="59"/>
      <c r="D501" s="58"/>
      <c r="E501" s="82"/>
      <c r="F501" s="50"/>
      <c r="G501" s="50"/>
      <c r="H501" s="34">
        <f t="shared" si="30"/>
        <v>0</v>
      </c>
      <c r="I501" s="42" t="str">
        <f t="shared" si="33"/>
        <v/>
      </c>
      <c r="J501" s="36" t="str">
        <f t="shared" si="48"/>
        <v/>
      </c>
      <c r="K501" s="51"/>
      <c r="L501" s="43">
        <v>44680</v>
      </c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ht="15.75" customHeight="1" x14ac:dyDescent="0.25">
      <c r="A502" s="7"/>
      <c r="B502" s="56"/>
      <c r="C502" s="59"/>
      <c r="D502" s="58"/>
      <c r="E502" s="66"/>
      <c r="F502" s="47"/>
      <c r="G502" s="84"/>
      <c r="H502" s="34">
        <f t="shared" si="30"/>
        <v>0</v>
      </c>
      <c r="I502" s="42" t="str">
        <f t="shared" si="33"/>
        <v/>
      </c>
      <c r="J502" s="36" t="str">
        <f t="shared" si="48"/>
        <v/>
      </c>
      <c r="K502" s="51"/>
      <c r="L502" s="43">
        <f t="shared" ref="L502:L503" si="49">EDATE(K502,6)</f>
        <v>182</v>
      </c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ht="15.75" customHeight="1" x14ac:dyDescent="0.25">
      <c r="A503" s="7"/>
      <c r="B503" s="56"/>
      <c r="C503" s="59"/>
      <c r="D503" s="58"/>
      <c r="E503" s="66"/>
      <c r="F503" s="47"/>
      <c r="G503" s="47"/>
      <c r="H503" s="34">
        <f t="shared" si="30"/>
        <v>0</v>
      </c>
      <c r="I503" s="42" t="str">
        <f t="shared" si="33"/>
        <v/>
      </c>
      <c r="J503" s="36" t="str">
        <f t="shared" si="48"/>
        <v/>
      </c>
      <c r="K503" s="51"/>
      <c r="L503" s="43">
        <f t="shared" si="49"/>
        <v>182</v>
      </c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ht="15.75" customHeight="1" x14ac:dyDescent="0.25">
      <c r="A504" s="7"/>
      <c r="B504" s="56"/>
      <c r="C504" s="59"/>
      <c r="D504" s="58"/>
      <c r="E504" s="82"/>
      <c r="F504" s="50"/>
      <c r="G504" s="50"/>
      <c r="H504" s="34">
        <f t="shared" si="30"/>
        <v>0</v>
      </c>
      <c r="I504" s="42" t="str">
        <f t="shared" si="33"/>
        <v/>
      </c>
      <c r="J504" s="36" t="str">
        <f t="shared" si="48"/>
        <v/>
      </c>
      <c r="K504" s="51"/>
      <c r="L504" s="43">
        <v>44680</v>
      </c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ht="15.75" customHeight="1" x14ac:dyDescent="0.25">
      <c r="A505" s="7"/>
      <c r="B505" s="56"/>
      <c r="C505" s="59"/>
      <c r="D505" s="58"/>
      <c r="E505" s="66"/>
      <c r="F505" s="47"/>
      <c r="G505" s="47"/>
      <c r="H505" s="34">
        <f t="shared" si="30"/>
        <v>0</v>
      </c>
      <c r="I505" s="42" t="str">
        <f t="shared" si="33"/>
        <v/>
      </c>
      <c r="J505" s="36" t="str">
        <f t="shared" si="48"/>
        <v/>
      </c>
      <c r="K505" s="51"/>
      <c r="L505" s="43">
        <f t="shared" ref="L505:L555" si="50">EDATE(K505,6)</f>
        <v>182</v>
      </c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ht="15.75" customHeight="1" x14ac:dyDescent="0.25">
      <c r="A506" s="7"/>
      <c r="B506" s="56"/>
      <c r="C506" s="59"/>
      <c r="D506" s="58"/>
      <c r="E506" s="66"/>
      <c r="F506" s="47"/>
      <c r="G506" s="47"/>
      <c r="H506" s="34">
        <f t="shared" si="30"/>
        <v>0</v>
      </c>
      <c r="I506" s="42" t="str">
        <f t="shared" si="33"/>
        <v/>
      </c>
      <c r="J506" s="36"/>
      <c r="K506" s="51"/>
      <c r="L506" s="43">
        <f t="shared" si="50"/>
        <v>182</v>
      </c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ht="15.75" customHeight="1" x14ac:dyDescent="0.25">
      <c r="A507" s="7"/>
      <c r="B507" s="56"/>
      <c r="C507" s="59"/>
      <c r="D507" s="58"/>
      <c r="E507" s="66"/>
      <c r="F507" s="47"/>
      <c r="G507" s="47"/>
      <c r="H507" s="34">
        <f t="shared" si="30"/>
        <v>0</v>
      </c>
      <c r="I507" s="42" t="str">
        <f t="shared" si="33"/>
        <v/>
      </c>
      <c r="J507" s="36" t="str">
        <f t="shared" ref="J507:J555" si="51">IF(ISERROR(MAX(E507:G507)/H507-1),"",(MAX(E507:G507)/H507-1))</f>
        <v/>
      </c>
      <c r="K507" s="51"/>
      <c r="L507" s="43">
        <f t="shared" si="50"/>
        <v>182</v>
      </c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ht="15.75" customHeight="1" x14ac:dyDescent="0.25">
      <c r="A508" s="7"/>
      <c r="B508" s="56"/>
      <c r="C508" s="59"/>
      <c r="D508" s="58"/>
      <c r="E508" s="82"/>
      <c r="F508" s="50"/>
      <c r="G508" s="50"/>
      <c r="H508" s="34">
        <f t="shared" si="30"/>
        <v>0</v>
      </c>
      <c r="I508" s="42" t="str">
        <f t="shared" si="33"/>
        <v/>
      </c>
      <c r="J508" s="36" t="str">
        <f t="shared" si="51"/>
        <v/>
      </c>
      <c r="K508" s="51"/>
      <c r="L508" s="43">
        <f t="shared" si="50"/>
        <v>182</v>
      </c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ht="15.75" customHeight="1" x14ac:dyDescent="0.25">
      <c r="A509" s="7"/>
      <c r="B509" s="56"/>
      <c r="C509" s="59"/>
      <c r="D509" s="58"/>
      <c r="E509" s="82"/>
      <c r="F509" s="50"/>
      <c r="G509" s="50"/>
      <c r="H509" s="34">
        <f t="shared" si="30"/>
        <v>0</v>
      </c>
      <c r="I509" s="42" t="str">
        <f t="shared" si="33"/>
        <v/>
      </c>
      <c r="J509" s="36" t="str">
        <f t="shared" si="51"/>
        <v/>
      </c>
      <c r="K509" s="51"/>
      <c r="L509" s="43">
        <f t="shared" si="50"/>
        <v>182</v>
      </c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ht="15.75" customHeight="1" x14ac:dyDescent="0.25">
      <c r="A510" s="7"/>
      <c r="B510" s="56"/>
      <c r="C510" s="59"/>
      <c r="D510" s="58"/>
      <c r="E510" s="82"/>
      <c r="F510" s="50"/>
      <c r="G510" s="50"/>
      <c r="H510" s="34">
        <f t="shared" si="30"/>
        <v>0</v>
      </c>
      <c r="I510" s="42" t="str">
        <f t="shared" si="33"/>
        <v/>
      </c>
      <c r="J510" s="36" t="str">
        <f t="shared" si="51"/>
        <v/>
      </c>
      <c r="K510" s="51"/>
      <c r="L510" s="43">
        <f t="shared" si="50"/>
        <v>182</v>
      </c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ht="15.75" customHeight="1" x14ac:dyDescent="0.25">
      <c r="A511" s="7"/>
      <c r="B511" s="56"/>
      <c r="C511" s="59"/>
      <c r="D511" s="58"/>
      <c r="E511" s="82"/>
      <c r="F511" s="50"/>
      <c r="G511" s="50"/>
      <c r="H511" s="34">
        <f t="shared" si="30"/>
        <v>0</v>
      </c>
      <c r="I511" s="42" t="str">
        <f t="shared" si="33"/>
        <v/>
      </c>
      <c r="J511" s="36" t="str">
        <f t="shared" si="51"/>
        <v/>
      </c>
      <c r="K511" s="51"/>
      <c r="L511" s="43">
        <f t="shared" si="50"/>
        <v>182</v>
      </c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ht="15.75" customHeight="1" x14ac:dyDescent="0.25">
      <c r="A512" s="7"/>
      <c r="B512" s="56"/>
      <c r="C512" s="59"/>
      <c r="D512" s="58"/>
      <c r="E512" s="82"/>
      <c r="F512" s="50"/>
      <c r="G512" s="50"/>
      <c r="H512" s="34">
        <f t="shared" si="30"/>
        <v>0</v>
      </c>
      <c r="I512" s="42" t="str">
        <f t="shared" si="33"/>
        <v/>
      </c>
      <c r="J512" s="36" t="str">
        <f t="shared" si="51"/>
        <v/>
      </c>
      <c r="K512" s="51"/>
      <c r="L512" s="43">
        <f t="shared" si="50"/>
        <v>182</v>
      </c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ht="15.75" customHeight="1" x14ac:dyDescent="0.25">
      <c r="A513" s="7"/>
      <c r="B513" s="56"/>
      <c r="C513" s="59"/>
      <c r="D513" s="58"/>
      <c r="E513" s="82"/>
      <c r="F513" s="50"/>
      <c r="G513" s="50"/>
      <c r="H513" s="34">
        <f t="shared" si="30"/>
        <v>0</v>
      </c>
      <c r="I513" s="42" t="str">
        <f t="shared" si="33"/>
        <v/>
      </c>
      <c r="J513" s="36" t="str">
        <f t="shared" si="51"/>
        <v/>
      </c>
      <c r="K513" s="51"/>
      <c r="L513" s="43">
        <f t="shared" si="50"/>
        <v>182</v>
      </c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ht="15.75" customHeight="1" x14ac:dyDescent="0.25">
      <c r="A514" s="7"/>
      <c r="B514" s="56"/>
      <c r="C514" s="59"/>
      <c r="D514" s="58"/>
      <c r="E514" s="82"/>
      <c r="F514" s="50"/>
      <c r="G514" s="50"/>
      <c r="H514" s="34">
        <f t="shared" si="30"/>
        <v>0</v>
      </c>
      <c r="I514" s="42" t="str">
        <f t="shared" si="33"/>
        <v/>
      </c>
      <c r="J514" s="36" t="str">
        <f t="shared" si="51"/>
        <v/>
      </c>
      <c r="K514" s="51"/>
      <c r="L514" s="43">
        <f t="shared" si="50"/>
        <v>182</v>
      </c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ht="15.75" customHeight="1" x14ac:dyDescent="0.25">
      <c r="A515" s="7"/>
      <c r="B515" s="56"/>
      <c r="C515" s="59"/>
      <c r="D515" s="58"/>
      <c r="E515" s="66"/>
      <c r="F515" s="47"/>
      <c r="G515" s="47"/>
      <c r="H515" s="34">
        <f t="shared" si="30"/>
        <v>0</v>
      </c>
      <c r="I515" s="42" t="str">
        <f t="shared" si="33"/>
        <v/>
      </c>
      <c r="J515" s="36" t="str">
        <f t="shared" si="51"/>
        <v/>
      </c>
      <c r="K515" s="51"/>
      <c r="L515" s="43">
        <f t="shared" si="50"/>
        <v>182</v>
      </c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ht="15.75" customHeight="1" x14ac:dyDescent="0.25">
      <c r="A516" s="7"/>
      <c r="B516" s="56"/>
      <c r="C516" s="59"/>
      <c r="D516" s="58"/>
      <c r="E516" s="66"/>
      <c r="F516" s="47"/>
      <c r="G516" s="47"/>
      <c r="H516" s="34">
        <f t="shared" si="30"/>
        <v>0</v>
      </c>
      <c r="I516" s="42" t="str">
        <f t="shared" si="33"/>
        <v/>
      </c>
      <c r="J516" s="36" t="str">
        <f t="shared" si="51"/>
        <v/>
      </c>
      <c r="K516" s="51"/>
      <c r="L516" s="43">
        <f t="shared" si="50"/>
        <v>182</v>
      </c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ht="15.75" customHeight="1" x14ac:dyDescent="0.25">
      <c r="A517" s="7"/>
      <c r="B517" s="56"/>
      <c r="C517" s="59"/>
      <c r="D517" s="58"/>
      <c r="E517" s="66"/>
      <c r="F517" s="47"/>
      <c r="G517" s="47"/>
      <c r="H517" s="34">
        <f t="shared" si="30"/>
        <v>0</v>
      </c>
      <c r="I517" s="42" t="str">
        <f t="shared" si="33"/>
        <v/>
      </c>
      <c r="J517" s="36" t="str">
        <f t="shared" si="51"/>
        <v/>
      </c>
      <c r="K517" s="51"/>
      <c r="L517" s="43">
        <f t="shared" si="50"/>
        <v>182</v>
      </c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ht="15.75" customHeight="1" x14ac:dyDescent="0.25">
      <c r="A518" s="7"/>
      <c r="B518" s="56"/>
      <c r="C518" s="59"/>
      <c r="D518" s="58"/>
      <c r="E518" s="66"/>
      <c r="F518" s="47"/>
      <c r="G518" s="47"/>
      <c r="H518" s="34">
        <f t="shared" si="30"/>
        <v>0</v>
      </c>
      <c r="I518" s="42" t="str">
        <f t="shared" si="33"/>
        <v/>
      </c>
      <c r="J518" s="36" t="str">
        <f t="shared" si="51"/>
        <v/>
      </c>
      <c r="K518" s="51"/>
      <c r="L518" s="43">
        <f t="shared" si="50"/>
        <v>182</v>
      </c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ht="15.75" customHeight="1" x14ac:dyDescent="0.25">
      <c r="A519" s="7"/>
      <c r="B519" s="56"/>
      <c r="C519" s="59"/>
      <c r="D519" s="58"/>
      <c r="E519" s="66"/>
      <c r="F519" s="47"/>
      <c r="G519" s="47"/>
      <c r="H519" s="34">
        <f t="shared" ref="H519:H722" si="52">SUM(E519:G519)/3</f>
        <v>0</v>
      </c>
      <c r="I519" s="42" t="str">
        <f t="shared" si="33"/>
        <v/>
      </c>
      <c r="J519" s="36" t="str">
        <f t="shared" si="51"/>
        <v/>
      </c>
      <c r="K519" s="51"/>
      <c r="L519" s="43">
        <f t="shared" si="50"/>
        <v>182</v>
      </c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ht="15.75" customHeight="1" x14ac:dyDescent="0.25">
      <c r="A520" s="7"/>
      <c r="B520" s="56"/>
      <c r="C520" s="59"/>
      <c r="D520" s="58"/>
      <c r="E520" s="66"/>
      <c r="F520" s="47"/>
      <c r="G520" s="47"/>
      <c r="H520" s="34">
        <f t="shared" si="52"/>
        <v>0</v>
      </c>
      <c r="I520" s="42" t="str">
        <f t="shared" si="33"/>
        <v/>
      </c>
      <c r="J520" s="36" t="str">
        <f t="shared" si="51"/>
        <v/>
      </c>
      <c r="K520" s="51"/>
      <c r="L520" s="43">
        <f t="shared" si="50"/>
        <v>182</v>
      </c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ht="15.75" customHeight="1" x14ac:dyDescent="0.25">
      <c r="A521" s="7"/>
      <c r="B521" s="56"/>
      <c r="C521" s="59"/>
      <c r="D521" s="58"/>
      <c r="E521" s="66"/>
      <c r="F521" s="47"/>
      <c r="G521" s="47"/>
      <c r="H521" s="34">
        <f t="shared" si="52"/>
        <v>0</v>
      </c>
      <c r="I521" s="42" t="str">
        <f t="shared" si="33"/>
        <v/>
      </c>
      <c r="J521" s="36" t="str">
        <f t="shared" si="51"/>
        <v/>
      </c>
      <c r="K521" s="51"/>
      <c r="L521" s="43">
        <f t="shared" si="50"/>
        <v>182</v>
      </c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ht="15.75" customHeight="1" x14ac:dyDescent="0.25">
      <c r="A522" s="7"/>
      <c r="B522" s="56"/>
      <c r="C522" s="59"/>
      <c r="D522" s="58"/>
      <c r="E522" s="66"/>
      <c r="F522" s="47"/>
      <c r="G522" s="47"/>
      <c r="H522" s="34">
        <f t="shared" si="52"/>
        <v>0</v>
      </c>
      <c r="I522" s="42" t="str">
        <f t="shared" si="33"/>
        <v/>
      </c>
      <c r="J522" s="36" t="str">
        <f t="shared" si="51"/>
        <v/>
      </c>
      <c r="K522" s="51"/>
      <c r="L522" s="43">
        <f t="shared" si="50"/>
        <v>182</v>
      </c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ht="15.75" customHeight="1" x14ac:dyDescent="0.25">
      <c r="A523" s="7"/>
      <c r="B523" s="56"/>
      <c r="C523" s="59"/>
      <c r="D523" s="58"/>
      <c r="E523" s="66"/>
      <c r="F523" s="47"/>
      <c r="G523" s="47"/>
      <c r="H523" s="34">
        <f t="shared" si="52"/>
        <v>0</v>
      </c>
      <c r="I523" s="42" t="str">
        <f t="shared" si="33"/>
        <v/>
      </c>
      <c r="J523" s="36" t="str">
        <f t="shared" si="51"/>
        <v/>
      </c>
      <c r="K523" s="51"/>
      <c r="L523" s="43">
        <f t="shared" si="50"/>
        <v>182</v>
      </c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ht="15.75" customHeight="1" x14ac:dyDescent="0.25">
      <c r="A524" s="7"/>
      <c r="B524" s="56"/>
      <c r="C524" s="59"/>
      <c r="D524" s="81"/>
      <c r="E524" s="66"/>
      <c r="F524" s="47"/>
      <c r="G524" s="47"/>
      <c r="H524" s="34">
        <f t="shared" si="52"/>
        <v>0</v>
      </c>
      <c r="I524" s="42" t="str">
        <f t="shared" si="33"/>
        <v/>
      </c>
      <c r="J524" s="36" t="str">
        <f t="shared" si="51"/>
        <v/>
      </c>
      <c r="K524" s="51"/>
      <c r="L524" s="43">
        <f t="shared" si="50"/>
        <v>182</v>
      </c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ht="15.75" customHeight="1" x14ac:dyDescent="0.25">
      <c r="A525" s="7"/>
      <c r="B525" s="56"/>
      <c r="C525" s="59"/>
      <c r="D525" s="81"/>
      <c r="E525" s="66"/>
      <c r="F525" s="47"/>
      <c r="G525" s="47"/>
      <c r="H525" s="34">
        <f t="shared" si="52"/>
        <v>0</v>
      </c>
      <c r="I525" s="42" t="str">
        <f t="shared" si="33"/>
        <v/>
      </c>
      <c r="J525" s="36" t="str">
        <f t="shared" si="51"/>
        <v/>
      </c>
      <c r="K525" s="51"/>
      <c r="L525" s="43">
        <f t="shared" si="50"/>
        <v>182</v>
      </c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ht="15.75" customHeight="1" x14ac:dyDescent="0.25">
      <c r="A526" s="7"/>
      <c r="B526" s="56"/>
      <c r="C526" s="59"/>
      <c r="D526" s="58"/>
      <c r="E526" s="82"/>
      <c r="F526" s="50"/>
      <c r="G526" s="50"/>
      <c r="H526" s="34">
        <f t="shared" si="52"/>
        <v>0</v>
      </c>
      <c r="I526" s="42" t="str">
        <f t="shared" si="33"/>
        <v/>
      </c>
      <c r="J526" s="36" t="str">
        <f t="shared" si="51"/>
        <v/>
      </c>
      <c r="K526" s="51"/>
      <c r="L526" s="43">
        <f t="shared" si="50"/>
        <v>182</v>
      </c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ht="15.75" customHeight="1" x14ac:dyDescent="0.25">
      <c r="A527" s="7"/>
      <c r="B527" s="56"/>
      <c r="C527" s="59"/>
      <c r="D527" s="58"/>
      <c r="E527" s="82"/>
      <c r="F527" s="50"/>
      <c r="G527" s="50"/>
      <c r="H527" s="34">
        <f t="shared" si="52"/>
        <v>0</v>
      </c>
      <c r="I527" s="42" t="str">
        <f t="shared" si="33"/>
        <v/>
      </c>
      <c r="J527" s="36" t="str">
        <f t="shared" si="51"/>
        <v/>
      </c>
      <c r="K527" s="51"/>
      <c r="L527" s="43">
        <f t="shared" si="50"/>
        <v>182</v>
      </c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ht="15.75" customHeight="1" x14ac:dyDescent="0.25">
      <c r="A528" s="7"/>
      <c r="B528" s="56"/>
      <c r="C528" s="59"/>
      <c r="D528" s="58"/>
      <c r="E528" s="82"/>
      <c r="F528" s="50"/>
      <c r="G528" s="50"/>
      <c r="H528" s="34">
        <f t="shared" si="52"/>
        <v>0</v>
      </c>
      <c r="I528" s="42" t="str">
        <f t="shared" si="33"/>
        <v/>
      </c>
      <c r="J528" s="36" t="str">
        <f t="shared" si="51"/>
        <v/>
      </c>
      <c r="K528" s="51"/>
      <c r="L528" s="43">
        <f t="shared" si="50"/>
        <v>182</v>
      </c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ht="15.75" customHeight="1" x14ac:dyDescent="0.25">
      <c r="A529" s="7"/>
      <c r="B529" s="56"/>
      <c r="C529" s="59"/>
      <c r="D529" s="58"/>
      <c r="E529" s="82"/>
      <c r="F529" s="50"/>
      <c r="G529" s="50"/>
      <c r="H529" s="34">
        <f t="shared" si="52"/>
        <v>0</v>
      </c>
      <c r="I529" s="42" t="str">
        <f t="shared" si="33"/>
        <v/>
      </c>
      <c r="J529" s="36" t="str">
        <f t="shared" si="51"/>
        <v/>
      </c>
      <c r="K529" s="51"/>
      <c r="L529" s="43">
        <f t="shared" si="50"/>
        <v>182</v>
      </c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ht="15.75" customHeight="1" x14ac:dyDescent="0.25">
      <c r="A530" s="7"/>
      <c r="B530" s="56"/>
      <c r="C530" s="59"/>
      <c r="D530" s="81"/>
      <c r="E530" s="66"/>
      <c r="F530" s="47"/>
      <c r="G530" s="47"/>
      <c r="H530" s="34">
        <f t="shared" si="52"/>
        <v>0</v>
      </c>
      <c r="I530" s="42" t="str">
        <f t="shared" si="33"/>
        <v/>
      </c>
      <c r="J530" s="36" t="str">
        <f t="shared" si="51"/>
        <v/>
      </c>
      <c r="K530" s="51"/>
      <c r="L530" s="43">
        <f t="shared" si="50"/>
        <v>182</v>
      </c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ht="15.75" customHeight="1" x14ac:dyDescent="0.25">
      <c r="A531" s="7"/>
      <c r="B531" s="56"/>
      <c r="C531" s="59"/>
      <c r="D531" s="81"/>
      <c r="E531" s="66"/>
      <c r="F531" s="47"/>
      <c r="G531" s="47"/>
      <c r="H531" s="34">
        <f t="shared" si="52"/>
        <v>0</v>
      </c>
      <c r="I531" s="42" t="str">
        <f t="shared" si="33"/>
        <v/>
      </c>
      <c r="J531" s="36" t="str">
        <f t="shared" si="51"/>
        <v/>
      </c>
      <c r="K531" s="51"/>
      <c r="L531" s="43">
        <f t="shared" si="50"/>
        <v>182</v>
      </c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ht="15.75" customHeight="1" x14ac:dyDescent="0.25">
      <c r="A532" s="7"/>
      <c r="B532" s="56"/>
      <c r="C532" s="59"/>
      <c r="D532" s="58"/>
      <c r="E532" s="82"/>
      <c r="F532" s="50"/>
      <c r="G532" s="50"/>
      <c r="H532" s="34">
        <f t="shared" si="52"/>
        <v>0</v>
      </c>
      <c r="I532" s="42" t="str">
        <f t="shared" si="33"/>
        <v/>
      </c>
      <c r="J532" s="36" t="str">
        <f t="shared" si="51"/>
        <v/>
      </c>
      <c r="K532" s="51"/>
      <c r="L532" s="43">
        <f t="shared" si="50"/>
        <v>182</v>
      </c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ht="15.75" customHeight="1" x14ac:dyDescent="0.25">
      <c r="A533" s="7"/>
      <c r="B533" s="56"/>
      <c r="C533" s="59"/>
      <c r="D533" s="58"/>
      <c r="E533" s="66"/>
      <c r="F533" s="47"/>
      <c r="G533" s="47"/>
      <c r="H533" s="34">
        <f t="shared" si="52"/>
        <v>0</v>
      </c>
      <c r="I533" s="42" t="str">
        <f t="shared" si="33"/>
        <v/>
      </c>
      <c r="J533" s="36" t="str">
        <f t="shared" si="51"/>
        <v/>
      </c>
      <c r="K533" s="51"/>
      <c r="L533" s="43">
        <f t="shared" si="50"/>
        <v>182</v>
      </c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ht="15.75" customHeight="1" x14ac:dyDescent="0.25">
      <c r="A534" s="7"/>
      <c r="B534" s="56"/>
      <c r="C534" s="59"/>
      <c r="D534" s="58"/>
      <c r="E534" s="66"/>
      <c r="F534" s="47"/>
      <c r="G534" s="47"/>
      <c r="H534" s="34">
        <f t="shared" si="52"/>
        <v>0</v>
      </c>
      <c r="I534" s="42" t="str">
        <f t="shared" si="33"/>
        <v/>
      </c>
      <c r="J534" s="36" t="str">
        <f t="shared" si="51"/>
        <v/>
      </c>
      <c r="K534" s="51"/>
      <c r="L534" s="43">
        <f t="shared" si="50"/>
        <v>182</v>
      </c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ht="15.75" customHeight="1" x14ac:dyDescent="0.25">
      <c r="A535" s="7"/>
      <c r="B535" s="56"/>
      <c r="C535" s="59"/>
      <c r="D535" s="58"/>
      <c r="E535" s="82"/>
      <c r="F535" s="50"/>
      <c r="G535" s="50"/>
      <c r="H535" s="34">
        <f t="shared" si="52"/>
        <v>0</v>
      </c>
      <c r="I535" s="42" t="str">
        <f t="shared" si="33"/>
        <v/>
      </c>
      <c r="J535" s="36" t="str">
        <f t="shared" si="51"/>
        <v/>
      </c>
      <c r="K535" s="51"/>
      <c r="L535" s="43">
        <f t="shared" si="50"/>
        <v>182</v>
      </c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ht="15.75" customHeight="1" x14ac:dyDescent="0.25">
      <c r="A536" s="7"/>
      <c r="B536" s="56"/>
      <c r="C536" s="59"/>
      <c r="D536" s="58"/>
      <c r="E536" s="66"/>
      <c r="F536" s="47"/>
      <c r="G536" s="47"/>
      <c r="H536" s="34">
        <f t="shared" si="52"/>
        <v>0</v>
      </c>
      <c r="I536" s="42" t="str">
        <f t="shared" si="33"/>
        <v/>
      </c>
      <c r="J536" s="36" t="str">
        <f t="shared" si="51"/>
        <v/>
      </c>
      <c r="K536" s="51"/>
      <c r="L536" s="43">
        <f t="shared" si="50"/>
        <v>182</v>
      </c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ht="15.75" customHeight="1" x14ac:dyDescent="0.25">
      <c r="A537" s="7"/>
      <c r="B537" s="56"/>
      <c r="C537" s="59"/>
      <c r="D537" s="58"/>
      <c r="E537" s="82"/>
      <c r="F537" s="50"/>
      <c r="G537" s="50"/>
      <c r="H537" s="34">
        <f t="shared" si="52"/>
        <v>0</v>
      </c>
      <c r="I537" s="42" t="str">
        <f t="shared" si="33"/>
        <v/>
      </c>
      <c r="J537" s="36" t="str">
        <f t="shared" si="51"/>
        <v/>
      </c>
      <c r="K537" s="51"/>
      <c r="L537" s="43">
        <f t="shared" si="50"/>
        <v>182</v>
      </c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ht="15.75" customHeight="1" x14ac:dyDescent="0.25">
      <c r="A538" s="7"/>
      <c r="B538" s="56"/>
      <c r="C538" s="59"/>
      <c r="D538" s="58"/>
      <c r="E538" s="66"/>
      <c r="F538" s="84"/>
      <c r="G538" s="84"/>
      <c r="H538" s="34">
        <f t="shared" si="52"/>
        <v>0</v>
      </c>
      <c r="I538" s="42" t="str">
        <f t="shared" si="33"/>
        <v/>
      </c>
      <c r="J538" s="36" t="str">
        <f t="shared" si="51"/>
        <v/>
      </c>
      <c r="K538" s="51"/>
      <c r="L538" s="43">
        <f t="shared" si="50"/>
        <v>182</v>
      </c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ht="15.75" customHeight="1" x14ac:dyDescent="0.25">
      <c r="A539" s="7"/>
      <c r="B539" s="56"/>
      <c r="C539" s="59"/>
      <c r="D539" s="58"/>
      <c r="E539" s="82"/>
      <c r="F539" s="50"/>
      <c r="G539" s="50"/>
      <c r="H539" s="34">
        <f t="shared" si="52"/>
        <v>0</v>
      </c>
      <c r="I539" s="42" t="str">
        <f t="shared" si="33"/>
        <v/>
      </c>
      <c r="J539" s="36" t="str">
        <f t="shared" si="51"/>
        <v/>
      </c>
      <c r="K539" s="51"/>
      <c r="L539" s="43">
        <f t="shared" si="50"/>
        <v>182</v>
      </c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ht="15.75" customHeight="1" x14ac:dyDescent="0.25">
      <c r="A540" s="7"/>
      <c r="B540" s="56"/>
      <c r="C540" s="59"/>
      <c r="D540" s="58"/>
      <c r="E540" s="82"/>
      <c r="F540" s="50"/>
      <c r="G540" s="50"/>
      <c r="H540" s="34">
        <f t="shared" si="52"/>
        <v>0</v>
      </c>
      <c r="I540" s="42" t="str">
        <f t="shared" si="33"/>
        <v/>
      </c>
      <c r="J540" s="36" t="str">
        <f t="shared" si="51"/>
        <v/>
      </c>
      <c r="K540" s="51"/>
      <c r="L540" s="43">
        <f t="shared" si="50"/>
        <v>182</v>
      </c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ht="15.75" customHeight="1" x14ac:dyDescent="0.25">
      <c r="A541" s="7"/>
      <c r="B541" s="56"/>
      <c r="C541" s="59"/>
      <c r="D541" s="58"/>
      <c r="E541" s="82"/>
      <c r="F541" s="50"/>
      <c r="G541" s="50"/>
      <c r="H541" s="34">
        <f t="shared" si="52"/>
        <v>0</v>
      </c>
      <c r="I541" s="42" t="str">
        <f t="shared" si="33"/>
        <v/>
      </c>
      <c r="J541" s="36" t="str">
        <f t="shared" si="51"/>
        <v/>
      </c>
      <c r="K541" s="51"/>
      <c r="L541" s="43">
        <f t="shared" si="50"/>
        <v>182</v>
      </c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ht="15.75" customHeight="1" x14ac:dyDescent="0.25">
      <c r="A542" s="7"/>
      <c r="B542" s="56"/>
      <c r="C542" s="59"/>
      <c r="D542" s="58"/>
      <c r="E542" s="66"/>
      <c r="F542" s="47"/>
      <c r="G542" s="47"/>
      <c r="H542" s="34">
        <f t="shared" si="52"/>
        <v>0</v>
      </c>
      <c r="I542" s="42" t="str">
        <f t="shared" si="33"/>
        <v/>
      </c>
      <c r="J542" s="36" t="str">
        <f t="shared" si="51"/>
        <v/>
      </c>
      <c r="K542" s="51"/>
      <c r="L542" s="43">
        <f t="shared" si="50"/>
        <v>182</v>
      </c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ht="15.75" customHeight="1" x14ac:dyDescent="0.25">
      <c r="A543" s="7"/>
      <c r="B543" s="56"/>
      <c r="C543" s="59"/>
      <c r="D543" s="58"/>
      <c r="E543" s="66"/>
      <c r="F543" s="47"/>
      <c r="G543" s="47"/>
      <c r="H543" s="34">
        <f t="shared" si="52"/>
        <v>0</v>
      </c>
      <c r="I543" s="42" t="str">
        <f t="shared" si="33"/>
        <v/>
      </c>
      <c r="J543" s="36" t="str">
        <f t="shared" si="51"/>
        <v/>
      </c>
      <c r="K543" s="51"/>
      <c r="L543" s="43">
        <f t="shared" si="50"/>
        <v>182</v>
      </c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ht="15.75" customHeight="1" x14ac:dyDescent="0.25">
      <c r="A544" s="7"/>
      <c r="B544" s="56"/>
      <c r="C544" s="59"/>
      <c r="D544" s="58"/>
      <c r="E544" s="66"/>
      <c r="F544" s="47"/>
      <c r="G544" s="47"/>
      <c r="H544" s="34">
        <f t="shared" si="52"/>
        <v>0</v>
      </c>
      <c r="I544" s="42" t="str">
        <f t="shared" si="33"/>
        <v/>
      </c>
      <c r="J544" s="36" t="str">
        <f t="shared" si="51"/>
        <v/>
      </c>
      <c r="K544" s="51"/>
      <c r="L544" s="43">
        <f t="shared" si="50"/>
        <v>182</v>
      </c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ht="15.75" customHeight="1" x14ac:dyDescent="0.25">
      <c r="A545" s="7"/>
      <c r="B545" s="56"/>
      <c r="C545" s="59"/>
      <c r="D545" s="58"/>
      <c r="E545" s="66"/>
      <c r="F545" s="47"/>
      <c r="G545" s="47"/>
      <c r="H545" s="34">
        <f t="shared" si="52"/>
        <v>0</v>
      </c>
      <c r="I545" s="42" t="str">
        <f t="shared" si="33"/>
        <v/>
      </c>
      <c r="J545" s="36" t="str">
        <f t="shared" si="51"/>
        <v/>
      </c>
      <c r="K545" s="51"/>
      <c r="L545" s="43">
        <f t="shared" si="50"/>
        <v>182</v>
      </c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ht="15.75" customHeight="1" x14ac:dyDescent="0.25">
      <c r="A546" s="7"/>
      <c r="B546" s="56"/>
      <c r="C546" s="59"/>
      <c r="D546" s="58"/>
      <c r="E546" s="82"/>
      <c r="F546" s="50"/>
      <c r="G546" s="50"/>
      <c r="H546" s="34">
        <f t="shared" si="52"/>
        <v>0</v>
      </c>
      <c r="I546" s="42" t="str">
        <f t="shared" si="33"/>
        <v/>
      </c>
      <c r="J546" s="36" t="str">
        <f t="shared" si="51"/>
        <v/>
      </c>
      <c r="K546" s="51"/>
      <c r="L546" s="43">
        <f t="shared" si="50"/>
        <v>182</v>
      </c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ht="15.75" customHeight="1" x14ac:dyDescent="0.25">
      <c r="A547" s="7"/>
      <c r="B547" s="56"/>
      <c r="C547" s="59"/>
      <c r="D547" s="58"/>
      <c r="E547" s="66"/>
      <c r="F547" s="47"/>
      <c r="G547" s="47"/>
      <c r="H547" s="34">
        <f t="shared" si="52"/>
        <v>0</v>
      </c>
      <c r="I547" s="42" t="str">
        <f t="shared" si="33"/>
        <v/>
      </c>
      <c r="J547" s="36" t="str">
        <f t="shared" si="51"/>
        <v/>
      </c>
      <c r="K547" s="51"/>
      <c r="L547" s="43">
        <f t="shared" si="50"/>
        <v>182</v>
      </c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ht="15.75" customHeight="1" x14ac:dyDescent="0.25">
      <c r="A548" s="7"/>
      <c r="B548" s="56"/>
      <c r="C548" s="59"/>
      <c r="D548" s="58"/>
      <c r="E548" s="82"/>
      <c r="F548" s="50"/>
      <c r="G548" s="50"/>
      <c r="H548" s="34">
        <f t="shared" si="52"/>
        <v>0</v>
      </c>
      <c r="I548" s="42" t="str">
        <f t="shared" si="33"/>
        <v/>
      </c>
      <c r="J548" s="36" t="str">
        <f t="shared" si="51"/>
        <v/>
      </c>
      <c r="K548" s="51"/>
      <c r="L548" s="43">
        <f t="shared" si="50"/>
        <v>182</v>
      </c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ht="15.75" customHeight="1" x14ac:dyDescent="0.25">
      <c r="A549" s="7"/>
      <c r="B549" s="56"/>
      <c r="C549" s="59"/>
      <c r="D549" s="79"/>
      <c r="E549" s="82"/>
      <c r="F549" s="50"/>
      <c r="G549" s="50"/>
      <c r="H549" s="34">
        <f t="shared" si="52"/>
        <v>0</v>
      </c>
      <c r="I549" s="42" t="str">
        <f t="shared" si="33"/>
        <v/>
      </c>
      <c r="J549" s="36" t="str">
        <f t="shared" si="51"/>
        <v/>
      </c>
      <c r="K549" s="51"/>
      <c r="L549" s="43">
        <f t="shared" si="50"/>
        <v>182</v>
      </c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ht="15.75" customHeight="1" x14ac:dyDescent="0.25">
      <c r="A550" s="7"/>
      <c r="B550" s="56"/>
      <c r="C550" s="59"/>
      <c r="D550" s="58"/>
      <c r="E550" s="66"/>
      <c r="F550" s="47"/>
      <c r="G550" s="47"/>
      <c r="H550" s="34">
        <f t="shared" si="52"/>
        <v>0</v>
      </c>
      <c r="I550" s="42" t="str">
        <f t="shared" si="33"/>
        <v/>
      </c>
      <c r="J550" s="36" t="str">
        <f t="shared" si="51"/>
        <v/>
      </c>
      <c r="K550" s="51"/>
      <c r="L550" s="43">
        <f t="shared" si="50"/>
        <v>182</v>
      </c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ht="15.75" customHeight="1" x14ac:dyDescent="0.25">
      <c r="A551" s="7"/>
      <c r="B551" s="56"/>
      <c r="C551" s="59"/>
      <c r="D551" s="58"/>
      <c r="E551" s="66"/>
      <c r="F551" s="47"/>
      <c r="G551" s="47"/>
      <c r="H551" s="34">
        <f t="shared" si="52"/>
        <v>0</v>
      </c>
      <c r="I551" s="42" t="str">
        <f t="shared" si="33"/>
        <v/>
      </c>
      <c r="J551" s="36" t="str">
        <f t="shared" si="51"/>
        <v/>
      </c>
      <c r="K551" s="51"/>
      <c r="L551" s="43">
        <f t="shared" si="50"/>
        <v>182</v>
      </c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ht="15.75" customHeight="1" x14ac:dyDescent="0.25">
      <c r="A552" s="7"/>
      <c r="B552" s="56"/>
      <c r="C552" s="59"/>
      <c r="D552" s="58"/>
      <c r="E552" s="66"/>
      <c r="F552" s="47"/>
      <c r="G552" s="47"/>
      <c r="H552" s="34">
        <f t="shared" si="52"/>
        <v>0</v>
      </c>
      <c r="I552" s="42" t="str">
        <f t="shared" si="33"/>
        <v/>
      </c>
      <c r="J552" s="36" t="str">
        <f t="shared" si="51"/>
        <v/>
      </c>
      <c r="K552" s="51"/>
      <c r="L552" s="43">
        <f t="shared" si="50"/>
        <v>182</v>
      </c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ht="15.75" customHeight="1" x14ac:dyDescent="0.25">
      <c r="A553" s="7"/>
      <c r="B553" s="56"/>
      <c r="C553" s="59"/>
      <c r="D553" s="58"/>
      <c r="E553" s="66"/>
      <c r="F553" s="47"/>
      <c r="G553" s="47"/>
      <c r="H553" s="34">
        <f t="shared" si="52"/>
        <v>0</v>
      </c>
      <c r="I553" s="42" t="str">
        <f t="shared" si="33"/>
        <v/>
      </c>
      <c r="J553" s="36" t="str">
        <f t="shared" si="51"/>
        <v/>
      </c>
      <c r="K553" s="51"/>
      <c r="L553" s="43">
        <f t="shared" si="50"/>
        <v>182</v>
      </c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ht="15.75" customHeight="1" x14ac:dyDescent="0.25">
      <c r="A554" s="7"/>
      <c r="B554" s="56"/>
      <c r="C554" s="59"/>
      <c r="D554" s="58"/>
      <c r="E554" s="66"/>
      <c r="F554" s="47"/>
      <c r="G554" s="47"/>
      <c r="H554" s="34">
        <f t="shared" si="52"/>
        <v>0</v>
      </c>
      <c r="I554" s="42" t="str">
        <f t="shared" si="33"/>
        <v/>
      </c>
      <c r="J554" s="36" t="str">
        <f t="shared" si="51"/>
        <v/>
      </c>
      <c r="K554" s="51"/>
      <c r="L554" s="43">
        <f t="shared" si="50"/>
        <v>182</v>
      </c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ht="15.75" customHeight="1" x14ac:dyDescent="0.25">
      <c r="A555" s="7"/>
      <c r="B555" s="56"/>
      <c r="C555" s="59"/>
      <c r="D555" s="58"/>
      <c r="E555" s="66"/>
      <c r="F555" s="47"/>
      <c r="G555" s="47"/>
      <c r="H555" s="34">
        <f t="shared" si="52"/>
        <v>0</v>
      </c>
      <c r="I555" s="42" t="str">
        <f t="shared" si="33"/>
        <v/>
      </c>
      <c r="J555" s="36" t="str">
        <f t="shared" si="51"/>
        <v/>
      </c>
      <c r="K555" s="113"/>
      <c r="L555" s="136">
        <f t="shared" si="50"/>
        <v>182</v>
      </c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ht="15.75" customHeight="1" x14ac:dyDescent="0.25">
      <c r="A556" s="7"/>
      <c r="B556" s="56"/>
      <c r="C556" s="59"/>
      <c r="D556" s="58"/>
      <c r="E556" s="66"/>
      <c r="F556" s="66"/>
      <c r="G556" s="66"/>
      <c r="H556" s="34">
        <f t="shared" si="52"/>
        <v>0</v>
      </c>
      <c r="I556" s="42" t="str">
        <f t="shared" si="33"/>
        <v/>
      </c>
      <c r="J556" s="36"/>
      <c r="K556" s="114"/>
      <c r="L556" s="115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ht="15.75" customHeight="1" x14ac:dyDescent="0.25">
      <c r="A557" s="7"/>
      <c r="B557" s="56"/>
      <c r="C557" s="59"/>
      <c r="D557" s="58"/>
      <c r="E557" s="66"/>
      <c r="F557" s="66"/>
      <c r="G557" s="66"/>
      <c r="H557" s="34">
        <f t="shared" si="52"/>
        <v>0</v>
      </c>
      <c r="I557" s="42" t="str">
        <f t="shared" si="33"/>
        <v/>
      </c>
      <c r="J557" s="36"/>
      <c r="K557" s="114"/>
      <c r="L557" s="115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ht="15.75" customHeight="1" x14ac:dyDescent="0.25">
      <c r="A558" s="7"/>
      <c r="B558" s="56"/>
      <c r="C558" s="59"/>
      <c r="D558" s="58"/>
      <c r="E558" s="66"/>
      <c r="F558" s="66"/>
      <c r="G558" s="66"/>
      <c r="H558" s="34">
        <f t="shared" si="52"/>
        <v>0</v>
      </c>
      <c r="I558" s="42" t="str">
        <f t="shared" si="33"/>
        <v/>
      </c>
      <c r="J558" s="116" t="str">
        <f t="shared" ref="J558:J566" si="53">IF(ISERROR(MAX(E558:G558)/H558-1),"",(MAX(E558:G558)/H558-1))</f>
        <v/>
      </c>
      <c r="K558" s="117"/>
      <c r="L558" s="117">
        <f t="shared" ref="L558:L680" si="54">EDATE(K558,6)</f>
        <v>182</v>
      </c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ht="15.75" customHeight="1" x14ac:dyDescent="0.25">
      <c r="A559" s="7"/>
      <c r="B559" s="56"/>
      <c r="C559" s="59"/>
      <c r="D559" s="58"/>
      <c r="E559" s="66"/>
      <c r="F559" s="84"/>
      <c r="G559" s="84"/>
      <c r="H559" s="34">
        <f t="shared" si="52"/>
        <v>0</v>
      </c>
      <c r="I559" s="42" t="str">
        <f t="shared" si="33"/>
        <v/>
      </c>
      <c r="J559" s="36" t="str">
        <f t="shared" si="53"/>
        <v/>
      </c>
      <c r="K559" s="51"/>
      <c r="L559" s="43">
        <f t="shared" si="54"/>
        <v>182</v>
      </c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ht="15.75" customHeight="1" x14ac:dyDescent="0.25">
      <c r="A560" s="7"/>
      <c r="B560" s="56"/>
      <c r="C560" s="59"/>
      <c r="D560" s="58"/>
      <c r="E560" s="82"/>
      <c r="F560" s="50"/>
      <c r="G560" s="50"/>
      <c r="H560" s="34">
        <f t="shared" si="52"/>
        <v>0</v>
      </c>
      <c r="I560" s="42" t="str">
        <f t="shared" si="33"/>
        <v/>
      </c>
      <c r="J560" s="36" t="str">
        <f t="shared" si="53"/>
        <v/>
      </c>
      <c r="K560" s="51"/>
      <c r="L560" s="43">
        <f t="shared" si="54"/>
        <v>182</v>
      </c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ht="15.75" customHeight="1" x14ac:dyDescent="0.25">
      <c r="A561" s="7"/>
      <c r="B561" s="56"/>
      <c r="C561" s="59"/>
      <c r="D561" s="58"/>
      <c r="E561" s="82"/>
      <c r="F561" s="50"/>
      <c r="G561" s="50"/>
      <c r="H561" s="34">
        <f t="shared" si="52"/>
        <v>0</v>
      </c>
      <c r="I561" s="42" t="str">
        <f t="shared" si="33"/>
        <v/>
      </c>
      <c r="J561" s="36" t="str">
        <f t="shared" si="53"/>
        <v/>
      </c>
      <c r="K561" s="51"/>
      <c r="L561" s="43">
        <f t="shared" si="54"/>
        <v>182</v>
      </c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ht="15.75" customHeight="1" x14ac:dyDescent="0.25">
      <c r="A562" s="7"/>
      <c r="B562" s="56"/>
      <c r="C562" s="59"/>
      <c r="D562" s="58"/>
      <c r="E562" s="82"/>
      <c r="F562" s="82"/>
      <c r="G562" s="82"/>
      <c r="H562" s="34">
        <f t="shared" si="52"/>
        <v>0</v>
      </c>
      <c r="I562" s="42" t="str">
        <f t="shared" si="33"/>
        <v/>
      </c>
      <c r="J562" s="116" t="str">
        <f t="shared" si="53"/>
        <v/>
      </c>
      <c r="K562" s="118"/>
      <c r="L562" s="118">
        <f t="shared" si="54"/>
        <v>182</v>
      </c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ht="15.75" customHeight="1" x14ac:dyDescent="0.25">
      <c r="A563" s="7"/>
      <c r="B563" s="56"/>
      <c r="C563" s="59"/>
      <c r="D563" s="58"/>
      <c r="E563" s="82"/>
      <c r="F563" s="82"/>
      <c r="G563" s="82"/>
      <c r="H563" s="34">
        <f t="shared" si="52"/>
        <v>0</v>
      </c>
      <c r="I563" s="42" t="str">
        <f t="shared" si="33"/>
        <v/>
      </c>
      <c r="J563" s="116" t="str">
        <f t="shared" si="53"/>
        <v/>
      </c>
      <c r="K563" s="118"/>
      <c r="L563" s="118">
        <f t="shared" si="54"/>
        <v>182</v>
      </c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ht="15.75" customHeight="1" x14ac:dyDescent="0.25">
      <c r="A564" s="7"/>
      <c r="B564" s="56"/>
      <c r="C564" s="59"/>
      <c r="D564" s="58"/>
      <c r="E564" s="66"/>
      <c r="F564" s="84"/>
      <c r="G564" s="66"/>
      <c r="H564" s="34">
        <f t="shared" si="52"/>
        <v>0</v>
      </c>
      <c r="I564" s="42" t="str">
        <f t="shared" si="33"/>
        <v/>
      </c>
      <c r="J564" s="116" t="str">
        <f t="shared" si="53"/>
        <v/>
      </c>
      <c r="K564" s="118"/>
      <c r="L564" s="118">
        <f t="shared" si="54"/>
        <v>182</v>
      </c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ht="15.75" customHeight="1" x14ac:dyDescent="0.25">
      <c r="A565" s="7"/>
      <c r="B565" s="56"/>
      <c r="C565" s="59"/>
      <c r="D565" s="81"/>
      <c r="E565" s="66"/>
      <c r="F565" s="84"/>
      <c r="G565" s="66"/>
      <c r="H565" s="34">
        <f t="shared" si="52"/>
        <v>0</v>
      </c>
      <c r="I565" s="42" t="str">
        <f t="shared" si="33"/>
        <v/>
      </c>
      <c r="J565" s="116" t="str">
        <f t="shared" si="53"/>
        <v/>
      </c>
      <c r="K565" s="118"/>
      <c r="L565" s="118">
        <f t="shared" si="54"/>
        <v>182</v>
      </c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ht="15.75" customHeight="1" x14ac:dyDescent="0.25">
      <c r="A566" s="7"/>
      <c r="B566" s="56"/>
      <c r="C566" s="59"/>
      <c r="D566" s="58"/>
      <c r="E566" s="66"/>
      <c r="F566" s="84"/>
      <c r="G566" s="84"/>
      <c r="H566" s="34">
        <f t="shared" si="52"/>
        <v>0</v>
      </c>
      <c r="I566" s="42" t="str">
        <f t="shared" si="33"/>
        <v/>
      </c>
      <c r="J566" s="36" t="str">
        <f t="shared" si="53"/>
        <v/>
      </c>
      <c r="K566" s="37"/>
      <c r="L566" s="38">
        <f t="shared" si="54"/>
        <v>182</v>
      </c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ht="15.75" customHeight="1" x14ac:dyDescent="0.25">
      <c r="A567" s="7"/>
      <c r="B567" s="56"/>
      <c r="C567" s="59"/>
      <c r="D567" s="58"/>
      <c r="E567" s="66"/>
      <c r="F567" s="47"/>
      <c r="G567" s="47"/>
      <c r="H567" s="34">
        <f t="shared" si="52"/>
        <v>0</v>
      </c>
      <c r="I567" s="42" t="str">
        <f t="shared" si="33"/>
        <v/>
      </c>
      <c r="J567" s="36"/>
      <c r="K567" s="51"/>
      <c r="L567" s="43">
        <f t="shared" si="54"/>
        <v>182</v>
      </c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ht="15.75" customHeight="1" x14ac:dyDescent="0.25">
      <c r="A568" s="7"/>
      <c r="B568" s="56"/>
      <c r="C568" s="59"/>
      <c r="D568" s="58"/>
      <c r="E568" s="66"/>
      <c r="F568" s="47"/>
      <c r="G568" s="47"/>
      <c r="H568" s="34">
        <f t="shared" si="52"/>
        <v>0</v>
      </c>
      <c r="I568" s="42" t="str">
        <f t="shared" si="33"/>
        <v/>
      </c>
      <c r="J568" s="36" t="str">
        <f t="shared" ref="J568:J571" si="55">IF(ISERROR(MAX(E568:G568)/H568-1),"",(MAX(E568:G568)/H568-1))</f>
        <v/>
      </c>
      <c r="K568" s="51"/>
      <c r="L568" s="43">
        <f t="shared" si="54"/>
        <v>182</v>
      </c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ht="15.75" customHeight="1" x14ac:dyDescent="0.25">
      <c r="A569" s="7"/>
      <c r="B569" s="56"/>
      <c r="C569" s="59"/>
      <c r="D569" s="80"/>
      <c r="E569" s="66"/>
      <c r="F569" s="47"/>
      <c r="G569" s="47"/>
      <c r="H569" s="34">
        <f t="shared" si="52"/>
        <v>0</v>
      </c>
      <c r="I569" s="42" t="str">
        <f t="shared" si="33"/>
        <v/>
      </c>
      <c r="J569" s="36" t="str">
        <f t="shared" si="55"/>
        <v/>
      </c>
      <c r="K569" s="51"/>
      <c r="L569" s="43">
        <f t="shared" si="54"/>
        <v>182</v>
      </c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ht="15.75" customHeight="1" x14ac:dyDescent="0.25">
      <c r="A570" s="7"/>
      <c r="B570" s="56"/>
      <c r="C570" s="59"/>
      <c r="D570" s="58"/>
      <c r="E570" s="82"/>
      <c r="F570" s="50"/>
      <c r="G570" s="50"/>
      <c r="H570" s="34">
        <f t="shared" si="52"/>
        <v>0</v>
      </c>
      <c r="I570" s="42" t="str">
        <f t="shared" si="33"/>
        <v/>
      </c>
      <c r="J570" s="36" t="str">
        <f t="shared" si="55"/>
        <v/>
      </c>
      <c r="K570" s="51"/>
      <c r="L570" s="43">
        <f t="shared" si="54"/>
        <v>182</v>
      </c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ht="15.75" customHeight="1" x14ac:dyDescent="0.25">
      <c r="A571" s="7"/>
      <c r="B571" s="56"/>
      <c r="C571" s="59"/>
      <c r="D571" s="58"/>
      <c r="E571" s="82"/>
      <c r="F571" s="50"/>
      <c r="G571" s="50"/>
      <c r="H571" s="34">
        <f t="shared" si="52"/>
        <v>0</v>
      </c>
      <c r="I571" s="42" t="str">
        <f t="shared" si="33"/>
        <v/>
      </c>
      <c r="J571" s="36" t="str">
        <f t="shared" si="55"/>
        <v/>
      </c>
      <c r="K571" s="51"/>
      <c r="L571" s="43">
        <f t="shared" si="54"/>
        <v>182</v>
      </c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ht="15.75" customHeight="1" x14ac:dyDescent="0.25">
      <c r="A572" s="7"/>
      <c r="B572" s="56"/>
      <c r="C572" s="59"/>
      <c r="D572" s="58"/>
      <c r="E572" s="66"/>
      <c r="F572" s="47"/>
      <c r="G572" s="47"/>
      <c r="H572" s="34">
        <f t="shared" si="52"/>
        <v>0</v>
      </c>
      <c r="I572" s="42" t="str">
        <f t="shared" ref="I572:I723" si="56">IF(ISERROR(MAX(E572:G572)/MIN(E572:G572)-1),"",(MAX(E572:G572)/MIN(E572:G572)-1))</f>
        <v/>
      </c>
      <c r="J572" s="36"/>
      <c r="K572" s="51"/>
      <c r="L572" s="43">
        <f t="shared" si="54"/>
        <v>182</v>
      </c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ht="15.75" customHeight="1" x14ac:dyDescent="0.25">
      <c r="A573" s="7"/>
      <c r="B573" s="56"/>
      <c r="C573" s="59"/>
      <c r="D573" s="58"/>
      <c r="E573" s="66"/>
      <c r="F573" s="47"/>
      <c r="G573" s="47"/>
      <c r="H573" s="34">
        <f t="shared" si="52"/>
        <v>0</v>
      </c>
      <c r="I573" s="42" t="str">
        <f t="shared" si="56"/>
        <v/>
      </c>
      <c r="J573" s="36"/>
      <c r="K573" s="51"/>
      <c r="L573" s="43">
        <f t="shared" si="54"/>
        <v>182</v>
      </c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ht="15.75" customHeight="1" x14ac:dyDescent="0.25">
      <c r="A574" s="7"/>
      <c r="B574" s="56"/>
      <c r="C574" s="59"/>
      <c r="D574" s="58"/>
      <c r="E574" s="82"/>
      <c r="F574" s="50"/>
      <c r="G574" s="50"/>
      <c r="H574" s="34">
        <f t="shared" si="52"/>
        <v>0</v>
      </c>
      <c r="I574" s="42" t="str">
        <f t="shared" si="56"/>
        <v/>
      </c>
      <c r="J574" s="36" t="str">
        <f t="shared" ref="J574:J671" si="57">IF(ISERROR(MAX(E574:G574)/H574-1),"",(MAX(E574:G574)/H574-1))</f>
        <v/>
      </c>
      <c r="K574" s="51"/>
      <c r="L574" s="43">
        <f t="shared" si="54"/>
        <v>182</v>
      </c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ht="15.75" customHeight="1" x14ac:dyDescent="0.25">
      <c r="A575" s="7"/>
      <c r="B575" s="56"/>
      <c r="C575" s="59"/>
      <c r="D575" s="79"/>
      <c r="E575" s="82"/>
      <c r="F575" s="50"/>
      <c r="G575" s="50"/>
      <c r="H575" s="34">
        <f t="shared" si="52"/>
        <v>0</v>
      </c>
      <c r="I575" s="42" t="str">
        <f t="shared" si="56"/>
        <v/>
      </c>
      <c r="J575" s="36" t="str">
        <f t="shared" si="57"/>
        <v/>
      </c>
      <c r="K575" s="51"/>
      <c r="L575" s="43">
        <f t="shared" si="54"/>
        <v>182</v>
      </c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ht="15.75" customHeight="1" x14ac:dyDescent="0.25">
      <c r="A576" s="7"/>
      <c r="B576" s="56"/>
      <c r="C576" s="59"/>
      <c r="D576" s="81"/>
      <c r="E576" s="66"/>
      <c r="F576" s="47"/>
      <c r="G576" s="47"/>
      <c r="H576" s="34">
        <f t="shared" si="52"/>
        <v>0</v>
      </c>
      <c r="I576" s="42" t="str">
        <f t="shared" si="56"/>
        <v/>
      </c>
      <c r="J576" s="36" t="str">
        <f t="shared" si="57"/>
        <v/>
      </c>
      <c r="K576" s="51"/>
      <c r="L576" s="43">
        <f t="shared" si="54"/>
        <v>182</v>
      </c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ht="15.75" customHeight="1" x14ac:dyDescent="0.25">
      <c r="A577" s="7"/>
      <c r="B577" s="56"/>
      <c r="C577" s="59"/>
      <c r="D577" s="58"/>
      <c r="E577" s="66"/>
      <c r="F577" s="47"/>
      <c r="G577" s="47"/>
      <c r="H577" s="34">
        <f t="shared" si="52"/>
        <v>0</v>
      </c>
      <c r="I577" s="42" t="str">
        <f t="shared" si="56"/>
        <v/>
      </c>
      <c r="J577" s="36" t="str">
        <f t="shared" si="57"/>
        <v/>
      </c>
      <c r="K577" s="51"/>
      <c r="L577" s="43">
        <f t="shared" si="54"/>
        <v>182</v>
      </c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ht="15.75" customHeight="1" x14ac:dyDescent="0.25">
      <c r="A578" s="7"/>
      <c r="B578" s="56"/>
      <c r="C578" s="59"/>
      <c r="D578" s="104"/>
      <c r="E578" s="66"/>
      <c r="F578" s="47"/>
      <c r="G578" s="47"/>
      <c r="H578" s="34">
        <f t="shared" si="52"/>
        <v>0</v>
      </c>
      <c r="I578" s="42" t="str">
        <f t="shared" si="56"/>
        <v/>
      </c>
      <c r="J578" s="36" t="str">
        <f t="shared" si="57"/>
        <v/>
      </c>
      <c r="K578" s="51"/>
      <c r="L578" s="43">
        <f t="shared" si="54"/>
        <v>182</v>
      </c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ht="15.75" customHeight="1" x14ac:dyDescent="0.25">
      <c r="A579" s="7"/>
      <c r="B579" s="56"/>
      <c r="C579" s="59"/>
      <c r="D579" s="58"/>
      <c r="E579" s="66"/>
      <c r="F579" s="47"/>
      <c r="G579" s="47"/>
      <c r="H579" s="34">
        <f t="shared" si="52"/>
        <v>0</v>
      </c>
      <c r="I579" s="42" t="str">
        <f t="shared" si="56"/>
        <v/>
      </c>
      <c r="J579" s="36" t="str">
        <f t="shared" si="57"/>
        <v/>
      </c>
      <c r="K579" s="51"/>
      <c r="L579" s="43">
        <f t="shared" si="54"/>
        <v>182</v>
      </c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ht="15.75" customHeight="1" x14ac:dyDescent="0.25">
      <c r="A580" s="7"/>
      <c r="B580" s="56"/>
      <c r="C580" s="59"/>
      <c r="D580" s="58"/>
      <c r="E580" s="66"/>
      <c r="F580" s="47"/>
      <c r="G580" s="47"/>
      <c r="H580" s="34">
        <f t="shared" si="52"/>
        <v>0</v>
      </c>
      <c r="I580" s="42" t="str">
        <f t="shared" si="56"/>
        <v/>
      </c>
      <c r="J580" s="36" t="str">
        <f t="shared" si="57"/>
        <v/>
      </c>
      <c r="K580" s="51"/>
      <c r="L580" s="43">
        <f t="shared" si="54"/>
        <v>182</v>
      </c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ht="15.75" customHeight="1" x14ac:dyDescent="0.25">
      <c r="A581" s="7"/>
      <c r="B581" s="56"/>
      <c r="C581" s="59"/>
      <c r="D581" s="58"/>
      <c r="E581" s="66"/>
      <c r="F581" s="84"/>
      <c r="G581" s="84"/>
      <c r="H581" s="34">
        <f t="shared" si="52"/>
        <v>0</v>
      </c>
      <c r="I581" s="42" t="str">
        <f t="shared" si="56"/>
        <v/>
      </c>
      <c r="J581" s="36" t="str">
        <f t="shared" si="57"/>
        <v/>
      </c>
      <c r="K581" s="51"/>
      <c r="L581" s="43">
        <f t="shared" si="54"/>
        <v>182</v>
      </c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ht="15.75" customHeight="1" x14ac:dyDescent="0.25">
      <c r="A582" s="7"/>
      <c r="B582" s="56"/>
      <c r="C582" s="59"/>
      <c r="D582" s="58"/>
      <c r="E582" s="66"/>
      <c r="F582" s="47"/>
      <c r="G582" s="47"/>
      <c r="H582" s="34">
        <f t="shared" si="52"/>
        <v>0</v>
      </c>
      <c r="I582" s="42" t="str">
        <f t="shared" si="56"/>
        <v/>
      </c>
      <c r="J582" s="36" t="str">
        <f t="shared" si="57"/>
        <v/>
      </c>
      <c r="K582" s="51"/>
      <c r="L582" s="43">
        <f t="shared" si="54"/>
        <v>182</v>
      </c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ht="15.75" customHeight="1" x14ac:dyDescent="0.25">
      <c r="A583" s="7"/>
      <c r="B583" s="56"/>
      <c r="C583" s="59"/>
      <c r="D583" s="58"/>
      <c r="E583" s="66"/>
      <c r="F583" s="47"/>
      <c r="G583" s="47"/>
      <c r="H583" s="34">
        <f t="shared" si="52"/>
        <v>0</v>
      </c>
      <c r="I583" s="42" t="str">
        <f t="shared" si="56"/>
        <v/>
      </c>
      <c r="J583" s="36" t="str">
        <f t="shared" si="57"/>
        <v/>
      </c>
      <c r="K583" s="51"/>
      <c r="L583" s="43">
        <f t="shared" si="54"/>
        <v>182</v>
      </c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ht="15.75" customHeight="1" x14ac:dyDescent="0.25">
      <c r="A584" s="7"/>
      <c r="B584" s="56"/>
      <c r="C584" s="59"/>
      <c r="D584" s="58"/>
      <c r="E584" s="66"/>
      <c r="F584" s="47"/>
      <c r="G584" s="47"/>
      <c r="H584" s="34">
        <f t="shared" si="52"/>
        <v>0</v>
      </c>
      <c r="I584" s="42" t="str">
        <f t="shared" si="56"/>
        <v/>
      </c>
      <c r="J584" s="36" t="str">
        <f t="shared" si="57"/>
        <v/>
      </c>
      <c r="K584" s="51"/>
      <c r="L584" s="43">
        <f t="shared" si="54"/>
        <v>182</v>
      </c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ht="15.75" customHeight="1" x14ac:dyDescent="0.25">
      <c r="A585" s="7"/>
      <c r="B585" s="56"/>
      <c r="C585" s="59"/>
      <c r="D585" s="58"/>
      <c r="E585" s="82"/>
      <c r="F585" s="50"/>
      <c r="G585" s="50"/>
      <c r="H585" s="34">
        <f t="shared" si="52"/>
        <v>0</v>
      </c>
      <c r="I585" s="42" t="str">
        <f t="shared" si="56"/>
        <v/>
      </c>
      <c r="J585" s="36" t="str">
        <f t="shared" si="57"/>
        <v/>
      </c>
      <c r="K585" s="51"/>
      <c r="L585" s="43">
        <f t="shared" si="54"/>
        <v>182</v>
      </c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ht="15.75" customHeight="1" x14ac:dyDescent="0.25">
      <c r="A586" s="7"/>
      <c r="B586" s="56"/>
      <c r="C586" s="59"/>
      <c r="D586" s="58"/>
      <c r="E586" s="66"/>
      <c r="F586" s="47"/>
      <c r="G586" s="47"/>
      <c r="H586" s="34">
        <f t="shared" si="52"/>
        <v>0</v>
      </c>
      <c r="I586" s="42" t="str">
        <f t="shared" si="56"/>
        <v/>
      </c>
      <c r="J586" s="36" t="str">
        <f t="shared" si="57"/>
        <v/>
      </c>
      <c r="K586" s="51"/>
      <c r="L586" s="43">
        <f t="shared" si="54"/>
        <v>182</v>
      </c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ht="15.75" customHeight="1" x14ac:dyDescent="0.25">
      <c r="A587" s="7"/>
      <c r="B587" s="56"/>
      <c r="C587" s="59"/>
      <c r="D587" s="58"/>
      <c r="E587" s="66"/>
      <c r="F587" s="84"/>
      <c r="G587" s="47"/>
      <c r="H587" s="34">
        <f t="shared" si="52"/>
        <v>0</v>
      </c>
      <c r="I587" s="42" t="str">
        <f t="shared" si="56"/>
        <v/>
      </c>
      <c r="J587" s="36" t="str">
        <f t="shared" si="57"/>
        <v/>
      </c>
      <c r="K587" s="51"/>
      <c r="L587" s="43">
        <f t="shared" si="54"/>
        <v>182</v>
      </c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ht="15.75" customHeight="1" x14ac:dyDescent="0.25">
      <c r="A588" s="7"/>
      <c r="B588" s="56"/>
      <c r="C588" s="59"/>
      <c r="D588" s="58"/>
      <c r="E588" s="66"/>
      <c r="F588" s="47"/>
      <c r="G588" s="47"/>
      <c r="H588" s="34">
        <f t="shared" si="52"/>
        <v>0</v>
      </c>
      <c r="I588" s="42" t="str">
        <f t="shared" si="56"/>
        <v/>
      </c>
      <c r="J588" s="36" t="str">
        <f t="shared" si="57"/>
        <v/>
      </c>
      <c r="K588" s="51"/>
      <c r="L588" s="43">
        <f t="shared" si="54"/>
        <v>182</v>
      </c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ht="15.75" customHeight="1" x14ac:dyDescent="0.25">
      <c r="A589" s="7"/>
      <c r="B589" s="56"/>
      <c r="C589" s="59"/>
      <c r="D589" s="58"/>
      <c r="E589" s="66"/>
      <c r="F589" s="47"/>
      <c r="G589" s="47"/>
      <c r="H589" s="34">
        <f t="shared" si="52"/>
        <v>0</v>
      </c>
      <c r="I589" s="42" t="str">
        <f t="shared" si="56"/>
        <v/>
      </c>
      <c r="J589" s="36" t="str">
        <f t="shared" si="57"/>
        <v/>
      </c>
      <c r="K589" s="51"/>
      <c r="L589" s="43">
        <f t="shared" si="54"/>
        <v>182</v>
      </c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ht="15.75" customHeight="1" x14ac:dyDescent="0.25">
      <c r="A590" s="7"/>
      <c r="B590" s="56"/>
      <c r="C590" s="59"/>
      <c r="D590" s="58"/>
      <c r="E590" s="66"/>
      <c r="F590" s="47"/>
      <c r="G590" s="47"/>
      <c r="H590" s="34">
        <f t="shared" si="52"/>
        <v>0</v>
      </c>
      <c r="I590" s="42" t="str">
        <f t="shared" si="56"/>
        <v/>
      </c>
      <c r="J590" s="36" t="str">
        <f t="shared" si="57"/>
        <v/>
      </c>
      <c r="K590" s="51"/>
      <c r="L590" s="43">
        <f t="shared" si="54"/>
        <v>182</v>
      </c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ht="15.75" customHeight="1" x14ac:dyDescent="0.25">
      <c r="A591" s="7"/>
      <c r="B591" s="56"/>
      <c r="C591" s="59"/>
      <c r="D591" s="80"/>
      <c r="E591" s="66"/>
      <c r="F591" s="47"/>
      <c r="G591" s="47"/>
      <c r="H591" s="34">
        <f t="shared" si="52"/>
        <v>0</v>
      </c>
      <c r="I591" s="42" t="str">
        <f t="shared" si="56"/>
        <v/>
      </c>
      <c r="J591" s="36" t="str">
        <f t="shared" si="57"/>
        <v/>
      </c>
      <c r="K591" s="51"/>
      <c r="L591" s="43">
        <f t="shared" si="54"/>
        <v>182</v>
      </c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ht="15.75" customHeight="1" x14ac:dyDescent="0.25">
      <c r="A592" s="7"/>
      <c r="B592" s="56"/>
      <c r="C592" s="59"/>
      <c r="D592" s="58"/>
      <c r="E592" s="66"/>
      <c r="F592" s="47"/>
      <c r="G592" s="47"/>
      <c r="H592" s="34">
        <f t="shared" si="52"/>
        <v>0</v>
      </c>
      <c r="I592" s="42" t="str">
        <f t="shared" si="56"/>
        <v/>
      </c>
      <c r="J592" s="36" t="str">
        <f t="shared" si="57"/>
        <v/>
      </c>
      <c r="K592" s="51"/>
      <c r="L592" s="43">
        <f t="shared" si="54"/>
        <v>182</v>
      </c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ht="15.75" customHeight="1" x14ac:dyDescent="0.25">
      <c r="A593" s="7"/>
      <c r="B593" s="56"/>
      <c r="C593" s="59"/>
      <c r="D593" s="58"/>
      <c r="E593" s="66"/>
      <c r="F593" s="47"/>
      <c r="G593" s="47"/>
      <c r="H593" s="34">
        <f t="shared" si="52"/>
        <v>0</v>
      </c>
      <c r="I593" s="42" t="str">
        <f t="shared" si="56"/>
        <v/>
      </c>
      <c r="J593" s="36" t="str">
        <f t="shared" si="57"/>
        <v/>
      </c>
      <c r="K593" s="51"/>
      <c r="L593" s="43">
        <f t="shared" si="54"/>
        <v>182</v>
      </c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ht="15.75" customHeight="1" x14ac:dyDescent="0.25">
      <c r="A594" s="7"/>
      <c r="B594" s="56"/>
      <c r="C594" s="59"/>
      <c r="D594" s="58"/>
      <c r="E594" s="66"/>
      <c r="F594" s="47"/>
      <c r="G594" s="47"/>
      <c r="H594" s="34">
        <f t="shared" si="52"/>
        <v>0</v>
      </c>
      <c r="I594" s="42" t="str">
        <f t="shared" si="56"/>
        <v/>
      </c>
      <c r="J594" s="36" t="str">
        <f t="shared" si="57"/>
        <v/>
      </c>
      <c r="K594" s="51"/>
      <c r="L594" s="43">
        <f t="shared" si="54"/>
        <v>182</v>
      </c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ht="15.75" customHeight="1" x14ac:dyDescent="0.25">
      <c r="A595" s="7"/>
      <c r="B595" s="56"/>
      <c r="C595" s="59"/>
      <c r="D595" s="58"/>
      <c r="E595" s="82"/>
      <c r="F595" s="50"/>
      <c r="G595" s="50"/>
      <c r="H595" s="34">
        <f t="shared" si="52"/>
        <v>0</v>
      </c>
      <c r="I595" s="42" t="str">
        <f t="shared" si="56"/>
        <v/>
      </c>
      <c r="J595" s="36" t="str">
        <f t="shared" si="57"/>
        <v/>
      </c>
      <c r="K595" s="51"/>
      <c r="L595" s="43">
        <f t="shared" si="54"/>
        <v>182</v>
      </c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ht="15.75" customHeight="1" x14ac:dyDescent="0.25">
      <c r="A596" s="7"/>
      <c r="B596" s="56"/>
      <c r="C596" s="59"/>
      <c r="D596" s="58"/>
      <c r="E596" s="66"/>
      <c r="F596" s="47"/>
      <c r="G596" s="47"/>
      <c r="H596" s="34">
        <f t="shared" si="52"/>
        <v>0</v>
      </c>
      <c r="I596" s="42" t="str">
        <f t="shared" si="56"/>
        <v/>
      </c>
      <c r="J596" s="36" t="str">
        <f t="shared" si="57"/>
        <v/>
      </c>
      <c r="K596" s="51"/>
      <c r="L596" s="43">
        <f t="shared" si="54"/>
        <v>182</v>
      </c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ht="15.75" customHeight="1" x14ac:dyDescent="0.25">
      <c r="A597" s="7"/>
      <c r="B597" s="56"/>
      <c r="C597" s="59"/>
      <c r="D597" s="58"/>
      <c r="E597" s="66"/>
      <c r="F597" s="47"/>
      <c r="G597" s="47"/>
      <c r="H597" s="34">
        <f t="shared" si="52"/>
        <v>0</v>
      </c>
      <c r="I597" s="42" t="str">
        <f t="shared" si="56"/>
        <v/>
      </c>
      <c r="J597" s="36" t="str">
        <f t="shared" si="57"/>
        <v/>
      </c>
      <c r="K597" s="51"/>
      <c r="L597" s="43">
        <f t="shared" si="54"/>
        <v>182</v>
      </c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ht="15.75" customHeight="1" x14ac:dyDescent="0.25">
      <c r="A598" s="7"/>
      <c r="B598" s="56"/>
      <c r="C598" s="59"/>
      <c r="D598" s="58"/>
      <c r="E598" s="66"/>
      <c r="F598" s="47"/>
      <c r="G598" s="47"/>
      <c r="H598" s="34">
        <f t="shared" si="52"/>
        <v>0</v>
      </c>
      <c r="I598" s="42" t="str">
        <f t="shared" si="56"/>
        <v/>
      </c>
      <c r="J598" s="36" t="str">
        <f t="shared" si="57"/>
        <v/>
      </c>
      <c r="K598" s="51"/>
      <c r="L598" s="43">
        <f t="shared" si="54"/>
        <v>182</v>
      </c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ht="15.75" customHeight="1" x14ac:dyDescent="0.25">
      <c r="A599" s="7"/>
      <c r="B599" s="56"/>
      <c r="C599" s="59"/>
      <c r="D599" s="80"/>
      <c r="E599" s="66"/>
      <c r="F599" s="47"/>
      <c r="G599" s="47"/>
      <c r="H599" s="34">
        <f t="shared" si="52"/>
        <v>0</v>
      </c>
      <c r="I599" s="42" t="str">
        <f t="shared" si="56"/>
        <v/>
      </c>
      <c r="J599" s="36" t="str">
        <f t="shared" si="57"/>
        <v/>
      </c>
      <c r="K599" s="51"/>
      <c r="L599" s="43">
        <f t="shared" si="54"/>
        <v>182</v>
      </c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ht="15.75" customHeight="1" x14ac:dyDescent="0.25">
      <c r="A600" s="7"/>
      <c r="B600" s="56"/>
      <c r="C600" s="59"/>
      <c r="D600" s="58"/>
      <c r="E600" s="82"/>
      <c r="F600" s="50"/>
      <c r="G600" s="50"/>
      <c r="H600" s="34">
        <f t="shared" si="52"/>
        <v>0</v>
      </c>
      <c r="I600" s="62" t="str">
        <f t="shared" si="56"/>
        <v/>
      </c>
      <c r="J600" s="119" t="str">
        <f t="shared" si="57"/>
        <v/>
      </c>
      <c r="K600" s="51"/>
      <c r="L600" s="43">
        <f t="shared" si="54"/>
        <v>182</v>
      </c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ht="15.75" customHeight="1" x14ac:dyDescent="0.25">
      <c r="A601" s="7"/>
      <c r="B601" s="56"/>
      <c r="C601" s="59"/>
      <c r="D601" s="58"/>
      <c r="E601" s="66"/>
      <c r="F601" s="47"/>
      <c r="G601" s="47"/>
      <c r="H601" s="34">
        <f t="shared" si="52"/>
        <v>0</v>
      </c>
      <c r="I601" s="62" t="str">
        <f t="shared" si="56"/>
        <v/>
      </c>
      <c r="J601" s="119" t="str">
        <f t="shared" si="57"/>
        <v/>
      </c>
      <c r="K601" s="51"/>
      <c r="L601" s="43">
        <f t="shared" si="54"/>
        <v>182</v>
      </c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ht="15.75" customHeight="1" x14ac:dyDescent="0.25">
      <c r="A602" s="7"/>
      <c r="B602" s="56"/>
      <c r="C602" s="59"/>
      <c r="D602" s="58"/>
      <c r="E602" s="66"/>
      <c r="F602" s="47"/>
      <c r="G602" s="47"/>
      <c r="H602" s="34">
        <f t="shared" si="52"/>
        <v>0</v>
      </c>
      <c r="I602" s="42" t="str">
        <f t="shared" si="56"/>
        <v/>
      </c>
      <c r="J602" s="36" t="str">
        <f t="shared" si="57"/>
        <v/>
      </c>
      <c r="K602" s="51"/>
      <c r="L602" s="43">
        <f t="shared" si="54"/>
        <v>182</v>
      </c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ht="15.75" customHeight="1" x14ac:dyDescent="0.25">
      <c r="A603" s="7"/>
      <c r="B603" s="56"/>
      <c r="C603" s="59"/>
      <c r="D603" s="58"/>
      <c r="E603" s="82"/>
      <c r="F603" s="50"/>
      <c r="G603" s="50"/>
      <c r="H603" s="34">
        <f t="shared" si="52"/>
        <v>0</v>
      </c>
      <c r="I603" s="42" t="str">
        <f t="shared" si="56"/>
        <v/>
      </c>
      <c r="J603" s="36" t="str">
        <f t="shared" si="57"/>
        <v/>
      </c>
      <c r="K603" s="51"/>
      <c r="L603" s="43">
        <f t="shared" si="54"/>
        <v>182</v>
      </c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ht="15.75" customHeight="1" x14ac:dyDescent="0.25">
      <c r="A604" s="7"/>
      <c r="B604" s="56"/>
      <c r="C604" s="59"/>
      <c r="D604" s="58"/>
      <c r="E604" s="82"/>
      <c r="F604" s="50"/>
      <c r="G604" s="50"/>
      <c r="H604" s="34">
        <f t="shared" si="52"/>
        <v>0</v>
      </c>
      <c r="I604" s="42" t="str">
        <f t="shared" si="56"/>
        <v/>
      </c>
      <c r="J604" s="36" t="str">
        <f t="shared" si="57"/>
        <v/>
      </c>
      <c r="K604" s="51"/>
      <c r="L604" s="43">
        <f t="shared" si="54"/>
        <v>182</v>
      </c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ht="15.75" customHeight="1" x14ac:dyDescent="0.25">
      <c r="A605" s="7"/>
      <c r="B605" s="56"/>
      <c r="C605" s="59"/>
      <c r="D605" s="58"/>
      <c r="E605" s="82"/>
      <c r="F605" s="50"/>
      <c r="G605" s="50"/>
      <c r="H605" s="34">
        <f t="shared" si="52"/>
        <v>0</v>
      </c>
      <c r="I605" s="42" t="str">
        <f t="shared" si="56"/>
        <v/>
      </c>
      <c r="J605" s="36" t="str">
        <f t="shared" si="57"/>
        <v/>
      </c>
      <c r="K605" s="51"/>
      <c r="L605" s="43">
        <f t="shared" si="54"/>
        <v>182</v>
      </c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ht="15.75" customHeight="1" x14ac:dyDescent="0.25">
      <c r="A606" s="7"/>
      <c r="B606" s="56"/>
      <c r="C606" s="59"/>
      <c r="D606" s="58"/>
      <c r="E606" s="66"/>
      <c r="F606" s="84"/>
      <c r="G606" s="84"/>
      <c r="H606" s="34">
        <f t="shared" si="52"/>
        <v>0</v>
      </c>
      <c r="I606" s="42" t="str">
        <f t="shared" si="56"/>
        <v/>
      </c>
      <c r="J606" s="36" t="str">
        <f t="shared" si="57"/>
        <v/>
      </c>
      <c r="K606" s="51"/>
      <c r="L606" s="43">
        <f t="shared" si="54"/>
        <v>182</v>
      </c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ht="15.75" customHeight="1" x14ac:dyDescent="0.25">
      <c r="A607" s="7"/>
      <c r="B607" s="56"/>
      <c r="C607" s="59"/>
      <c r="D607" s="58"/>
      <c r="E607" s="66"/>
      <c r="F607" s="84"/>
      <c r="G607" s="84"/>
      <c r="H607" s="34">
        <f t="shared" si="52"/>
        <v>0</v>
      </c>
      <c r="I607" s="42" t="str">
        <f t="shared" si="56"/>
        <v/>
      </c>
      <c r="J607" s="36" t="str">
        <f t="shared" si="57"/>
        <v/>
      </c>
      <c r="K607" s="51"/>
      <c r="L607" s="43">
        <f t="shared" si="54"/>
        <v>182</v>
      </c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ht="15.75" customHeight="1" x14ac:dyDescent="0.25">
      <c r="A608" s="7"/>
      <c r="B608" s="56"/>
      <c r="C608" s="59"/>
      <c r="D608" s="58"/>
      <c r="E608" s="82"/>
      <c r="F608" s="106"/>
      <c r="G608" s="106"/>
      <c r="H608" s="34">
        <f t="shared" si="52"/>
        <v>0</v>
      </c>
      <c r="I608" s="42" t="str">
        <f t="shared" si="56"/>
        <v/>
      </c>
      <c r="J608" s="36" t="str">
        <f t="shared" si="57"/>
        <v/>
      </c>
      <c r="K608" s="51"/>
      <c r="L608" s="43">
        <f t="shared" si="54"/>
        <v>182</v>
      </c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ht="15.75" customHeight="1" x14ac:dyDescent="0.25">
      <c r="A609" s="7"/>
      <c r="B609" s="56"/>
      <c r="C609" s="59"/>
      <c r="D609" s="58"/>
      <c r="E609" s="82"/>
      <c r="F609" s="106"/>
      <c r="G609" s="106"/>
      <c r="H609" s="34">
        <f t="shared" si="52"/>
        <v>0</v>
      </c>
      <c r="I609" s="42" t="str">
        <f t="shared" si="56"/>
        <v/>
      </c>
      <c r="J609" s="36" t="str">
        <f t="shared" si="57"/>
        <v/>
      </c>
      <c r="K609" s="51"/>
      <c r="L609" s="43">
        <f t="shared" si="54"/>
        <v>182</v>
      </c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ht="15.75" customHeight="1" x14ac:dyDescent="0.25">
      <c r="A610" s="7"/>
      <c r="B610" s="56"/>
      <c r="C610" s="59"/>
      <c r="D610" s="58"/>
      <c r="E610" s="82"/>
      <c r="F610" s="106"/>
      <c r="G610" s="106"/>
      <c r="H610" s="34">
        <f t="shared" si="52"/>
        <v>0</v>
      </c>
      <c r="I610" s="42" t="str">
        <f t="shared" si="56"/>
        <v/>
      </c>
      <c r="J610" s="36" t="str">
        <f t="shared" si="57"/>
        <v/>
      </c>
      <c r="K610" s="51"/>
      <c r="L610" s="43">
        <f t="shared" si="54"/>
        <v>182</v>
      </c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ht="15.75" customHeight="1" x14ac:dyDescent="0.25">
      <c r="A611" s="7"/>
      <c r="B611" s="56"/>
      <c r="C611" s="59"/>
      <c r="D611" s="58"/>
      <c r="E611" s="82"/>
      <c r="F611" s="106"/>
      <c r="G611" s="106"/>
      <c r="H611" s="34">
        <f t="shared" si="52"/>
        <v>0</v>
      </c>
      <c r="I611" s="42" t="str">
        <f t="shared" si="56"/>
        <v/>
      </c>
      <c r="J611" s="36" t="str">
        <f t="shared" si="57"/>
        <v/>
      </c>
      <c r="K611" s="51"/>
      <c r="L611" s="43">
        <f t="shared" si="54"/>
        <v>182</v>
      </c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ht="15.75" customHeight="1" x14ac:dyDescent="0.25">
      <c r="A612" s="7"/>
      <c r="B612" s="56"/>
      <c r="C612" s="59"/>
      <c r="D612" s="58"/>
      <c r="E612" s="66"/>
      <c r="F612" s="84"/>
      <c r="G612" s="84"/>
      <c r="H612" s="34">
        <f t="shared" si="52"/>
        <v>0</v>
      </c>
      <c r="I612" s="42" t="str">
        <f t="shared" si="56"/>
        <v/>
      </c>
      <c r="J612" s="36" t="str">
        <f t="shared" si="57"/>
        <v/>
      </c>
      <c r="K612" s="51"/>
      <c r="L612" s="43">
        <f t="shared" si="54"/>
        <v>182</v>
      </c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ht="15.75" customHeight="1" x14ac:dyDescent="0.25">
      <c r="A613" s="7"/>
      <c r="B613" s="56"/>
      <c r="C613" s="59"/>
      <c r="D613" s="58"/>
      <c r="E613" s="82"/>
      <c r="F613" s="106"/>
      <c r="G613" s="106"/>
      <c r="H613" s="34">
        <f t="shared" si="52"/>
        <v>0</v>
      </c>
      <c r="I613" s="42" t="str">
        <f t="shared" si="56"/>
        <v/>
      </c>
      <c r="J613" s="36" t="str">
        <f t="shared" si="57"/>
        <v/>
      </c>
      <c r="K613" s="51"/>
      <c r="L613" s="43">
        <f t="shared" si="54"/>
        <v>182</v>
      </c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ht="15.75" customHeight="1" x14ac:dyDescent="0.25">
      <c r="A614" s="7"/>
      <c r="B614" s="56"/>
      <c r="C614" s="59"/>
      <c r="D614" s="81"/>
      <c r="E614" s="66"/>
      <c r="F614" s="84"/>
      <c r="G614" s="84"/>
      <c r="H614" s="34">
        <f t="shared" si="52"/>
        <v>0</v>
      </c>
      <c r="I614" s="42" t="str">
        <f t="shared" si="56"/>
        <v/>
      </c>
      <c r="J614" s="36" t="str">
        <f t="shared" si="57"/>
        <v/>
      </c>
      <c r="K614" s="51"/>
      <c r="L614" s="43">
        <f t="shared" si="54"/>
        <v>182</v>
      </c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ht="15.75" customHeight="1" x14ac:dyDescent="0.25">
      <c r="A615" s="7"/>
      <c r="B615" s="56"/>
      <c r="C615" s="59"/>
      <c r="D615" s="58"/>
      <c r="E615" s="82"/>
      <c r="F615" s="106"/>
      <c r="G615" s="106"/>
      <c r="H615" s="34">
        <f t="shared" si="52"/>
        <v>0</v>
      </c>
      <c r="I615" s="42" t="str">
        <f t="shared" si="56"/>
        <v/>
      </c>
      <c r="J615" s="36" t="str">
        <f t="shared" si="57"/>
        <v/>
      </c>
      <c r="K615" s="51"/>
      <c r="L615" s="43">
        <f t="shared" si="54"/>
        <v>182</v>
      </c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ht="15.75" customHeight="1" x14ac:dyDescent="0.25">
      <c r="A616" s="7"/>
      <c r="B616" s="56"/>
      <c r="C616" s="59"/>
      <c r="D616" s="58"/>
      <c r="E616" s="82"/>
      <c r="F616" s="106"/>
      <c r="G616" s="106"/>
      <c r="H616" s="34">
        <f t="shared" si="52"/>
        <v>0</v>
      </c>
      <c r="I616" s="42" t="str">
        <f t="shared" si="56"/>
        <v/>
      </c>
      <c r="J616" s="36" t="str">
        <f t="shared" si="57"/>
        <v/>
      </c>
      <c r="K616" s="51"/>
      <c r="L616" s="43">
        <f t="shared" si="54"/>
        <v>182</v>
      </c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ht="15.75" customHeight="1" x14ac:dyDescent="0.25">
      <c r="A617" s="7"/>
      <c r="B617" s="56"/>
      <c r="C617" s="59"/>
      <c r="D617" s="58"/>
      <c r="E617" s="82"/>
      <c r="F617" s="106"/>
      <c r="G617" s="106"/>
      <c r="H617" s="34">
        <f t="shared" si="52"/>
        <v>0</v>
      </c>
      <c r="I617" s="42" t="str">
        <f t="shared" si="56"/>
        <v/>
      </c>
      <c r="J617" s="36" t="str">
        <f t="shared" si="57"/>
        <v/>
      </c>
      <c r="K617" s="51"/>
      <c r="L617" s="43">
        <f t="shared" si="54"/>
        <v>182</v>
      </c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ht="15.75" customHeight="1" x14ac:dyDescent="0.25">
      <c r="A618" s="7"/>
      <c r="B618" s="56"/>
      <c r="C618" s="59"/>
      <c r="D618" s="58"/>
      <c r="E618" s="66"/>
      <c r="F618" s="47"/>
      <c r="G618" s="47"/>
      <c r="H618" s="34">
        <f t="shared" si="52"/>
        <v>0</v>
      </c>
      <c r="I618" s="42" t="str">
        <f t="shared" si="56"/>
        <v/>
      </c>
      <c r="J618" s="36" t="str">
        <f t="shared" si="57"/>
        <v/>
      </c>
      <c r="K618" s="51"/>
      <c r="L618" s="43">
        <f t="shared" si="54"/>
        <v>182</v>
      </c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ht="15.75" customHeight="1" x14ac:dyDescent="0.25">
      <c r="A619" s="7"/>
      <c r="B619" s="56"/>
      <c r="C619" s="59"/>
      <c r="D619" s="58"/>
      <c r="E619" s="82"/>
      <c r="F619" s="50"/>
      <c r="G619" s="50"/>
      <c r="H619" s="34">
        <f t="shared" si="52"/>
        <v>0</v>
      </c>
      <c r="I619" s="42" t="str">
        <f t="shared" si="56"/>
        <v/>
      </c>
      <c r="J619" s="36" t="str">
        <f t="shared" si="57"/>
        <v/>
      </c>
      <c r="K619" s="51"/>
      <c r="L619" s="43">
        <f t="shared" si="54"/>
        <v>182</v>
      </c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ht="15.75" customHeight="1" x14ac:dyDescent="0.25">
      <c r="A620" s="7"/>
      <c r="B620" s="56"/>
      <c r="C620" s="59"/>
      <c r="D620" s="104"/>
      <c r="E620" s="82"/>
      <c r="F620" s="50"/>
      <c r="G620" s="50"/>
      <c r="H620" s="34">
        <f t="shared" si="52"/>
        <v>0</v>
      </c>
      <c r="I620" s="42" t="str">
        <f t="shared" si="56"/>
        <v/>
      </c>
      <c r="J620" s="36" t="str">
        <f t="shared" si="57"/>
        <v/>
      </c>
      <c r="K620" s="51"/>
      <c r="L620" s="43">
        <f t="shared" si="54"/>
        <v>182</v>
      </c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ht="15.75" customHeight="1" x14ac:dyDescent="0.25">
      <c r="A621" s="7"/>
      <c r="B621" s="56"/>
      <c r="C621" s="59"/>
      <c r="D621" s="58"/>
      <c r="E621" s="82"/>
      <c r="F621" s="50"/>
      <c r="G621" s="50"/>
      <c r="H621" s="34">
        <f t="shared" si="52"/>
        <v>0</v>
      </c>
      <c r="I621" s="42" t="str">
        <f t="shared" si="56"/>
        <v/>
      </c>
      <c r="J621" s="36" t="str">
        <f t="shared" si="57"/>
        <v/>
      </c>
      <c r="K621" s="51"/>
      <c r="L621" s="43">
        <f t="shared" si="54"/>
        <v>182</v>
      </c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ht="15.75" customHeight="1" x14ac:dyDescent="0.25">
      <c r="A622" s="7"/>
      <c r="B622" s="56"/>
      <c r="C622" s="59"/>
      <c r="D622" s="58"/>
      <c r="E622" s="82"/>
      <c r="F622" s="50"/>
      <c r="G622" s="50"/>
      <c r="H622" s="34">
        <f t="shared" si="52"/>
        <v>0</v>
      </c>
      <c r="I622" s="42" t="str">
        <f t="shared" si="56"/>
        <v/>
      </c>
      <c r="J622" s="36" t="str">
        <f t="shared" si="57"/>
        <v/>
      </c>
      <c r="K622" s="51"/>
      <c r="L622" s="43">
        <f t="shared" si="54"/>
        <v>182</v>
      </c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ht="15.75" customHeight="1" x14ac:dyDescent="0.25">
      <c r="A623" s="7"/>
      <c r="B623" s="56"/>
      <c r="C623" s="59"/>
      <c r="D623" s="104"/>
      <c r="E623" s="82"/>
      <c r="F623" s="50"/>
      <c r="G623" s="50"/>
      <c r="H623" s="34">
        <f t="shared" si="52"/>
        <v>0</v>
      </c>
      <c r="I623" s="42" t="str">
        <f t="shared" si="56"/>
        <v/>
      </c>
      <c r="J623" s="36" t="str">
        <f t="shared" si="57"/>
        <v/>
      </c>
      <c r="K623" s="51"/>
      <c r="L623" s="43">
        <f t="shared" si="54"/>
        <v>182</v>
      </c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ht="15.75" customHeight="1" x14ac:dyDescent="0.25">
      <c r="A624" s="7"/>
      <c r="B624" s="56"/>
      <c r="C624" s="59"/>
      <c r="D624" s="58"/>
      <c r="E624" s="82"/>
      <c r="F624" s="50"/>
      <c r="G624" s="50"/>
      <c r="H624" s="34">
        <f t="shared" si="52"/>
        <v>0</v>
      </c>
      <c r="I624" s="42" t="str">
        <f t="shared" si="56"/>
        <v/>
      </c>
      <c r="J624" s="36" t="str">
        <f t="shared" si="57"/>
        <v/>
      </c>
      <c r="K624" s="51"/>
      <c r="L624" s="43">
        <f t="shared" si="54"/>
        <v>182</v>
      </c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ht="15.75" customHeight="1" x14ac:dyDescent="0.25">
      <c r="A625" s="7"/>
      <c r="B625" s="56"/>
      <c r="C625" s="59"/>
      <c r="D625" s="58"/>
      <c r="E625" s="66"/>
      <c r="F625" s="47"/>
      <c r="G625" s="47"/>
      <c r="H625" s="34">
        <f t="shared" si="52"/>
        <v>0</v>
      </c>
      <c r="I625" s="42" t="str">
        <f t="shared" si="56"/>
        <v/>
      </c>
      <c r="J625" s="36" t="str">
        <f t="shared" si="57"/>
        <v/>
      </c>
      <c r="K625" s="51"/>
      <c r="L625" s="43">
        <f t="shared" si="54"/>
        <v>182</v>
      </c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ht="15.75" customHeight="1" x14ac:dyDescent="0.25">
      <c r="A626" s="7"/>
      <c r="B626" s="56"/>
      <c r="C626" s="59"/>
      <c r="D626" s="58"/>
      <c r="E626" s="82"/>
      <c r="F626" s="50"/>
      <c r="G626" s="50"/>
      <c r="H626" s="34">
        <f t="shared" si="52"/>
        <v>0</v>
      </c>
      <c r="I626" s="42" t="str">
        <f t="shared" si="56"/>
        <v/>
      </c>
      <c r="J626" s="36" t="str">
        <f t="shared" si="57"/>
        <v/>
      </c>
      <c r="K626" s="51"/>
      <c r="L626" s="43">
        <f t="shared" si="54"/>
        <v>182</v>
      </c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ht="15.75" customHeight="1" x14ac:dyDescent="0.25">
      <c r="A627" s="7"/>
      <c r="B627" s="56"/>
      <c r="C627" s="59"/>
      <c r="D627" s="58"/>
      <c r="E627" s="82"/>
      <c r="F627" s="50"/>
      <c r="G627" s="50"/>
      <c r="H627" s="34">
        <f t="shared" si="52"/>
        <v>0</v>
      </c>
      <c r="I627" s="42" t="str">
        <f t="shared" si="56"/>
        <v/>
      </c>
      <c r="J627" s="36" t="str">
        <f t="shared" si="57"/>
        <v/>
      </c>
      <c r="K627" s="51"/>
      <c r="L627" s="43">
        <f t="shared" si="54"/>
        <v>182</v>
      </c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ht="15.75" customHeight="1" x14ac:dyDescent="0.25">
      <c r="A628" s="7"/>
      <c r="B628" s="56"/>
      <c r="C628" s="59"/>
      <c r="D628" s="58"/>
      <c r="E628" s="82"/>
      <c r="F628" s="50"/>
      <c r="G628" s="50"/>
      <c r="H628" s="34">
        <f t="shared" si="52"/>
        <v>0</v>
      </c>
      <c r="I628" s="42" t="str">
        <f t="shared" si="56"/>
        <v/>
      </c>
      <c r="J628" s="36" t="str">
        <f t="shared" si="57"/>
        <v/>
      </c>
      <c r="K628" s="51"/>
      <c r="L628" s="43">
        <f t="shared" si="54"/>
        <v>182</v>
      </c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ht="15.75" customHeight="1" x14ac:dyDescent="0.25">
      <c r="A629" s="7"/>
      <c r="B629" s="56"/>
      <c r="C629" s="59"/>
      <c r="D629" s="58"/>
      <c r="E629" s="82"/>
      <c r="F629" s="50"/>
      <c r="G629" s="50"/>
      <c r="H629" s="34">
        <f t="shared" si="52"/>
        <v>0</v>
      </c>
      <c r="I629" s="42" t="str">
        <f t="shared" si="56"/>
        <v/>
      </c>
      <c r="J629" s="36" t="str">
        <f t="shared" si="57"/>
        <v/>
      </c>
      <c r="K629" s="51"/>
      <c r="L629" s="43">
        <f t="shared" si="54"/>
        <v>182</v>
      </c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ht="15.75" customHeight="1" x14ac:dyDescent="0.25">
      <c r="A630" s="7"/>
      <c r="B630" s="56"/>
      <c r="C630" s="59"/>
      <c r="D630" s="58"/>
      <c r="E630" s="82"/>
      <c r="F630" s="50"/>
      <c r="G630" s="50"/>
      <c r="H630" s="34">
        <f t="shared" si="52"/>
        <v>0</v>
      </c>
      <c r="I630" s="42" t="str">
        <f t="shared" si="56"/>
        <v/>
      </c>
      <c r="J630" s="36" t="str">
        <f t="shared" si="57"/>
        <v/>
      </c>
      <c r="K630" s="51"/>
      <c r="L630" s="43">
        <f t="shared" si="54"/>
        <v>182</v>
      </c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ht="15.75" customHeight="1" x14ac:dyDescent="0.25">
      <c r="A631" s="7"/>
      <c r="B631" s="56"/>
      <c r="C631" s="59"/>
      <c r="D631" s="58"/>
      <c r="E631" s="82"/>
      <c r="F631" s="50"/>
      <c r="G631" s="50"/>
      <c r="H631" s="34">
        <f t="shared" si="52"/>
        <v>0</v>
      </c>
      <c r="I631" s="42" t="str">
        <f t="shared" si="56"/>
        <v/>
      </c>
      <c r="J631" s="36" t="str">
        <f t="shared" si="57"/>
        <v/>
      </c>
      <c r="K631" s="51"/>
      <c r="L631" s="43">
        <f t="shared" si="54"/>
        <v>182</v>
      </c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ht="15.75" customHeight="1" x14ac:dyDescent="0.25">
      <c r="A632" s="7"/>
      <c r="B632" s="56"/>
      <c r="C632" s="59"/>
      <c r="D632" s="58"/>
      <c r="E632" s="82"/>
      <c r="F632" s="50"/>
      <c r="G632" s="50"/>
      <c r="H632" s="34">
        <f t="shared" si="52"/>
        <v>0</v>
      </c>
      <c r="I632" s="42" t="str">
        <f t="shared" si="56"/>
        <v/>
      </c>
      <c r="J632" s="36" t="str">
        <f t="shared" si="57"/>
        <v/>
      </c>
      <c r="K632" s="51"/>
      <c r="L632" s="43">
        <f t="shared" si="54"/>
        <v>182</v>
      </c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ht="15.75" customHeight="1" x14ac:dyDescent="0.25">
      <c r="A633" s="7"/>
      <c r="B633" s="56"/>
      <c r="C633" s="59"/>
      <c r="D633" s="58"/>
      <c r="E633" s="82"/>
      <c r="F633" s="50"/>
      <c r="G633" s="50"/>
      <c r="H633" s="34">
        <f t="shared" si="52"/>
        <v>0</v>
      </c>
      <c r="I633" s="42" t="str">
        <f t="shared" si="56"/>
        <v/>
      </c>
      <c r="J633" s="36" t="str">
        <f t="shared" si="57"/>
        <v/>
      </c>
      <c r="K633" s="51"/>
      <c r="L633" s="43">
        <f t="shared" si="54"/>
        <v>182</v>
      </c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ht="15.75" customHeight="1" x14ac:dyDescent="0.25">
      <c r="A634" s="7"/>
      <c r="B634" s="56"/>
      <c r="C634" s="59"/>
      <c r="D634" s="58"/>
      <c r="E634" s="66"/>
      <c r="F634" s="47"/>
      <c r="G634" s="47"/>
      <c r="H634" s="34">
        <f t="shared" si="52"/>
        <v>0</v>
      </c>
      <c r="I634" s="42" t="str">
        <f t="shared" si="56"/>
        <v/>
      </c>
      <c r="J634" s="36" t="str">
        <f t="shared" si="57"/>
        <v/>
      </c>
      <c r="K634" s="51"/>
      <c r="L634" s="43">
        <f t="shared" si="54"/>
        <v>182</v>
      </c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ht="15.75" customHeight="1" x14ac:dyDescent="0.25">
      <c r="A635" s="7"/>
      <c r="B635" s="56"/>
      <c r="C635" s="59"/>
      <c r="D635" s="104"/>
      <c r="E635" s="66"/>
      <c r="F635" s="47"/>
      <c r="G635" s="47"/>
      <c r="H635" s="34">
        <f t="shared" si="52"/>
        <v>0</v>
      </c>
      <c r="I635" s="42" t="str">
        <f t="shared" si="56"/>
        <v/>
      </c>
      <c r="J635" s="36" t="str">
        <f t="shared" si="57"/>
        <v/>
      </c>
      <c r="K635" s="51"/>
      <c r="L635" s="43">
        <f t="shared" si="54"/>
        <v>182</v>
      </c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ht="15.75" customHeight="1" x14ac:dyDescent="0.25">
      <c r="A636" s="7"/>
      <c r="B636" s="56"/>
      <c r="C636" s="59"/>
      <c r="D636" s="104"/>
      <c r="E636" s="66"/>
      <c r="F636" s="47"/>
      <c r="G636" s="47"/>
      <c r="H636" s="34">
        <f t="shared" si="52"/>
        <v>0</v>
      </c>
      <c r="I636" s="42" t="str">
        <f t="shared" si="56"/>
        <v/>
      </c>
      <c r="J636" s="36" t="str">
        <f t="shared" si="57"/>
        <v/>
      </c>
      <c r="K636" s="51"/>
      <c r="L636" s="43">
        <f t="shared" si="54"/>
        <v>182</v>
      </c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ht="15.75" customHeight="1" x14ac:dyDescent="0.25">
      <c r="A637" s="7"/>
      <c r="B637" s="56"/>
      <c r="C637" s="59"/>
      <c r="D637" s="104"/>
      <c r="E637" s="66"/>
      <c r="F637" s="47"/>
      <c r="G637" s="47"/>
      <c r="H637" s="34">
        <f t="shared" si="52"/>
        <v>0</v>
      </c>
      <c r="I637" s="42" t="str">
        <f t="shared" si="56"/>
        <v/>
      </c>
      <c r="J637" s="36" t="str">
        <f t="shared" si="57"/>
        <v/>
      </c>
      <c r="K637" s="51"/>
      <c r="L637" s="43">
        <f t="shared" si="54"/>
        <v>182</v>
      </c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ht="15.75" customHeight="1" x14ac:dyDescent="0.25">
      <c r="A638" s="7"/>
      <c r="B638" s="56"/>
      <c r="C638" s="59"/>
      <c r="D638" s="104"/>
      <c r="E638" s="66"/>
      <c r="F638" s="47"/>
      <c r="G638" s="47"/>
      <c r="H638" s="34">
        <f t="shared" si="52"/>
        <v>0</v>
      </c>
      <c r="I638" s="42" t="str">
        <f t="shared" si="56"/>
        <v/>
      </c>
      <c r="J638" s="36" t="str">
        <f t="shared" si="57"/>
        <v/>
      </c>
      <c r="K638" s="51"/>
      <c r="L638" s="43">
        <f t="shared" si="54"/>
        <v>182</v>
      </c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ht="15.75" customHeight="1" x14ac:dyDescent="0.25">
      <c r="A639" s="7"/>
      <c r="B639" s="56"/>
      <c r="C639" s="59"/>
      <c r="D639" s="58"/>
      <c r="E639" s="66"/>
      <c r="F639" s="47"/>
      <c r="G639" s="47"/>
      <c r="H639" s="34">
        <f t="shared" si="52"/>
        <v>0</v>
      </c>
      <c r="I639" s="42" t="str">
        <f t="shared" si="56"/>
        <v/>
      </c>
      <c r="J639" s="36" t="str">
        <f t="shared" si="57"/>
        <v/>
      </c>
      <c r="K639" s="51"/>
      <c r="L639" s="43">
        <f t="shared" si="54"/>
        <v>182</v>
      </c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ht="15.75" customHeight="1" x14ac:dyDescent="0.25">
      <c r="A640" s="7"/>
      <c r="B640" s="56"/>
      <c r="C640" s="59"/>
      <c r="D640" s="58"/>
      <c r="E640" s="66"/>
      <c r="F640" s="47"/>
      <c r="G640" s="47"/>
      <c r="H640" s="34">
        <f t="shared" si="52"/>
        <v>0</v>
      </c>
      <c r="I640" s="42" t="str">
        <f t="shared" si="56"/>
        <v/>
      </c>
      <c r="J640" s="36" t="str">
        <f t="shared" si="57"/>
        <v/>
      </c>
      <c r="K640" s="51"/>
      <c r="L640" s="43">
        <f t="shared" si="54"/>
        <v>182</v>
      </c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ht="15.75" customHeight="1" x14ac:dyDescent="0.25">
      <c r="A641" s="7"/>
      <c r="B641" s="56"/>
      <c r="C641" s="59"/>
      <c r="D641" s="58"/>
      <c r="E641" s="66"/>
      <c r="F641" s="47"/>
      <c r="G641" s="47"/>
      <c r="H641" s="34">
        <f t="shared" si="52"/>
        <v>0</v>
      </c>
      <c r="I641" s="42" t="str">
        <f t="shared" si="56"/>
        <v/>
      </c>
      <c r="J641" s="36" t="str">
        <f t="shared" si="57"/>
        <v/>
      </c>
      <c r="K641" s="51"/>
      <c r="L641" s="43">
        <f t="shared" si="54"/>
        <v>182</v>
      </c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ht="15.75" customHeight="1" x14ac:dyDescent="0.25">
      <c r="A642" s="7"/>
      <c r="B642" s="56"/>
      <c r="C642" s="59"/>
      <c r="D642" s="58"/>
      <c r="E642" s="66"/>
      <c r="F642" s="47"/>
      <c r="G642" s="47"/>
      <c r="H642" s="34">
        <f t="shared" si="52"/>
        <v>0</v>
      </c>
      <c r="I642" s="42" t="str">
        <f t="shared" si="56"/>
        <v/>
      </c>
      <c r="J642" s="36" t="str">
        <f t="shared" si="57"/>
        <v/>
      </c>
      <c r="K642" s="51"/>
      <c r="L642" s="43">
        <f t="shared" si="54"/>
        <v>182</v>
      </c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ht="15.75" customHeight="1" x14ac:dyDescent="0.25">
      <c r="A643" s="7"/>
      <c r="B643" s="56"/>
      <c r="C643" s="59"/>
      <c r="D643" s="58"/>
      <c r="E643" s="66"/>
      <c r="F643" s="47"/>
      <c r="G643" s="47"/>
      <c r="H643" s="34">
        <f t="shared" si="52"/>
        <v>0</v>
      </c>
      <c r="I643" s="42" t="str">
        <f t="shared" si="56"/>
        <v/>
      </c>
      <c r="J643" s="36" t="str">
        <f t="shared" si="57"/>
        <v/>
      </c>
      <c r="K643" s="51"/>
      <c r="L643" s="43">
        <f t="shared" si="54"/>
        <v>182</v>
      </c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ht="15.75" customHeight="1" x14ac:dyDescent="0.25">
      <c r="A644" s="7"/>
      <c r="B644" s="56"/>
      <c r="C644" s="59"/>
      <c r="D644" s="58"/>
      <c r="E644" s="66"/>
      <c r="F644" s="47"/>
      <c r="G644" s="47"/>
      <c r="H644" s="34">
        <f t="shared" si="52"/>
        <v>0</v>
      </c>
      <c r="I644" s="42" t="str">
        <f t="shared" si="56"/>
        <v/>
      </c>
      <c r="J644" s="36" t="str">
        <f t="shared" si="57"/>
        <v/>
      </c>
      <c r="K644" s="51"/>
      <c r="L644" s="43">
        <f t="shared" si="54"/>
        <v>182</v>
      </c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ht="15.75" customHeight="1" x14ac:dyDescent="0.25">
      <c r="A645" s="7"/>
      <c r="B645" s="56"/>
      <c r="C645" s="59"/>
      <c r="D645" s="58"/>
      <c r="E645" s="66"/>
      <c r="F645" s="47"/>
      <c r="G645" s="47"/>
      <c r="H645" s="34">
        <f t="shared" si="52"/>
        <v>0</v>
      </c>
      <c r="I645" s="42" t="str">
        <f t="shared" si="56"/>
        <v/>
      </c>
      <c r="J645" s="36" t="str">
        <f t="shared" si="57"/>
        <v/>
      </c>
      <c r="K645" s="51"/>
      <c r="L645" s="43">
        <f t="shared" si="54"/>
        <v>182</v>
      </c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ht="15.75" customHeight="1" x14ac:dyDescent="0.25">
      <c r="A646" s="7"/>
      <c r="B646" s="56"/>
      <c r="C646" s="59"/>
      <c r="D646" s="58"/>
      <c r="E646" s="66"/>
      <c r="F646" s="47"/>
      <c r="G646" s="47"/>
      <c r="H646" s="34">
        <f t="shared" si="52"/>
        <v>0</v>
      </c>
      <c r="I646" s="42" t="str">
        <f t="shared" si="56"/>
        <v/>
      </c>
      <c r="J646" s="36" t="str">
        <f t="shared" si="57"/>
        <v/>
      </c>
      <c r="K646" s="51"/>
      <c r="L646" s="43">
        <f t="shared" si="54"/>
        <v>182</v>
      </c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ht="15.75" customHeight="1" x14ac:dyDescent="0.25">
      <c r="A647" s="7"/>
      <c r="B647" s="56"/>
      <c r="C647" s="59"/>
      <c r="D647" s="58"/>
      <c r="E647" s="66"/>
      <c r="F647" s="84"/>
      <c r="G647" s="47"/>
      <c r="H647" s="34">
        <f t="shared" si="52"/>
        <v>0</v>
      </c>
      <c r="I647" s="42" t="str">
        <f t="shared" si="56"/>
        <v/>
      </c>
      <c r="J647" s="36" t="str">
        <f t="shared" si="57"/>
        <v/>
      </c>
      <c r="K647" s="51"/>
      <c r="L647" s="43">
        <f t="shared" si="54"/>
        <v>182</v>
      </c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ht="15.75" customHeight="1" x14ac:dyDescent="0.25">
      <c r="A648" s="7"/>
      <c r="B648" s="56"/>
      <c r="C648" s="59"/>
      <c r="D648" s="58"/>
      <c r="E648" s="66"/>
      <c r="F648" s="84"/>
      <c r="G648" s="47"/>
      <c r="H648" s="34">
        <f t="shared" si="52"/>
        <v>0</v>
      </c>
      <c r="I648" s="42" t="str">
        <f t="shared" si="56"/>
        <v/>
      </c>
      <c r="J648" s="36" t="str">
        <f t="shared" si="57"/>
        <v/>
      </c>
      <c r="K648" s="51"/>
      <c r="L648" s="43">
        <f t="shared" si="54"/>
        <v>182</v>
      </c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ht="15.75" customHeight="1" x14ac:dyDescent="0.25">
      <c r="A649" s="7"/>
      <c r="B649" s="56"/>
      <c r="C649" s="59"/>
      <c r="D649" s="58"/>
      <c r="E649" s="66"/>
      <c r="F649" s="47"/>
      <c r="G649" s="47"/>
      <c r="H649" s="34">
        <f t="shared" si="52"/>
        <v>0</v>
      </c>
      <c r="I649" s="42" t="str">
        <f t="shared" si="56"/>
        <v/>
      </c>
      <c r="J649" s="36" t="str">
        <f t="shared" si="57"/>
        <v/>
      </c>
      <c r="K649" s="51"/>
      <c r="L649" s="43">
        <f t="shared" si="54"/>
        <v>182</v>
      </c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ht="15.75" customHeight="1" x14ac:dyDescent="0.25">
      <c r="A650" s="7"/>
      <c r="B650" s="56"/>
      <c r="C650" s="59"/>
      <c r="D650" s="58"/>
      <c r="E650" s="66"/>
      <c r="F650" s="50"/>
      <c r="G650" s="47"/>
      <c r="H650" s="34">
        <f t="shared" si="52"/>
        <v>0</v>
      </c>
      <c r="I650" s="42" t="str">
        <f t="shared" si="56"/>
        <v/>
      </c>
      <c r="J650" s="36" t="str">
        <f t="shared" si="57"/>
        <v/>
      </c>
      <c r="K650" s="51"/>
      <c r="L650" s="43">
        <f t="shared" si="54"/>
        <v>182</v>
      </c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ht="15.75" customHeight="1" x14ac:dyDescent="0.25">
      <c r="A651" s="7"/>
      <c r="B651" s="56"/>
      <c r="C651" s="59"/>
      <c r="D651" s="58"/>
      <c r="E651" s="66"/>
      <c r="F651" s="84"/>
      <c r="G651" s="84"/>
      <c r="H651" s="34">
        <f t="shared" si="52"/>
        <v>0</v>
      </c>
      <c r="I651" s="42" t="str">
        <f t="shared" si="56"/>
        <v/>
      </c>
      <c r="J651" s="36" t="str">
        <f t="shared" si="57"/>
        <v/>
      </c>
      <c r="K651" s="51"/>
      <c r="L651" s="43">
        <f t="shared" si="54"/>
        <v>182</v>
      </c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ht="15.75" customHeight="1" x14ac:dyDescent="0.25">
      <c r="A652" s="7"/>
      <c r="B652" s="56"/>
      <c r="C652" s="59"/>
      <c r="D652" s="58"/>
      <c r="E652" s="66"/>
      <c r="F652" s="50"/>
      <c r="G652" s="84"/>
      <c r="H652" s="34">
        <f t="shared" si="52"/>
        <v>0</v>
      </c>
      <c r="I652" s="42" t="str">
        <f t="shared" si="56"/>
        <v/>
      </c>
      <c r="J652" s="36" t="str">
        <f t="shared" si="57"/>
        <v/>
      </c>
      <c r="K652" s="51"/>
      <c r="L652" s="43">
        <f t="shared" si="54"/>
        <v>182</v>
      </c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ht="15.75" customHeight="1" x14ac:dyDescent="0.25">
      <c r="A653" s="7"/>
      <c r="B653" s="56"/>
      <c r="C653" s="59"/>
      <c r="D653" s="58"/>
      <c r="E653" s="82"/>
      <c r="F653" s="50"/>
      <c r="G653" s="50"/>
      <c r="H653" s="34">
        <f t="shared" si="52"/>
        <v>0</v>
      </c>
      <c r="I653" s="42" t="str">
        <f t="shared" si="56"/>
        <v/>
      </c>
      <c r="J653" s="36" t="str">
        <f t="shared" si="57"/>
        <v/>
      </c>
      <c r="K653" s="51"/>
      <c r="L653" s="43">
        <f t="shared" si="54"/>
        <v>182</v>
      </c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ht="15.75" customHeight="1" x14ac:dyDescent="0.25">
      <c r="A654" s="7"/>
      <c r="B654" s="56"/>
      <c r="C654" s="59"/>
      <c r="D654" s="58"/>
      <c r="E654" s="66"/>
      <c r="F654" s="47"/>
      <c r="G654" s="47"/>
      <c r="H654" s="34">
        <f t="shared" si="52"/>
        <v>0</v>
      </c>
      <c r="I654" s="42" t="str">
        <f t="shared" si="56"/>
        <v/>
      </c>
      <c r="J654" s="36" t="str">
        <f t="shared" si="57"/>
        <v/>
      </c>
      <c r="K654" s="51"/>
      <c r="L654" s="43">
        <f t="shared" si="54"/>
        <v>182</v>
      </c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ht="15.75" customHeight="1" x14ac:dyDescent="0.25">
      <c r="A655" s="7"/>
      <c r="B655" s="56"/>
      <c r="C655" s="59"/>
      <c r="D655" s="58"/>
      <c r="E655" s="66"/>
      <c r="F655" s="47"/>
      <c r="G655" s="47"/>
      <c r="H655" s="34">
        <f t="shared" si="52"/>
        <v>0</v>
      </c>
      <c r="I655" s="42" t="str">
        <f t="shared" si="56"/>
        <v/>
      </c>
      <c r="J655" s="36" t="str">
        <f t="shared" si="57"/>
        <v/>
      </c>
      <c r="K655" s="51"/>
      <c r="L655" s="43">
        <f t="shared" si="54"/>
        <v>182</v>
      </c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ht="15.75" customHeight="1" x14ac:dyDescent="0.25">
      <c r="A656" s="7"/>
      <c r="B656" s="56"/>
      <c r="C656" s="59"/>
      <c r="D656" s="58"/>
      <c r="E656" s="66"/>
      <c r="F656" s="47"/>
      <c r="G656" s="47"/>
      <c r="H656" s="34">
        <f t="shared" si="52"/>
        <v>0</v>
      </c>
      <c r="I656" s="42" t="str">
        <f t="shared" si="56"/>
        <v/>
      </c>
      <c r="J656" s="36" t="str">
        <f t="shared" si="57"/>
        <v/>
      </c>
      <c r="K656" s="51"/>
      <c r="L656" s="43">
        <f t="shared" si="54"/>
        <v>182</v>
      </c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ht="15.75" customHeight="1" x14ac:dyDescent="0.25">
      <c r="A657" s="7"/>
      <c r="B657" s="56"/>
      <c r="C657" s="59"/>
      <c r="D657" s="58"/>
      <c r="E657" s="82"/>
      <c r="F657" s="50"/>
      <c r="G657" s="50"/>
      <c r="H657" s="34">
        <f t="shared" si="52"/>
        <v>0</v>
      </c>
      <c r="I657" s="42" t="str">
        <f t="shared" si="56"/>
        <v/>
      </c>
      <c r="J657" s="36" t="str">
        <f t="shared" si="57"/>
        <v/>
      </c>
      <c r="K657" s="51"/>
      <c r="L657" s="43">
        <f t="shared" si="54"/>
        <v>182</v>
      </c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ht="15.75" customHeight="1" x14ac:dyDescent="0.25">
      <c r="A658" s="7"/>
      <c r="B658" s="56"/>
      <c r="C658" s="59"/>
      <c r="D658" s="81"/>
      <c r="E658" s="66"/>
      <c r="F658" s="47"/>
      <c r="G658" s="47"/>
      <c r="H658" s="34">
        <f t="shared" si="52"/>
        <v>0</v>
      </c>
      <c r="I658" s="42" t="str">
        <f t="shared" si="56"/>
        <v/>
      </c>
      <c r="J658" s="36" t="str">
        <f t="shared" si="57"/>
        <v/>
      </c>
      <c r="K658" s="51"/>
      <c r="L658" s="43">
        <f t="shared" si="54"/>
        <v>182</v>
      </c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ht="15.75" customHeight="1" x14ac:dyDescent="0.25">
      <c r="A659" s="7"/>
      <c r="B659" s="56"/>
      <c r="C659" s="59"/>
      <c r="D659" s="58"/>
      <c r="E659" s="82"/>
      <c r="F659" s="50"/>
      <c r="G659" s="50"/>
      <c r="H659" s="34">
        <f t="shared" si="52"/>
        <v>0</v>
      </c>
      <c r="I659" s="42" t="str">
        <f t="shared" si="56"/>
        <v/>
      </c>
      <c r="J659" s="36" t="str">
        <f t="shared" si="57"/>
        <v/>
      </c>
      <c r="K659" s="51"/>
      <c r="L659" s="43">
        <f t="shared" si="54"/>
        <v>182</v>
      </c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ht="15.75" customHeight="1" x14ac:dyDescent="0.25">
      <c r="A660" s="7"/>
      <c r="B660" s="56"/>
      <c r="C660" s="59"/>
      <c r="D660" s="58"/>
      <c r="E660" s="66"/>
      <c r="F660" s="47"/>
      <c r="G660" s="47"/>
      <c r="H660" s="34">
        <f t="shared" si="52"/>
        <v>0</v>
      </c>
      <c r="I660" s="42" t="str">
        <f t="shared" si="56"/>
        <v/>
      </c>
      <c r="J660" s="36" t="str">
        <f t="shared" si="57"/>
        <v/>
      </c>
      <c r="K660" s="51"/>
      <c r="L660" s="43">
        <f t="shared" si="54"/>
        <v>182</v>
      </c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ht="15.75" customHeight="1" x14ac:dyDescent="0.25">
      <c r="A661" s="7"/>
      <c r="B661" s="56"/>
      <c r="C661" s="59"/>
      <c r="D661" s="58"/>
      <c r="E661" s="82"/>
      <c r="F661" s="50"/>
      <c r="G661" s="50"/>
      <c r="H661" s="34">
        <f t="shared" si="52"/>
        <v>0</v>
      </c>
      <c r="I661" s="42" t="str">
        <f t="shared" si="56"/>
        <v/>
      </c>
      <c r="J661" s="36" t="str">
        <f t="shared" si="57"/>
        <v/>
      </c>
      <c r="K661" s="51"/>
      <c r="L661" s="43">
        <f t="shared" si="54"/>
        <v>182</v>
      </c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ht="15.75" customHeight="1" x14ac:dyDescent="0.25">
      <c r="A662" s="7"/>
      <c r="B662" s="56"/>
      <c r="C662" s="59"/>
      <c r="D662" s="58"/>
      <c r="E662" s="82"/>
      <c r="F662" s="50"/>
      <c r="G662" s="50"/>
      <c r="H662" s="34">
        <f t="shared" si="52"/>
        <v>0</v>
      </c>
      <c r="I662" s="42" t="str">
        <f t="shared" si="56"/>
        <v/>
      </c>
      <c r="J662" s="36" t="str">
        <f t="shared" si="57"/>
        <v/>
      </c>
      <c r="K662" s="51"/>
      <c r="L662" s="43">
        <f t="shared" si="54"/>
        <v>182</v>
      </c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ht="15.75" customHeight="1" x14ac:dyDescent="0.25">
      <c r="A663" s="7"/>
      <c r="B663" s="56"/>
      <c r="C663" s="59"/>
      <c r="D663" s="58"/>
      <c r="E663" s="66"/>
      <c r="F663" s="47"/>
      <c r="G663" s="47"/>
      <c r="H663" s="34">
        <f t="shared" si="52"/>
        <v>0</v>
      </c>
      <c r="I663" s="42" t="str">
        <f t="shared" si="56"/>
        <v/>
      </c>
      <c r="J663" s="36" t="str">
        <f t="shared" si="57"/>
        <v/>
      </c>
      <c r="K663" s="51"/>
      <c r="L663" s="43">
        <f t="shared" si="54"/>
        <v>182</v>
      </c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ht="15.75" customHeight="1" x14ac:dyDescent="0.25">
      <c r="A664" s="7"/>
      <c r="B664" s="56"/>
      <c r="C664" s="59"/>
      <c r="D664" s="58"/>
      <c r="E664" s="66"/>
      <c r="F664" s="47"/>
      <c r="G664" s="47"/>
      <c r="H664" s="34">
        <f t="shared" si="52"/>
        <v>0</v>
      </c>
      <c r="I664" s="42" t="str">
        <f t="shared" si="56"/>
        <v/>
      </c>
      <c r="J664" s="36" t="str">
        <f t="shared" si="57"/>
        <v/>
      </c>
      <c r="K664" s="51"/>
      <c r="L664" s="43">
        <f t="shared" si="54"/>
        <v>182</v>
      </c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ht="15.75" customHeight="1" x14ac:dyDescent="0.25">
      <c r="A665" s="7"/>
      <c r="B665" s="56"/>
      <c r="C665" s="59"/>
      <c r="D665" s="58"/>
      <c r="E665" s="82"/>
      <c r="F665" s="50"/>
      <c r="G665" s="50"/>
      <c r="H665" s="34">
        <f t="shared" si="52"/>
        <v>0</v>
      </c>
      <c r="I665" s="42" t="str">
        <f t="shared" si="56"/>
        <v/>
      </c>
      <c r="J665" s="36" t="str">
        <f t="shared" si="57"/>
        <v/>
      </c>
      <c r="K665" s="51"/>
      <c r="L665" s="43">
        <f t="shared" si="54"/>
        <v>182</v>
      </c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ht="15.75" customHeight="1" x14ac:dyDescent="0.25">
      <c r="A666" s="7"/>
      <c r="B666" s="56"/>
      <c r="C666" s="59"/>
      <c r="D666" s="58"/>
      <c r="E666" s="82"/>
      <c r="F666" s="50"/>
      <c r="G666" s="50"/>
      <c r="H666" s="34">
        <f t="shared" si="52"/>
        <v>0</v>
      </c>
      <c r="I666" s="42" t="str">
        <f t="shared" si="56"/>
        <v/>
      </c>
      <c r="J666" s="36" t="str">
        <f t="shared" si="57"/>
        <v/>
      </c>
      <c r="K666" s="51"/>
      <c r="L666" s="43">
        <f t="shared" si="54"/>
        <v>182</v>
      </c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ht="15.75" customHeight="1" x14ac:dyDescent="0.25">
      <c r="A667" s="7"/>
      <c r="B667" s="56"/>
      <c r="C667" s="59"/>
      <c r="D667" s="58"/>
      <c r="E667" s="82"/>
      <c r="F667" s="50"/>
      <c r="G667" s="50"/>
      <c r="H667" s="34">
        <f t="shared" si="52"/>
        <v>0</v>
      </c>
      <c r="I667" s="42" t="str">
        <f t="shared" si="56"/>
        <v/>
      </c>
      <c r="J667" s="36" t="str">
        <f t="shared" si="57"/>
        <v/>
      </c>
      <c r="K667" s="51"/>
      <c r="L667" s="43">
        <f t="shared" si="54"/>
        <v>182</v>
      </c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ht="15.75" customHeight="1" x14ac:dyDescent="0.25">
      <c r="A668" s="7"/>
      <c r="B668" s="56"/>
      <c r="C668" s="59"/>
      <c r="D668" s="81"/>
      <c r="E668" s="66"/>
      <c r="F668" s="47"/>
      <c r="G668" s="47"/>
      <c r="H668" s="34">
        <f t="shared" si="52"/>
        <v>0</v>
      </c>
      <c r="I668" s="42" t="str">
        <f t="shared" si="56"/>
        <v/>
      </c>
      <c r="J668" s="36" t="str">
        <f t="shared" si="57"/>
        <v/>
      </c>
      <c r="K668" s="51"/>
      <c r="L668" s="43">
        <f t="shared" si="54"/>
        <v>182</v>
      </c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ht="15.75" customHeight="1" x14ac:dyDescent="0.25">
      <c r="A669" s="7"/>
      <c r="B669" s="56"/>
      <c r="C669" s="59"/>
      <c r="D669" s="58"/>
      <c r="E669" s="66"/>
      <c r="F669" s="47"/>
      <c r="G669" s="47"/>
      <c r="H669" s="34">
        <f t="shared" si="52"/>
        <v>0</v>
      </c>
      <c r="I669" s="42" t="str">
        <f t="shared" si="56"/>
        <v/>
      </c>
      <c r="J669" s="36" t="str">
        <f t="shared" si="57"/>
        <v/>
      </c>
      <c r="K669" s="51"/>
      <c r="L669" s="43">
        <f t="shared" si="54"/>
        <v>182</v>
      </c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ht="15.75" customHeight="1" x14ac:dyDescent="0.25">
      <c r="A670" s="7"/>
      <c r="B670" s="56"/>
      <c r="C670" s="59"/>
      <c r="D670" s="58"/>
      <c r="E670" s="82"/>
      <c r="F670" s="50"/>
      <c r="G670" s="50"/>
      <c r="H670" s="34">
        <f t="shared" si="52"/>
        <v>0</v>
      </c>
      <c r="I670" s="42" t="str">
        <f t="shared" si="56"/>
        <v/>
      </c>
      <c r="J670" s="36" t="str">
        <f t="shared" si="57"/>
        <v/>
      </c>
      <c r="K670" s="51"/>
      <c r="L670" s="43">
        <f t="shared" si="54"/>
        <v>182</v>
      </c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ht="15.75" customHeight="1" x14ac:dyDescent="0.25">
      <c r="A671" s="7"/>
      <c r="B671" s="56"/>
      <c r="C671" s="59"/>
      <c r="D671" s="58"/>
      <c r="E671" s="82"/>
      <c r="F671" s="50"/>
      <c r="G671" s="50"/>
      <c r="H671" s="34">
        <f t="shared" si="52"/>
        <v>0</v>
      </c>
      <c r="I671" s="42" t="str">
        <f t="shared" si="56"/>
        <v/>
      </c>
      <c r="J671" s="36" t="str">
        <f t="shared" si="57"/>
        <v/>
      </c>
      <c r="K671" s="51"/>
      <c r="L671" s="43">
        <f t="shared" si="54"/>
        <v>182</v>
      </c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ht="15.75" customHeight="1" x14ac:dyDescent="0.25">
      <c r="A672" s="7"/>
      <c r="B672" s="56"/>
      <c r="C672" s="59"/>
      <c r="D672" s="58"/>
      <c r="E672" s="82"/>
      <c r="F672" s="50"/>
      <c r="G672" s="50"/>
      <c r="H672" s="34">
        <f t="shared" si="52"/>
        <v>0</v>
      </c>
      <c r="I672" s="42" t="str">
        <f t="shared" si="56"/>
        <v/>
      </c>
      <c r="J672" s="36"/>
      <c r="K672" s="51"/>
      <c r="L672" s="43">
        <f t="shared" si="54"/>
        <v>182</v>
      </c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ht="15.75" customHeight="1" x14ac:dyDescent="0.25">
      <c r="A673" s="7"/>
      <c r="B673" s="56"/>
      <c r="C673" s="59"/>
      <c r="D673" s="58"/>
      <c r="E673" s="66"/>
      <c r="F673" s="84"/>
      <c r="G673" s="84"/>
      <c r="H673" s="34">
        <f t="shared" si="52"/>
        <v>0</v>
      </c>
      <c r="I673" s="42" t="str">
        <f t="shared" si="56"/>
        <v/>
      </c>
      <c r="J673" s="36" t="str">
        <f t="shared" ref="J673:J680" si="58">IF(ISERROR(MAX(E673:G673)/H673-1),"",(MAX(E673:G673)/H673-1))</f>
        <v/>
      </c>
      <c r="K673" s="51"/>
      <c r="L673" s="43">
        <f t="shared" si="54"/>
        <v>182</v>
      </c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ht="15.75" customHeight="1" x14ac:dyDescent="0.25">
      <c r="A674" s="7"/>
      <c r="B674" s="56"/>
      <c r="C674" s="59"/>
      <c r="D674" s="58"/>
      <c r="E674" s="82"/>
      <c r="F674" s="50"/>
      <c r="G674" s="50"/>
      <c r="H674" s="34">
        <f t="shared" si="52"/>
        <v>0</v>
      </c>
      <c r="I674" s="42" t="str">
        <f t="shared" si="56"/>
        <v/>
      </c>
      <c r="J674" s="36" t="str">
        <f t="shared" si="58"/>
        <v/>
      </c>
      <c r="K674" s="51"/>
      <c r="L674" s="43">
        <f t="shared" si="54"/>
        <v>182</v>
      </c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ht="15.75" customHeight="1" x14ac:dyDescent="0.25">
      <c r="A675" s="7"/>
      <c r="B675" s="56"/>
      <c r="C675" s="59"/>
      <c r="D675" s="81"/>
      <c r="E675" s="66"/>
      <c r="F675" s="47"/>
      <c r="G675" s="47"/>
      <c r="H675" s="34">
        <f t="shared" si="52"/>
        <v>0</v>
      </c>
      <c r="I675" s="42" t="str">
        <f t="shared" si="56"/>
        <v/>
      </c>
      <c r="J675" s="36" t="str">
        <f t="shared" si="58"/>
        <v/>
      </c>
      <c r="K675" s="51"/>
      <c r="L675" s="43">
        <f t="shared" si="54"/>
        <v>182</v>
      </c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ht="15.75" customHeight="1" x14ac:dyDescent="0.25">
      <c r="A676" s="7"/>
      <c r="B676" s="56"/>
      <c r="C676" s="59"/>
      <c r="D676" s="58"/>
      <c r="E676" s="66"/>
      <c r="F676" s="84"/>
      <c r="G676" s="84"/>
      <c r="H676" s="34">
        <f t="shared" si="52"/>
        <v>0</v>
      </c>
      <c r="I676" s="42" t="str">
        <f t="shared" si="56"/>
        <v/>
      </c>
      <c r="J676" s="36" t="str">
        <f t="shared" si="58"/>
        <v/>
      </c>
      <c r="K676" s="51"/>
      <c r="L676" s="43">
        <f t="shared" si="54"/>
        <v>182</v>
      </c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ht="15.75" customHeight="1" x14ac:dyDescent="0.25">
      <c r="A677" s="7"/>
      <c r="B677" s="56"/>
      <c r="C677" s="59"/>
      <c r="D677" s="58"/>
      <c r="E677" s="66"/>
      <c r="F677" s="47"/>
      <c r="G677" s="47"/>
      <c r="H677" s="34">
        <f t="shared" si="52"/>
        <v>0</v>
      </c>
      <c r="I677" s="42" t="str">
        <f t="shared" si="56"/>
        <v/>
      </c>
      <c r="J677" s="36" t="str">
        <f t="shared" si="58"/>
        <v/>
      </c>
      <c r="K677" s="51"/>
      <c r="L677" s="43">
        <f t="shared" si="54"/>
        <v>182</v>
      </c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ht="15.75" customHeight="1" x14ac:dyDescent="0.25">
      <c r="A678" s="7"/>
      <c r="B678" s="56"/>
      <c r="C678" s="59"/>
      <c r="D678" s="58"/>
      <c r="E678" s="66"/>
      <c r="F678" s="47"/>
      <c r="G678" s="47"/>
      <c r="H678" s="34">
        <f t="shared" si="52"/>
        <v>0</v>
      </c>
      <c r="I678" s="42" t="str">
        <f t="shared" si="56"/>
        <v/>
      </c>
      <c r="J678" s="36" t="str">
        <f t="shared" si="58"/>
        <v/>
      </c>
      <c r="K678" s="51"/>
      <c r="L678" s="43">
        <f t="shared" si="54"/>
        <v>182</v>
      </c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ht="15.75" customHeight="1" x14ac:dyDescent="0.25">
      <c r="A679" s="7"/>
      <c r="B679" s="56"/>
      <c r="C679" s="59"/>
      <c r="D679" s="58"/>
      <c r="E679" s="66"/>
      <c r="F679" s="47"/>
      <c r="G679" s="47"/>
      <c r="H679" s="34">
        <f t="shared" si="52"/>
        <v>0</v>
      </c>
      <c r="I679" s="42" t="str">
        <f t="shared" si="56"/>
        <v/>
      </c>
      <c r="J679" s="36" t="str">
        <f t="shared" si="58"/>
        <v/>
      </c>
      <c r="K679" s="51"/>
      <c r="L679" s="43">
        <f t="shared" si="54"/>
        <v>182</v>
      </c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ht="15.75" customHeight="1" x14ac:dyDescent="0.25">
      <c r="A680" s="7"/>
      <c r="B680" s="56"/>
      <c r="C680" s="59"/>
      <c r="D680" s="58"/>
      <c r="E680" s="66"/>
      <c r="F680" s="47"/>
      <c r="G680" s="47"/>
      <c r="H680" s="34">
        <f t="shared" si="52"/>
        <v>0</v>
      </c>
      <c r="I680" s="42" t="str">
        <f t="shared" si="56"/>
        <v/>
      </c>
      <c r="J680" s="36" t="str">
        <f t="shared" si="58"/>
        <v/>
      </c>
      <c r="K680" s="51"/>
      <c r="L680" s="43">
        <f t="shared" si="54"/>
        <v>182</v>
      </c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ht="15.75" customHeight="1" x14ac:dyDescent="0.25">
      <c r="A681" s="7"/>
      <c r="B681" s="56"/>
      <c r="C681" s="59"/>
      <c r="D681" s="58"/>
      <c r="E681" s="82"/>
      <c r="F681" s="50"/>
      <c r="G681" s="50"/>
      <c r="H681" s="34">
        <f t="shared" si="52"/>
        <v>0</v>
      </c>
      <c r="I681" s="42" t="str">
        <f t="shared" si="56"/>
        <v/>
      </c>
      <c r="J681" s="36"/>
      <c r="K681" s="51"/>
      <c r="L681" s="43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ht="15.75" customHeight="1" x14ac:dyDescent="0.25">
      <c r="A682" s="7"/>
      <c r="B682" s="56"/>
      <c r="C682" s="59"/>
      <c r="D682" s="58"/>
      <c r="E682" s="82"/>
      <c r="F682" s="50"/>
      <c r="G682" s="50"/>
      <c r="H682" s="34">
        <f t="shared" si="52"/>
        <v>0</v>
      </c>
      <c r="I682" s="42" t="str">
        <f t="shared" si="56"/>
        <v/>
      </c>
      <c r="J682" s="36"/>
      <c r="K682" s="51"/>
      <c r="L682" s="43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ht="15.75" customHeight="1" x14ac:dyDescent="0.25">
      <c r="A683" s="7"/>
      <c r="B683" s="56"/>
      <c r="C683" s="59"/>
      <c r="D683" s="58"/>
      <c r="E683" s="66"/>
      <c r="F683" s="47"/>
      <c r="G683" s="47"/>
      <c r="H683" s="34">
        <f t="shared" si="52"/>
        <v>0</v>
      </c>
      <c r="I683" s="42" t="str">
        <f t="shared" si="56"/>
        <v/>
      </c>
      <c r="J683" s="36"/>
      <c r="K683" s="51"/>
      <c r="L683" s="43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ht="15.75" customHeight="1" x14ac:dyDescent="0.25">
      <c r="A684" s="7"/>
      <c r="B684" s="56"/>
      <c r="C684" s="59"/>
      <c r="D684" s="58"/>
      <c r="E684" s="66"/>
      <c r="F684" s="47"/>
      <c r="G684" s="47"/>
      <c r="H684" s="34">
        <f t="shared" si="52"/>
        <v>0</v>
      </c>
      <c r="I684" s="42" t="str">
        <f t="shared" si="56"/>
        <v/>
      </c>
      <c r="J684" s="36"/>
      <c r="K684" s="51"/>
      <c r="L684" s="43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ht="15.75" customHeight="1" x14ac:dyDescent="0.25">
      <c r="A685" s="7"/>
      <c r="B685" s="56"/>
      <c r="C685" s="59"/>
      <c r="D685" s="58"/>
      <c r="E685" s="66"/>
      <c r="F685" s="47"/>
      <c r="G685" s="47"/>
      <c r="H685" s="34">
        <f t="shared" si="52"/>
        <v>0</v>
      </c>
      <c r="I685" s="42" t="str">
        <f t="shared" si="56"/>
        <v/>
      </c>
      <c r="J685" s="36"/>
      <c r="K685" s="51"/>
      <c r="L685" s="43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ht="15.75" customHeight="1" x14ac:dyDescent="0.25">
      <c r="A686" s="7"/>
      <c r="B686" s="56"/>
      <c r="C686" s="59"/>
      <c r="D686" s="58"/>
      <c r="E686" s="66"/>
      <c r="F686" s="47"/>
      <c r="G686" s="47"/>
      <c r="H686" s="34">
        <f t="shared" si="52"/>
        <v>0</v>
      </c>
      <c r="I686" s="42" t="str">
        <f t="shared" si="56"/>
        <v/>
      </c>
      <c r="J686" s="36"/>
      <c r="K686" s="51"/>
      <c r="L686" s="43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ht="15.75" customHeight="1" x14ac:dyDescent="0.25">
      <c r="A687" s="7"/>
      <c r="B687" s="56"/>
      <c r="C687" s="59"/>
      <c r="D687" s="58"/>
      <c r="E687" s="66"/>
      <c r="F687" s="47"/>
      <c r="G687" s="47"/>
      <c r="H687" s="34">
        <f t="shared" si="52"/>
        <v>0</v>
      </c>
      <c r="I687" s="42" t="str">
        <f t="shared" si="56"/>
        <v/>
      </c>
      <c r="J687" s="36"/>
      <c r="K687" s="51"/>
      <c r="L687" s="43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ht="15.75" customHeight="1" x14ac:dyDescent="0.25">
      <c r="A688" s="7"/>
      <c r="B688" s="56"/>
      <c r="C688" s="59"/>
      <c r="D688" s="58"/>
      <c r="E688" s="66"/>
      <c r="F688" s="47"/>
      <c r="G688" s="47"/>
      <c r="H688" s="34">
        <f t="shared" si="52"/>
        <v>0</v>
      </c>
      <c r="I688" s="42" t="str">
        <f t="shared" si="56"/>
        <v/>
      </c>
      <c r="J688" s="36"/>
      <c r="K688" s="51"/>
      <c r="L688" s="43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ht="15.75" customHeight="1" x14ac:dyDescent="0.25">
      <c r="A689" s="7"/>
      <c r="B689" s="56"/>
      <c r="C689" s="59"/>
      <c r="D689" s="58"/>
      <c r="E689" s="82"/>
      <c r="F689" s="50"/>
      <c r="G689" s="50"/>
      <c r="H689" s="34">
        <f t="shared" si="52"/>
        <v>0</v>
      </c>
      <c r="I689" s="42" t="str">
        <f t="shared" si="56"/>
        <v/>
      </c>
      <c r="J689" s="36" t="str">
        <f t="shared" ref="J689:J698" si="59">IF(ISERROR(MAX(E689:G689)/H689-1),"",(MAX(E689:G689)/H689-1))</f>
        <v/>
      </c>
      <c r="K689" s="51"/>
      <c r="L689" s="43">
        <f t="shared" ref="L689:L717" si="60">EDATE(K689,6)</f>
        <v>182</v>
      </c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ht="15.75" customHeight="1" x14ac:dyDescent="0.25">
      <c r="A690" s="7"/>
      <c r="B690" s="56"/>
      <c r="C690" s="59"/>
      <c r="D690" s="58"/>
      <c r="E690" s="66"/>
      <c r="F690" s="47"/>
      <c r="G690" s="47"/>
      <c r="H690" s="34">
        <f t="shared" si="52"/>
        <v>0</v>
      </c>
      <c r="I690" s="42" t="str">
        <f t="shared" si="56"/>
        <v/>
      </c>
      <c r="J690" s="36" t="str">
        <f t="shared" si="59"/>
        <v/>
      </c>
      <c r="K690" s="51"/>
      <c r="L690" s="43">
        <f t="shared" si="60"/>
        <v>182</v>
      </c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ht="15.75" customHeight="1" x14ac:dyDescent="0.25">
      <c r="A691" s="7"/>
      <c r="B691" s="56"/>
      <c r="C691" s="59"/>
      <c r="D691" s="58"/>
      <c r="E691" s="82"/>
      <c r="F691" s="50"/>
      <c r="G691" s="50"/>
      <c r="H691" s="34">
        <f t="shared" si="52"/>
        <v>0</v>
      </c>
      <c r="I691" s="42" t="str">
        <f t="shared" si="56"/>
        <v/>
      </c>
      <c r="J691" s="36" t="str">
        <f t="shared" si="59"/>
        <v/>
      </c>
      <c r="K691" s="51"/>
      <c r="L691" s="43">
        <f t="shared" si="60"/>
        <v>182</v>
      </c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ht="15.75" customHeight="1" x14ac:dyDescent="0.25">
      <c r="A692" s="7"/>
      <c r="B692" s="56"/>
      <c r="C692" s="59"/>
      <c r="D692" s="58"/>
      <c r="E692" s="82"/>
      <c r="F692" s="50"/>
      <c r="G692" s="50"/>
      <c r="H692" s="34">
        <f t="shared" si="52"/>
        <v>0</v>
      </c>
      <c r="I692" s="42" t="str">
        <f t="shared" si="56"/>
        <v/>
      </c>
      <c r="J692" s="36" t="str">
        <f t="shared" si="59"/>
        <v/>
      </c>
      <c r="K692" s="51"/>
      <c r="L692" s="43">
        <f t="shared" si="60"/>
        <v>182</v>
      </c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ht="15.75" customHeight="1" x14ac:dyDescent="0.25">
      <c r="A693" s="7"/>
      <c r="B693" s="56"/>
      <c r="C693" s="59"/>
      <c r="D693" s="58"/>
      <c r="E693" s="66"/>
      <c r="F693" s="47"/>
      <c r="G693" s="47"/>
      <c r="H693" s="34">
        <f t="shared" si="52"/>
        <v>0</v>
      </c>
      <c r="I693" s="42" t="str">
        <f t="shared" si="56"/>
        <v/>
      </c>
      <c r="J693" s="36" t="str">
        <f t="shared" si="59"/>
        <v/>
      </c>
      <c r="K693" s="51"/>
      <c r="L693" s="43">
        <f t="shared" si="60"/>
        <v>182</v>
      </c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ht="15.75" customHeight="1" x14ac:dyDescent="0.25">
      <c r="A694" s="7"/>
      <c r="B694" s="56"/>
      <c r="C694" s="59"/>
      <c r="D694" s="58"/>
      <c r="E694" s="66"/>
      <c r="F694" s="47"/>
      <c r="G694" s="47"/>
      <c r="H694" s="34">
        <f t="shared" si="52"/>
        <v>0</v>
      </c>
      <c r="I694" s="42" t="str">
        <f t="shared" si="56"/>
        <v/>
      </c>
      <c r="J694" s="36" t="str">
        <f t="shared" si="59"/>
        <v/>
      </c>
      <c r="K694" s="51"/>
      <c r="L694" s="43">
        <f t="shared" si="60"/>
        <v>182</v>
      </c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ht="15.75" customHeight="1" x14ac:dyDescent="0.25">
      <c r="A695" s="7"/>
      <c r="B695" s="56"/>
      <c r="C695" s="59"/>
      <c r="D695" s="58"/>
      <c r="E695" s="66"/>
      <c r="F695" s="47"/>
      <c r="G695" s="47"/>
      <c r="H695" s="34">
        <f t="shared" si="52"/>
        <v>0</v>
      </c>
      <c r="I695" s="42" t="str">
        <f t="shared" si="56"/>
        <v/>
      </c>
      <c r="J695" s="36" t="str">
        <f t="shared" si="59"/>
        <v/>
      </c>
      <c r="K695" s="51"/>
      <c r="L695" s="43">
        <f t="shared" si="60"/>
        <v>182</v>
      </c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ht="15.75" customHeight="1" x14ac:dyDescent="0.25">
      <c r="A696" s="7"/>
      <c r="B696" s="56"/>
      <c r="C696" s="59"/>
      <c r="D696" s="58"/>
      <c r="E696" s="66"/>
      <c r="F696" s="47"/>
      <c r="G696" s="50"/>
      <c r="H696" s="34">
        <f t="shared" si="52"/>
        <v>0</v>
      </c>
      <c r="I696" s="42" t="str">
        <f t="shared" si="56"/>
        <v/>
      </c>
      <c r="J696" s="36" t="str">
        <f t="shared" si="59"/>
        <v/>
      </c>
      <c r="K696" s="51"/>
      <c r="L696" s="43">
        <f t="shared" si="60"/>
        <v>182</v>
      </c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ht="15.75" customHeight="1" x14ac:dyDescent="0.25">
      <c r="A697" s="7"/>
      <c r="B697" s="56"/>
      <c r="C697" s="59"/>
      <c r="D697" s="58"/>
      <c r="E697" s="82"/>
      <c r="F697" s="50"/>
      <c r="G697" s="50"/>
      <c r="H697" s="34">
        <f t="shared" si="52"/>
        <v>0</v>
      </c>
      <c r="I697" s="42" t="str">
        <f t="shared" si="56"/>
        <v/>
      </c>
      <c r="J697" s="36" t="str">
        <f t="shared" si="59"/>
        <v/>
      </c>
      <c r="K697" s="51"/>
      <c r="L697" s="43">
        <f t="shared" si="60"/>
        <v>182</v>
      </c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ht="15.75" customHeight="1" x14ac:dyDescent="0.25">
      <c r="A698" s="7"/>
      <c r="B698" s="56"/>
      <c r="C698" s="59"/>
      <c r="D698" s="58"/>
      <c r="E698" s="82"/>
      <c r="F698" s="50"/>
      <c r="G698" s="50"/>
      <c r="H698" s="34">
        <f t="shared" si="52"/>
        <v>0</v>
      </c>
      <c r="I698" s="42" t="str">
        <f t="shared" si="56"/>
        <v/>
      </c>
      <c r="J698" s="36" t="str">
        <f t="shared" si="59"/>
        <v/>
      </c>
      <c r="K698" s="51"/>
      <c r="L698" s="43">
        <f t="shared" si="60"/>
        <v>182</v>
      </c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ht="15.75" customHeight="1" x14ac:dyDescent="0.25">
      <c r="A699" s="7"/>
      <c r="B699" s="56"/>
      <c r="C699" s="59"/>
      <c r="D699" s="58"/>
      <c r="E699" s="66"/>
      <c r="F699" s="47"/>
      <c r="G699" s="47"/>
      <c r="H699" s="34">
        <f t="shared" si="52"/>
        <v>0</v>
      </c>
      <c r="I699" s="42" t="str">
        <f t="shared" si="56"/>
        <v/>
      </c>
      <c r="J699" s="78"/>
      <c r="K699" s="43"/>
      <c r="L699" s="43">
        <f t="shared" si="60"/>
        <v>182</v>
      </c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ht="15.75" customHeight="1" x14ac:dyDescent="0.25">
      <c r="A700" s="7"/>
      <c r="B700" s="56"/>
      <c r="C700" s="59"/>
      <c r="D700" s="58"/>
      <c r="E700" s="66"/>
      <c r="F700" s="47"/>
      <c r="G700" s="47"/>
      <c r="H700" s="34">
        <f t="shared" si="52"/>
        <v>0</v>
      </c>
      <c r="I700" s="42" t="str">
        <f t="shared" si="56"/>
        <v/>
      </c>
      <c r="J700" s="78"/>
      <c r="K700" s="43"/>
      <c r="L700" s="43">
        <f t="shared" si="60"/>
        <v>182</v>
      </c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ht="15.75" customHeight="1" x14ac:dyDescent="0.25">
      <c r="A701" s="7"/>
      <c r="B701" s="56"/>
      <c r="C701" s="59"/>
      <c r="D701" s="58"/>
      <c r="E701" s="66"/>
      <c r="F701" s="47"/>
      <c r="G701" s="47"/>
      <c r="H701" s="34">
        <f t="shared" si="52"/>
        <v>0</v>
      </c>
      <c r="I701" s="42" t="str">
        <f t="shared" si="56"/>
        <v/>
      </c>
      <c r="J701" s="36" t="str">
        <f t="shared" ref="J701:J702" si="61">IF(ISERROR(MAX(E701:G701)/H701-1),"",(MAX(E701:G701)/H701-1))</f>
        <v/>
      </c>
      <c r="K701" s="51"/>
      <c r="L701" s="43">
        <f t="shared" si="60"/>
        <v>182</v>
      </c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ht="15.75" customHeight="1" x14ac:dyDescent="0.25">
      <c r="A702" s="7"/>
      <c r="B702" s="56"/>
      <c r="C702" s="59"/>
      <c r="D702" s="58"/>
      <c r="E702" s="66"/>
      <c r="F702" s="47"/>
      <c r="G702" s="84"/>
      <c r="H702" s="34">
        <f t="shared" si="52"/>
        <v>0</v>
      </c>
      <c r="I702" s="42" t="str">
        <f t="shared" si="56"/>
        <v/>
      </c>
      <c r="J702" s="36" t="str">
        <f t="shared" si="61"/>
        <v/>
      </c>
      <c r="K702" s="51"/>
      <c r="L702" s="43">
        <f t="shared" si="60"/>
        <v>182</v>
      </c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ht="15.75" customHeight="1" x14ac:dyDescent="0.25">
      <c r="A703" s="7"/>
      <c r="B703" s="56"/>
      <c r="C703" s="59"/>
      <c r="D703" s="58"/>
      <c r="E703" s="66"/>
      <c r="F703" s="47"/>
      <c r="G703" s="47"/>
      <c r="H703" s="34">
        <f t="shared" si="52"/>
        <v>0</v>
      </c>
      <c r="I703" s="42" t="str">
        <f t="shared" si="56"/>
        <v/>
      </c>
      <c r="J703" s="36"/>
      <c r="K703" s="51"/>
      <c r="L703" s="43">
        <f t="shared" si="60"/>
        <v>182</v>
      </c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ht="15.75" customHeight="1" x14ac:dyDescent="0.25">
      <c r="A704" s="7"/>
      <c r="B704" s="56"/>
      <c r="C704" s="59"/>
      <c r="D704" s="58"/>
      <c r="E704" s="82"/>
      <c r="F704" s="50"/>
      <c r="G704" s="50"/>
      <c r="H704" s="34">
        <f t="shared" si="52"/>
        <v>0</v>
      </c>
      <c r="I704" s="42" t="str">
        <f t="shared" si="56"/>
        <v/>
      </c>
      <c r="J704" s="36" t="str">
        <f t="shared" ref="J704:J717" si="62">IF(ISERROR(MAX(E704:G704)/H704-1),"",(MAX(E704:G704)/H704-1))</f>
        <v/>
      </c>
      <c r="K704" s="51"/>
      <c r="L704" s="43">
        <f t="shared" si="60"/>
        <v>182</v>
      </c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ht="15.75" customHeight="1" x14ac:dyDescent="0.25">
      <c r="A705" s="7"/>
      <c r="B705" s="56"/>
      <c r="C705" s="59"/>
      <c r="D705" s="58"/>
      <c r="E705" s="82"/>
      <c r="F705" s="50"/>
      <c r="G705" s="50"/>
      <c r="H705" s="34">
        <f t="shared" si="52"/>
        <v>0</v>
      </c>
      <c r="I705" s="42" t="str">
        <f t="shared" si="56"/>
        <v/>
      </c>
      <c r="J705" s="36" t="str">
        <f t="shared" si="62"/>
        <v/>
      </c>
      <c r="K705" s="51"/>
      <c r="L705" s="43">
        <f t="shared" si="60"/>
        <v>182</v>
      </c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ht="15.75" customHeight="1" x14ac:dyDescent="0.25">
      <c r="A706" s="7"/>
      <c r="B706" s="56"/>
      <c r="C706" s="59"/>
      <c r="D706" s="58"/>
      <c r="E706" s="82"/>
      <c r="F706" s="50"/>
      <c r="G706" s="50"/>
      <c r="H706" s="34">
        <f t="shared" si="52"/>
        <v>0</v>
      </c>
      <c r="I706" s="42" t="str">
        <f t="shared" si="56"/>
        <v/>
      </c>
      <c r="J706" s="36" t="str">
        <f t="shared" si="62"/>
        <v/>
      </c>
      <c r="K706" s="51"/>
      <c r="L706" s="43">
        <f t="shared" si="60"/>
        <v>182</v>
      </c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ht="15.75" customHeight="1" x14ac:dyDescent="0.25">
      <c r="A707" s="7"/>
      <c r="B707" s="56"/>
      <c r="C707" s="59"/>
      <c r="D707" s="58"/>
      <c r="E707" s="82"/>
      <c r="F707" s="50"/>
      <c r="G707" s="50"/>
      <c r="H707" s="34">
        <f t="shared" si="52"/>
        <v>0</v>
      </c>
      <c r="I707" s="42" t="str">
        <f t="shared" si="56"/>
        <v/>
      </c>
      <c r="J707" s="36" t="str">
        <f t="shared" si="62"/>
        <v/>
      </c>
      <c r="K707" s="51"/>
      <c r="L707" s="43">
        <f t="shared" si="60"/>
        <v>182</v>
      </c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ht="15.75" customHeight="1" x14ac:dyDescent="0.25">
      <c r="A708" s="7"/>
      <c r="B708" s="56"/>
      <c r="C708" s="59"/>
      <c r="D708" s="58"/>
      <c r="E708" s="82"/>
      <c r="F708" s="50"/>
      <c r="G708" s="50"/>
      <c r="H708" s="34">
        <f t="shared" si="52"/>
        <v>0</v>
      </c>
      <c r="I708" s="42" t="str">
        <f t="shared" si="56"/>
        <v/>
      </c>
      <c r="J708" s="36" t="str">
        <f t="shared" si="62"/>
        <v/>
      </c>
      <c r="K708" s="51"/>
      <c r="L708" s="43">
        <f t="shared" si="60"/>
        <v>182</v>
      </c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ht="15.75" customHeight="1" x14ac:dyDescent="0.25">
      <c r="A709" s="7"/>
      <c r="B709" s="56"/>
      <c r="C709" s="59"/>
      <c r="D709" s="58"/>
      <c r="E709" s="82"/>
      <c r="F709" s="50"/>
      <c r="G709" s="50"/>
      <c r="H709" s="34">
        <f t="shared" si="52"/>
        <v>0</v>
      </c>
      <c r="I709" s="42" t="str">
        <f t="shared" si="56"/>
        <v/>
      </c>
      <c r="J709" s="36" t="str">
        <f t="shared" si="62"/>
        <v/>
      </c>
      <c r="K709" s="51"/>
      <c r="L709" s="43">
        <f t="shared" si="60"/>
        <v>182</v>
      </c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ht="15.75" customHeight="1" x14ac:dyDescent="0.25">
      <c r="A710" s="7"/>
      <c r="B710" s="56"/>
      <c r="C710" s="59"/>
      <c r="D710" s="58"/>
      <c r="E710" s="82"/>
      <c r="F710" s="50"/>
      <c r="G710" s="50"/>
      <c r="H710" s="34">
        <f t="shared" si="52"/>
        <v>0</v>
      </c>
      <c r="I710" s="42" t="str">
        <f t="shared" si="56"/>
        <v/>
      </c>
      <c r="J710" s="36" t="str">
        <f t="shared" si="62"/>
        <v/>
      </c>
      <c r="K710" s="51"/>
      <c r="L710" s="43">
        <f t="shared" si="60"/>
        <v>182</v>
      </c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ht="15.75" customHeight="1" x14ac:dyDescent="0.25">
      <c r="A711" s="7"/>
      <c r="B711" s="56"/>
      <c r="C711" s="59"/>
      <c r="D711" s="58"/>
      <c r="E711" s="82"/>
      <c r="F711" s="106"/>
      <c r="G711" s="50"/>
      <c r="H711" s="34">
        <f t="shared" si="52"/>
        <v>0</v>
      </c>
      <c r="I711" s="42" t="str">
        <f t="shared" si="56"/>
        <v/>
      </c>
      <c r="J711" s="36" t="str">
        <f t="shared" si="62"/>
        <v/>
      </c>
      <c r="K711" s="51"/>
      <c r="L711" s="43">
        <f t="shared" si="60"/>
        <v>182</v>
      </c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ht="15.75" customHeight="1" x14ac:dyDescent="0.25">
      <c r="A712" s="7"/>
      <c r="B712" s="56"/>
      <c r="C712" s="59"/>
      <c r="D712" s="58"/>
      <c r="E712" s="82"/>
      <c r="F712" s="106"/>
      <c r="G712" s="50"/>
      <c r="H712" s="34">
        <f t="shared" si="52"/>
        <v>0</v>
      </c>
      <c r="I712" s="42" t="str">
        <f t="shared" si="56"/>
        <v/>
      </c>
      <c r="J712" s="36" t="str">
        <f t="shared" si="62"/>
        <v/>
      </c>
      <c r="K712" s="51"/>
      <c r="L712" s="43">
        <f t="shared" si="60"/>
        <v>182</v>
      </c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ht="15.75" customHeight="1" x14ac:dyDescent="0.25">
      <c r="A713" s="7"/>
      <c r="B713" s="56"/>
      <c r="C713" s="59"/>
      <c r="D713" s="58"/>
      <c r="E713" s="82"/>
      <c r="F713" s="50"/>
      <c r="G713" s="50"/>
      <c r="H713" s="34">
        <f t="shared" si="52"/>
        <v>0</v>
      </c>
      <c r="I713" s="42" t="str">
        <f t="shared" si="56"/>
        <v/>
      </c>
      <c r="J713" s="36" t="str">
        <f t="shared" si="62"/>
        <v/>
      </c>
      <c r="K713" s="51"/>
      <c r="L713" s="43">
        <f t="shared" si="60"/>
        <v>182</v>
      </c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ht="15.75" customHeight="1" x14ac:dyDescent="0.25">
      <c r="A714" s="7"/>
      <c r="B714" s="56"/>
      <c r="C714" s="59"/>
      <c r="D714" s="58"/>
      <c r="E714" s="82"/>
      <c r="F714" s="50"/>
      <c r="G714" s="50"/>
      <c r="H714" s="34">
        <f t="shared" si="52"/>
        <v>0</v>
      </c>
      <c r="I714" s="42" t="str">
        <f t="shared" si="56"/>
        <v/>
      </c>
      <c r="J714" s="36" t="str">
        <f t="shared" si="62"/>
        <v/>
      </c>
      <c r="K714" s="51"/>
      <c r="L714" s="43">
        <f t="shared" si="60"/>
        <v>182</v>
      </c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ht="15.75" customHeight="1" x14ac:dyDescent="0.25">
      <c r="A715" s="7"/>
      <c r="B715" s="56"/>
      <c r="C715" s="59"/>
      <c r="D715" s="58"/>
      <c r="E715" s="82"/>
      <c r="F715" s="106"/>
      <c r="G715" s="106"/>
      <c r="H715" s="34">
        <f t="shared" si="52"/>
        <v>0</v>
      </c>
      <c r="I715" s="42" t="str">
        <f t="shared" si="56"/>
        <v/>
      </c>
      <c r="J715" s="36" t="str">
        <f t="shared" si="62"/>
        <v/>
      </c>
      <c r="K715" s="51"/>
      <c r="L715" s="43">
        <f t="shared" si="60"/>
        <v>182</v>
      </c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ht="15.75" customHeight="1" x14ac:dyDescent="0.25">
      <c r="A716" s="7"/>
      <c r="B716" s="56"/>
      <c r="C716" s="59"/>
      <c r="D716" s="58"/>
      <c r="E716" s="82"/>
      <c r="F716" s="106"/>
      <c r="G716" s="106"/>
      <c r="H716" s="34">
        <f t="shared" si="52"/>
        <v>0</v>
      </c>
      <c r="I716" s="42" t="str">
        <f t="shared" si="56"/>
        <v/>
      </c>
      <c r="J716" s="36" t="str">
        <f t="shared" si="62"/>
        <v/>
      </c>
      <c r="K716" s="51"/>
      <c r="L716" s="43">
        <f t="shared" si="60"/>
        <v>182</v>
      </c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ht="15.75" customHeight="1" x14ac:dyDescent="0.25">
      <c r="A717" s="7"/>
      <c r="B717" s="56"/>
      <c r="C717" s="59"/>
      <c r="D717" s="58"/>
      <c r="E717" s="82"/>
      <c r="F717" s="106"/>
      <c r="G717" s="50"/>
      <c r="H717" s="34">
        <f t="shared" si="52"/>
        <v>0</v>
      </c>
      <c r="I717" s="42" t="str">
        <f t="shared" si="56"/>
        <v/>
      </c>
      <c r="J717" s="36" t="str">
        <f t="shared" si="62"/>
        <v/>
      </c>
      <c r="K717" s="51"/>
      <c r="L717" s="43">
        <f t="shared" si="60"/>
        <v>182</v>
      </c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ht="15.75" customHeight="1" x14ac:dyDescent="0.25">
      <c r="A718" s="7"/>
      <c r="B718" s="56"/>
      <c r="C718" s="59"/>
      <c r="D718" s="58"/>
      <c r="E718" s="82"/>
      <c r="F718" s="106"/>
      <c r="G718" s="106"/>
      <c r="H718" s="34">
        <f t="shared" si="52"/>
        <v>0</v>
      </c>
      <c r="I718" s="42" t="str">
        <f t="shared" si="56"/>
        <v/>
      </c>
      <c r="J718" s="36"/>
      <c r="K718" s="51"/>
      <c r="L718" s="43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ht="15.75" customHeight="1" x14ac:dyDescent="0.25">
      <c r="A719" s="7"/>
      <c r="B719" s="56"/>
      <c r="C719" s="59"/>
      <c r="D719" s="58"/>
      <c r="E719" s="66"/>
      <c r="F719" s="47"/>
      <c r="G719" s="47"/>
      <c r="H719" s="34">
        <f t="shared" si="52"/>
        <v>0</v>
      </c>
      <c r="I719" s="42" t="str">
        <f t="shared" si="56"/>
        <v/>
      </c>
      <c r="J719" s="36" t="str">
        <f t="shared" ref="J719:J723" si="63">IF(ISERROR(MAX(E719:G719)/H719-1),"",(MAX(E719:G719)/H719-1))</f>
        <v/>
      </c>
      <c r="K719" s="51"/>
      <c r="L719" s="43">
        <f t="shared" ref="L719:L723" si="64">EDATE(K719,6)</f>
        <v>182</v>
      </c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ht="15.75" customHeight="1" x14ac:dyDescent="0.25">
      <c r="A720" s="7"/>
      <c r="B720" s="56"/>
      <c r="C720" s="59"/>
      <c r="D720" s="58"/>
      <c r="E720" s="66"/>
      <c r="F720" s="47"/>
      <c r="G720" s="50"/>
      <c r="H720" s="34">
        <f t="shared" si="52"/>
        <v>0</v>
      </c>
      <c r="I720" s="42" t="str">
        <f t="shared" si="56"/>
        <v/>
      </c>
      <c r="J720" s="36" t="str">
        <f t="shared" si="63"/>
        <v/>
      </c>
      <c r="K720" s="51"/>
      <c r="L720" s="43">
        <f t="shared" si="64"/>
        <v>182</v>
      </c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ht="15.75" customHeight="1" x14ac:dyDescent="0.25">
      <c r="A721" s="7"/>
      <c r="B721" s="56"/>
      <c r="C721" s="59"/>
      <c r="D721" s="58"/>
      <c r="E721" s="82"/>
      <c r="F721" s="50"/>
      <c r="G721" s="50"/>
      <c r="H721" s="34">
        <f t="shared" si="52"/>
        <v>0</v>
      </c>
      <c r="I721" s="42" t="str">
        <f t="shared" si="56"/>
        <v/>
      </c>
      <c r="J721" s="36" t="str">
        <f t="shared" si="63"/>
        <v/>
      </c>
      <c r="K721" s="51"/>
      <c r="L721" s="43">
        <f t="shared" si="64"/>
        <v>182</v>
      </c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ht="15.75" customHeight="1" x14ac:dyDescent="0.25">
      <c r="A722" s="7"/>
      <c r="B722" s="120"/>
      <c r="C722" s="59"/>
      <c r="D722" s="79"/>
      <c r="E722" s="82"/>
      <c r="F722" s="50"/>
      <c r="G722" s="50"/>
      <c r="H722" s="34">
        <f t="shared" si="52"/>
        <v>0</v>
      </c>
      <c r="I722" s="42" t="str">
        <f t="shared" si="56"/>
        <v/>
      </c>
      <c r="J722" s="36" t="str">
        <f t="shared" si="63"/>
        <v/>
      </c>
      <c r="K722" s="51"/>
      <c r="L722" s="43">
        <f t="shared" si="64"/>
        <v>182</v>
      </c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ht="15.75" customHeight="1" x14ac:dyDescent="0.25">
      <c r="A723" s="7"/>
      <c r="B723" s="121"/>
      <c r="C723" s="122"/>
      <c r="D723" s="123"/>
      <c r="E723" s="124"/>
      <c r="F723" s="125"/>
      <c r="G723" s="125"/>
      <c r="H723" s="126"/>
      <c r="I723" s="127" t="str">
        <f t="shared" si="56"/>
        <v/>
      </c>
      <c r="J723" s="36" t="str">
        <f t="shared" si="63"/>
        <v/>
      </c>
      <c r="K723" s="128"/>
      <c r="L723" s="118">
        <f t="shared" si="64"/>
        <v>182</v>
      </c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ht="15.75" customHeight="1" x14ac:dyDescent="0.25">
      <c r="A724" s="7"/>
      <c r="B724" s="7"/>
      <c r="C724" s="14"/>
      <c r="D724" s="14"/>
      <c r="E724" s="5"/>
      <c r="F724" s="5"/>
      <c r="G724" s="5"/>
      <c r="H724" s="6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ht="15.75" customHeight="1" x14ac:dyDescent="0.25">
      <c r="A725" s="7"/>
      <c r="B725" s="7"/>
      <c r="C725" s="14"/>
      <c r="D725" s="14"/>
      <c r="E725" s="5"/>
      <c r="F725" s="5"/>
      <c r="G725" s="5"/>
      <c r="H725" s="6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ht="15.75" customHeight="1" x14ac:dyDescent="0.25">
      <c r="A726" s="7"/>
      <c r="B726" s="7"/>
      <c r="C726" s="14"/>
      <c r="D726" s="14"/>
      <c r="E726" s="5"/>
      <c r="F726" s="5"/>
      <c r="G726" s="5"/>
      <c r="H726" s="6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ht="15.75" customHeight="1" x14ac:dyDescent="0.25">
      <c r="A727" s="7"/>
      <c r="B727" s="7"/>
      <c r="C727" s="14"/>
      <c r="D727" s="14"/>
      <c r="E727" s="5"/>
      <c r="F727" s="5"/>
      <c r="G727" s="5"/>
      <c r="H727" s="6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ht="15.75" customHeight="1" x14ac:dyDescent="0.25">
      <c r="A728" s="7"/>
      <c r="B728" s="7"/>
      <c r="C728" s="14"/>
      <c r="D728" s="14"/>
      <c r="E728" s="5"/>
      <c r="F728" s="5"/>
      <c r="G728" s="5"/>
      <c r="H728" s="6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ht="15.75" customHeight="1" x14ac:dyDescent="0.25">
      <c r="A729" s="7"/>
      <c r="B729" s="7"/>
      <c r="C729" s="14"/>
      <c r="D729" s="14"/>
      <c r="E729" s="5"/>
      <c r="F729" s="5"/>
      <c r="G729" s="5"/>
      <c r="H729" s="6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ht="15.75" customHeight="1" x14ac:dyDescent="0.25">
      <c r="A730" s="7"/>
      <c r="B730" s="7"/>
      <c r="C730" s="14"/>
      <c r="D730" s="14"/>
      <c r="E730" s="5"/>
      <c r="F730" s="5"/>
      <c r="G730" s="5"/>
      <c r="H730" s="6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ht="15.75" customHeight="1" x14ac:dyDescent="0.25">
      <c r="A731" s="7"/>
      <c r="B731" s="7"/>
      <c r="C731" s="14"/>
      <c r="D731" s="14"/>
      <c r="E731" s="5"/>
      <c r="F731" s="5"/>
      <c r="G731" s="5"/>
      <c r="H731" s="6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ht="15.75" customHeight="1" x14ac:dyDescent="0.25">
      <c r="A732" s="7"/>
      <c r="B732" s="7"/>
      <c r="C732" s="14"/>
      <c r="D732" s="14"/>
      <c r="E732" s="5"/>
      <c r="F732" s="5"/>
      <c r="G732" s="5"/>
      <c r="H732" s="6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ht="15.75" customHeight="1" x14ac:dyDescent="0.25">
      <c r="A733" s="7"/>
      <c r="B733" s="7"/>
      <c r="C733" s="14"/>
      <c r="D733" s="14"/>
      <c r="E733" s="5"/>
      <c r="F733" s="5"/>
      <c r="G733" s="5"/>
      <c r="H733" s="6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ht="15.75" customHeight="1" x14ac:dyDescent="0.25">
      <c r="A734" s="7"/>
      <c r="B734" s="7"/>
      <c r="C734" s="14"/>
      <c r="D734" s="14"/>
      <c r="E734" s="5"/>
      <c r="F734" s="5"/>
      <c r="G734" s="5"/>
      <c r="H734" s="6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ht="15.75" customHeight="1" x14ac:dyDescent="0.25">
      <c r="A735" s="7"/>
      <c r="B735" s="7"/>
      <c r="C735" s="14"/>
      <c r="D735" s="14"/>
      <c r="E735" s="5"/>
      <c r="F735" s="5"/>
      <c r="G735" s="5"/>
      <c r="H735" s="6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ht="15.75" customHeight="1" x14ac:dyDescent="0.25">
      <c r="A736" s="7"/>
      <c r="B736" s="7"/>
      <c r="C736" s="14"/>
      <c r="D736" s="14"/>
      <c r="E736" s="5"/>
      <c r="F736" s="5"/>
      <c r="G736" s="5"/>
      <c r="H736" s="6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ht="15.75" customHeight="1" x14ac:dyDescent="0.25">
      <c r="A737" s="7"/>
      <c r="B737" s="7"/>
      <c r="C737" s="14"/>
      <c r="D737" s="14"/>
      <c r="E737" s="5"/>
      <c r="F737" s="5"/>
      <c r="G737" s="5"/>
      <c r="H737" s="6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ht="15.75" customHeight="1" x14ac:dyDescent="0.25">
      <c r="A738" s="7"/>
      <c r="B738" s="7"/>
      <c r="C738" s="14"/>
      <c r="D738" s="14"/>
      <c r="E738" s="5"/>
      <c r="F738" s="5"/>
      <c r="G738" s="5"/>
      <c r="H738" s="6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ht="15.75" customHeight="1" x14ac:dyDescent="0.25">
      <c r="A739" s="7"/>
      <c r="B739" s="7"/>
      <c r="C739" s="14"/>
      <c r="D739" s="14"/>
      <c r="E739" s="5"/>
      <c r="F739" s="5"/>
      <c r="G739" s="5"/>
      <c r="H739" s="6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ht="15.75" customHeight="1" x14ac:dyDescent="0.25">
      <c r="A740" s="7"/>
      <c r="B740" s="7"/>
      <c r="C740" s="14"/>
      <c r="D740" s="14"/>
      <c r="E740" s="5"/>
      <c r="F740" s="5"/>
      <c r="G740" s="5"/>
      <c r="H740" s="6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ht="15.75" customHeight="1" x14ac:dyDescent="0.25">
      <c r="A741" s="7"/>
      <c r="B741" s="7"/>
      <c r="C741" s="14"/>
      <c r="D741" s="14"/>
      <c r="E741" s="5"/>
      <c r="F741" s="5"/>
      <c r="G741" s="5"/>
      <c r="H741" s="6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ht="15.75" customHeight="1" x14ac:dyDescent="0.25">
      <c r="A742" s="7"/>
      <c r="B742" s="7"/>
      <c r="C742" s="14"/>
      <c r="D742" s="14"/>
      <c r="E742" s="5"/>
      <c r="F742" s="5"/>
      <c r="G742" s="5"/>
      <c r="H742" s="6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ht="15.75" customHeight="1" x14ac:dyDescent="0.25">
      <c r="A743" s="7"/>
      <c r="B743" s="7"/>
      <c r="C743" s="14"/>
      <c r="D743" s="14"/>
      <c r="E743" s="5"/>
      <c r="F743" s="5"/>
      <c r="G743" s="5"/>
      <c r="H743" s="6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ht="15.75" customHeight="1" x14ac:dyDescent="0.25">
      <c r="A744" s="7"/>
      <c r="B744" s="7"/>
      <c r="C744" s="14"/>
      <c r="D744" s="14"/>
      <c r="E744" s="5"/>
      <c r="F744" s="5"/>
      <c r="G744" s="5"/>
      <c r="H744" s="6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ht="15.75" customHeight="1" x14ac:dyDescent="0.25">
      <c r="A745" s="7"/>
      <c r="B745" s="7"/>
      <c r="C745" s="14"/>
      <c r="D745" s="14"/>
      <c r="E745" s="5"/>
      <c r="F745" s="5"/>
      <c r="G745" s="5"/>
      <c r="H745" s="6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ht="15.75" customHeight="1" x14ac:dyDescent="0.25">
      <c r="A746" s="7"/>
      <c r="B746" s="7"/>
      <c r="C746" s="14"/>
      <c r="D746" s="14"/>
      <c r="E746" s="5"/>
      <c r="F746" s="5"/>
      <c r="G746" s="5"/>
      <c r="H746" s="6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ht="15.75" customHeight="1" x14ac:dyDescent="0.25">
      <c r="A747" s="7"/>
      <c r="B747" s="7"/>
      <c r="C747" s="14"/>
      <c r="D747" s="14"/>
      <c r="E747" s="5"/>
      <c r="F747" s="5"/>
      <c r="G747" s="5"/>
      <c r="H747" s="6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ht="15.75" customHeight="1" x14ac:dyDescent="0.25">
      <c r="A748" s="7"/>
      <c r="B748" s="7"/>
      <c r="C748" s="14"/>
      <c r="D748" s="14"/>
      <c r="E748" s="5"/>
      <c r="F748" s="5"/>
      <c r="G748" s="5"/>
      <c r="H748" s="6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ht="15.75" customHeight="1" x14ac:dyDescent="0.25">
      <c r="A749" s="7"/>
      <c r="B749" s="7"/>
      <c r="C749" s="14"/>
      <c r="D749" s="14"/>
      <c r="E749" s="5"/>
      <c r="F749" s="5"/>
      <c r="G749" s="5"/>
      <c r="H749" s="6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ht="15.75" customHeight="1" x14ac:dyDescent="0.25">
      <c r="A750" s="7"/>
      <c r="B750" s="7"/>
      <c r="C750" s="14"/>
      <c r="D750" s="14"/>
      <c r="E750" s="5"/>
      <c r="F750" s="5"/>
      <c r="G750" s="5"/>
      <c r="H750" s="6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ht="15.75" customHeight="1" x14ac:dyDescent="0.25">
      <c r="A751" s="7"/>
      <c r="B751" s="7"/>
      <c r="C751" s="14"/>
      <c r="D751" s="14"/>
      <c r="E751" s="5"/>
      <c r="F751" s="5"/>
      <c r="G751" s="5"/>
      <c r="H751" s="6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ht="15.75" customHeight="1" x14ac:dyDescent="0.25">
      <c r="A752" s="7"/>
      <c r="B752" s="7"/>
      <c r="C752" s="14"/>
      <c r="D752" s="14"/>
      <c r="E752" s="5"/>
      <c r="F752" s="5"/>
      <c r="G752" s="5"/>
      <c r="H752" s="6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ht="15.75" customHeight="1" x14ac:dyDescent="0.25">
      <c r="A753" s="7"/>
      <c r="B753" s="7"/>
      <c r="C753" s="14"/>
      <c r="D753" s="14"/>
      <c r="E753" s="5"/>
      <c r="F753" s="5"/>
      <c r="G753" s="5"/>
      <c r="H753" s="6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ht="15.75" customHeight="1" x14ac:dyDescent="0.25">
      <c r="A754" s="7"/>
      <c r="B754" s="7"/>
      <c r="C754" s="14"/>
      <c r="D754" s="14"/>
      <c r="E754" s="5"/>
      <c r="F754" s="5"/>
      <c r="G754" s="5"/>
      <c r="H754" s="6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ht="15.75" customHeight="1" x14ac:dyDescent="0.25">
      <c r="A755" s="7"/>
      <c r="B755" s="7"/>
      <c r="C755" s="14"/>
      <c r="D755" s="14"/>
      <c r="E755" s="5"/>
      <c r="F755" s="5"/>
      <c r="G755" s="5"/>
      <c r="H755" s="6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ht="15.75" customHeight="1" x14ac:dyDescent="0.25">
      <c r="A756" s="7"/>
      <c r="B756" s="7"/>
      <c r="C756" s="14"/>
      <c r="D756" s="14"/>
      <c r="E756" s="5"/>
      <c r="F756" s="5"/>
      <c r="G756" s="5"/>
      <c r="H756" s="6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ht="15.75" customHeight="1" x14ac:dyDescent="0.25">
      <c r="A757" s="7"/>
      <c r="B757" s="7"/>
      <c r="C757" s="14"/>
      <c r="D757" s="14"/>
      <c r="E757" s="5"/>
      <c r="F757" s="5"/>
      <c r="G757" s="5"/>
      <c r="H757" s="6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ht="15.75" customHeight="1" x14ac:dyDescent="0.25">
      <c r="A758" s="7"/>
      <c r="B758" s="7"/>
      <c r="C758" s="14"/>
      <c r="D758" s="14"/>
      <c r="E758" s="5"/>
      <c r="F758" s="5"/>
      <c r="G758" s="5"/>
      <c r="H758" s="6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ht="15.75" customHeight="1" x14ac:dyDescent="0.25">
      <c r="A759" s="7"/>
      <c r="B759" s="7"/>
      <c r="C759" s="14"/>
      <c r="D759" s="14"/>
      <c r="E759" s="5"/>
      <c r="F759" s="5"/>
      <c r="G759" s="5"/>
      <c r="H759" s="6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ht="15.75" customHeight="1" x14ac:dyDescent="0.25">
      <c r="A760" s="7"/>
      <c r="B760" s="7"/>
      <c r="C760" s="14"/>
      <c r="D760" s="14"/>
      <c r="E760" s="5"/>
      <c r="F760" s="5"/>
      <c r="G760" s="5"/>
      <c r="H760" s="6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ht="15.75" customHeight="1" x14ac:dyDescent="0.25">
      <c r="A761" s="7"/>
      <c r="B761" s="7"/>
      <c r="C761" s="14"/>
      <c r="D761" s="14"/>
      <c r="E761" s="5"/>
      <c r="F761" s="5"/>
      <c r="G761" s="5"/>
      <c r="H761" s="6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ht="15.75" customHeight="1" x14ac:dyDescent="0.25">
      <c r="A762" s="7"/>
      <c r="B762" s="7"/>
      <c r="C762" s="14"/>
      <c r="D762" s="14"/>
      <c r="E762" s="5"/>
      <c r="F762" s="5"/>
      <c r="G762" s="5"/>
      <c r="H762" s="6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ht="15.75" customHeight="1" x14ac:dyDescent="0.25">
      <c r="A763" s="7"/>
      <c r="B763" s="7"/>
      <c r="C763" s="14"/>
      <c r="D763" s="14"/>
      <c r="E763" s="5"/>
      <c r="F763" s="5"/>
      <c r="G763" s="5"/>
      <c r="H763" s="6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ht="15.75" customHeight="1" x14ac:dyDescent="0.25">
      <c r="A764" s="7"/>
      <c r="B764" s="7"/>
      <c r="C764" s="14"/>
      <c r="D764" s="14"/>
      <c r="E764" s="5"/>
      <c r="F764" s="5"/>
      <c r="G764" s="5"/>
      <c r="H764" s="6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ht="15.75" customHeight="1" x14ac:dyDescent="0.25">
      <c r="A765" s="7"/>
      <c r="B765" s="7"/>
      <c r="C765" s="14"/>
      <c r="D765" s="14"/>
      <c r="E765" s="5"/>
      <c r="F765" s="5"/>
      <c r="G765" s="5"/>
      <c r="H765" s="6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ht="15.75" customHeight="1" x14ac:dyDescent="0.25">
      <c r="A766" s="7"/>
      <c r="B766" s="7"/>
      <c r="C766" s="14"/>
      <c r="D766" s="14"/>
      <c r="E766" s="5"/>
      <c r="F766" s="5"/>
      <c r="G766" s="5"/>
      <c r="H766" s="6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ht="15.75" customHeight="1" x14ac:dyDescent="0.25">
      <c r="A767" s="7"/>
      <c r="B767" s="7"/>
      <c r="C767" s="14"/>
      <c r="D767" s="14"/>
      <c r="E767" s="5"/>
      <c r="F767" s="5"/>
      <c r="G767" s="5"/>
      <c r="H767" s="6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ht="15.75" customHeight="1" x14ac:dyDescent="0.25">
      <c r="A768" s="7"/>
      <c r="B768" s="7"/>
      <c r="C768" s="14"/>
      <c r="D768" s="14"/>
      <c r="E768" s="5"/>
      <c r="F768" s="5"/>
      <c r="G768" s="5"/>
      <c r="H768" s="6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ht="15.75" customHeight="1" x14ac:dyDescent="0.25">
      <c r="A769" s="7"/>
      <c r="B769" s="7"/>
      <c r="C769" s="14"/>
      <c r="D769" s="14"/>
      <c r="E769" s="5"/>
      <c r="F769" s="5"/>
      <c r="G769" s="5"/>
      <c r="H769" s="6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ht="15.75" customHeight="1" x14ac:dyDescent="0.25">
      <c r="A770" s="7"/>
      <c r="B770" s="7"/>
      <c r="C770" s="14"/>
      <c r="D770" s="14"/>
      <c r="E770" s="5"/>
      <c r="F770" s="5"/>
      <c r="G770" s="5"/>
      <c r="H770" s="6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ht="15.75" customHeight="1" x14ac:dyDescent="0.25">
      <c r="A771" s="7"/>
      <c r="B771" s="7"/>
      <c r="C771" s="14"/>
      <c r="D771" s="14"/>
      <c r="E771" s="5"/>
      <c r="F771" s="5"/>
      <c r="G771" s="5"/>
      <c r="H771" s="6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ht="15.75" customHeight="1" x14ac:dyDescent="0.25">
      <c r="A772" s="7"/>
      <c r="B772" s="7"/>
      <c r="C772" s="14"/>
      <c r="D772" s="14"/>
      <c r="E772" s="5"/>
      <c r="F772" s="5"/>
      <c r="G772" s="5"/>
      <c r="H772" s="6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ht="15.75" customHeight="1" x14ac:dyDescent="0.25">
      <c r="A773" s="7"/>
      <c r="B773" s="7"/>
      <c r="C773" s="14"/>
      <c r="D773" s="14"/>
      <c r="E773" s="5"/>
      <c r="F773" s="5"/>
      <c r="G773" s="5"/>
      <c r="H773" s="6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ht="15.75" customHeight="1" x14ac:dyDescent="0.25">
      <c r="A774" s="7"/>
      <c r="B774" s="7"/>
      <c r="C774" s="14"/>
      <c r="D774" s="14"/>
      <c r="E774" s="5"/>
      <c r="F774" s="5"/>
      <c r="G774" s="5"/>
      <c r="H774" s="6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ht="15.75" customHeight="1" x14ac:dyDescent="0.25">
      <c r="A775" s="7"/>
      <c r="B775" s="7"/>
      <c r="C775" s="14"/>
      <c r="D775" s="14"/>
      <c r="E775" s="5"/>
      <c r="F775" s="5"/>
      <c r="G775" s="5"/>
      <c r="H775" s="6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ht="15.75" customHeight="1" x14ac:dyDescent="0.25">
      <c r="A776" s="7"/>
      <c r="B776" s="7"/>
      <c r="C776" s="14"/>
      <c r="D776" s="14"/>
      <c r="E776" s="5"/>
      <c r="F776" s="5"/>
      <c r="G776" s="5"/>
      <c r="H776" s="6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ht="15.75" customHeight="1" x14ac:dyDescent="0.25">
      <c r="A777" s="7"/>
      <c r="B777" s="7"/>
      <c r="C777" s="14"/>
      <c r="D777" s="14"/>
      <c r="E777" s="5"/>
      <c r="F777" s="5"/>
      <c r="G777" s="5"/>
      <c r="H777" s="6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ht="15.75" customHeight="1" x14ac:dyDescent="0.25">
      <c r="A778" s="7"/>
      <c r="B778" s="7"/>
      <c r="C778" s="14"/>
      <c r="D778" s="14"/>
      <c r="E778" s="5"/>
      <c r="F778" s="5"/>
      <c r="G778" s="5"/>
      <c r="H778" s="6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ht="15.75" customHeight="1" x14ac:dyDescent="0.25">
      <c r="A779" s="7"/>
      <c r="B779" s="7"/>
      <c r="C779" s="14"/>
      <c r="D779" s="14"/>
      <c r="E779" s="5"/>
      <c r="F779" s="5"/>
      <c r="G779" s="5"/>
      <c r="H779" s="6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ht="15.75" customHeight="1" x14ac:dyDescent="0.25">
      <c r="A780" s="7"/>
      <c r="B780" s="7"/>
      <c r="C780" s="14"/>
      <c r="D780" s="14"/>
      <c r="E780" s="5"/>
      <c r="F780" s="5"/>
      <c r="G780" s="5"/>
      <c r="H780" s="6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ht="15.75" customHeight="1" x14ac:dyDescent="0.25">
      <c r="A781" s="7"/>
      <c r="B781" s="7"/>
      <c r="C781" s="14"/>
      <c r="D781" s="14"/>
      <c r="E781" s="5"/>
      <c r="F781" s="5"/>
      <c r="G781" s="5"/>
      <c r="H781" s="6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ht="15.75" customHeight="1" x14ac:dyDescent="0.25">
      <c r="A782" s="7"/>
      <c r="B782" s="7"/>
      <c r="C782" s="14"/>
      <c r="D782" s="14"/>
      <c r="E782" s="5"/>
      <c r="F782" s="5"/>
      <c r="G782" s="5"/>
      <c r="H782" s="6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ht="15.75" customHeight="1" x14ac:dyDescent="0.25">
      <c r="A783" s="7"/>
      <c r="B783" s="7"/>
      <c r="C783" s="14"/>
      <c r="D783" s="14"/>
      <c r="E783" s="5"/>
      <c r="F783" s="5"/>
      <c r="G783" s="5"/>
      <c r="H783" s="6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ht="15.75" customHeight="1" x14ac:dyDescent="0.25">
      <c r="A784" s="7"/>
      <c r="B784" s="7"/>
      <c r="C784" s="14"/>
      <c r="D784" s="14"/>
      <c r="E784" s="5"/>
      <c r="F784" s="5"/>
      <c r="G784" s="5"/>
      <c r="H784" s="6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ht="15.75" customHeight="1" x14ac:dyDescent="0.25">
      <c r="A785" s="7"/>
      <c r="B785" s="7"/>
      <c r="C785" s="14"/>
      <c r="D785" s="14"/>
      <c r="E785" s="5"/>
      <c r="F785" s="5"/>
      <c r="G785" s="5"/>
      <c r="H785" s="6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ht="15.75" customHeight="1" x14ac:dyDescent="0.25">
      <c r="A786" s="7"/>
      <c r="B786" s="7"/>
      <c r="C786" s="14"/>
      <c r="D786" s="14"/>
      <c r="E786" s="5"/>
      <c r="F786" s="5"/>
      <c r="G786" s="5"/>
      <c r="H786" s="6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ht="15.75" customHeight="1" x14ac:dyDescent="0.25">
      <c r="A787" s="7"/>
      <c r="B787" s="7"/>
      <c r="C787" s="14"/>
      <c r="D787" s="14"/>
      <c r="E787" s="5"/>
      <c r="F787" s="5"/>
      <c r="G787" s="5"/>
      <c r="H787" s="6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ht="15.75" customHeight="1" x14ac:dyDescent="0.25">
      <c r="A788" s="7"/>
      <c r="B788" s="7"/>
      <c r="C788" s="14"/>
      <c r="D788" s="14"/>
      <c r="E788" s="5"/>
      <c r="F788" s="5"/>
      <c r="G788" s="5"/>
      <c r="H788" s="6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ht="15.75" customHeight="1" x14ac:dyDescent="0.25">
      <c r="A789" s="7"/>
      <c r="B789" s="7"/>
      <c r="C789" s="14"/>
      <c r="D789" s="14"/>
      <c r="E789" s="5"/>
      <c r="F789" s="5"/>
      <c r="G789" s="5"/>
      <c r="H789" s="6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ht="15.75" customHeight="1" x14ac:dyDescent="0.25">
      <c r="A790" s="7"/>
      <c r="B790" s="7"/>
      <c r="C790" s="14"/>
      <c r="D790" s="14"/>
      <c r="E790" s="5"/>
      <c r="F790" s="5"/>
      <c r="G790" s="5"/>
      <c r="H790" s="6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ht="15.75" customHeight="1" x14ac:dyDescent="0.25">
      <c r="A791" s="7"/>
      <c r="B791" s="7"/>
      <c r="C791" s="14"/>
      <c r="D791" s="14"/>
      <c r="E791" s="5"/>
      <c r="F791" s="5"/>
      <c r="G791" s="5"/>
      <c r="H791" s="6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ht="15.75" customHeight="1" x14ac:dyDescent="0.25">
      <c r="A792" s="7"/>
      <c r="B792" s="7"/>
      <c r="C792" s="14"/>
      <c r="D792" s="14"/>
      <c r="E792" s="5"/>
      <c r="F792" s="5"/>
      <c r="G792" s="5"/>
      <c r="H792" s="6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ht="15.75" customHeight="1" x14ac:dyDescent="0.25">
      <c r="A793" s="7"/>
      <c r="B793" s="7"/>
      <c r="C793" s="14"/>
      <c r="D793" s="14"/>
      <c r="E793" s="5"/>
      <c r="F793" s="5"/>
      <c r="G793" s="5"/>
      <c r="H793" s="6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ht="15.75" customHeight="1" x14ac:dyDescent="0.25">
      <c r="A794" s="7"/>
      <c r="B794" s="7"/>
      <c r="C794" s="14"/>
      <c r="D794" s="14"/>
      <c r="E794" s="5"/>
      <c r="F794" s="5"/>
      <c r="G794" s="5"/>
      <c r="H794" s="6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ht="15.75" customHeight="1" x14ac:dyDescent="0.25">
      <c r="A795" s="7"/>
      <c r="B795" s="7"/>
      <c r="C795" s="14"/>
      <c r="D795" s="14"/>
      <c r="E795" s="5"/>
      <c r="F795" s="5"/>
      <c r="G795" s="5"/>
      <c r="H795" s="6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ht="15.75" customHeight="1" x14ac:dyDescent="0.25">
      <c r="A796" s="7"/>
      <c r="B796" s="7"/>
      <c r="C796" s="14"/>
      <c r="D796" s="14"/>
      <c r="E796" s="5"/>
      <c r="F796" s="5"/>
      <c r="G796" s="5"/>
      <c r="H796" s="6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ht="15.75" customHeight="1" x14ac:dyDescent="0.25">
      <c r="A797" s="7"/>
      <c r="B797" s="7"/>
      <c r="C797" s="14"/>
      <c r="D797" s="14"/>
      <c r="E797" s="5"/>
      <c r="F797" s="5"/>
      <c r="G797" s="5"/>
      <c r="H797" s="6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ht="15.75" customHeight="1" x14ac:dyDescent="0.25">
      <c r="A798" s="7"/>
      <c r="B798" s="7"/>
      <c r="C798" s="14"/>
      <c r="D798" s="14"/>
      <c r="E798" s="5"/>
      <c r="F798" s="5"/>
      <c r="G798" s="5"/>
      <c r="H798" s="6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ht="15.75" customHeight="1" x14ac:dyDescent="0.25">
      <c r="A799" s="7"/>
      <c r="B799" s="7"/>
      <c r="C799" s="14"/>
      <c r="D799" s="14"/>
      <c r="E799" s="5"/>
      <c r="F799" s="5"/>
      <c r="G799" s="5"/>
      <c r="H799" s="6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ht="15.75" customHeight="1" x14ac:dyDescent="0.25">
      <c r="A800" s="7"/>
      <c r="B800" s="7"/>
      <c r="C800" s="14"/>
      <c r="D800" s="14"/>
      <c r="E800" s="5"/>
      <c r="F800" s="5"/>
      <c r="G800" s="5"/>
      <c r="H800" s="6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ht="15.75" customHeight="1" x14ac:dyDescent="0.25">
      <c r="A801" s="7"/>
      <c r="B801" s="7"/>
      <c r="C801" s="14"/>
      <c r="D801" s="14"/>
      <c r="E801" s="5"/>
      <c r="F801" s="5"/>
      <c r="G801" s="5"/>
      <c r="H801" s="6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ht="15.75" customHeight="1" x14ac:dyDescent="0.25">
      <c r="A802" s="7"/>
      <c r="B802" s="7"/>
      <c r="C802" s="14"/>
      <c r="D802" s="14"/>
      <c r="E802" s="5"/>
      <c r="F802" s="5"/>
      <c r="G802" s="5"/>
      <c r="H802" s="6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ht="15.75" customHeight="1" x14ac:dyDescent="0.25">
      <c r="A803" s="7"/>
      <c r="B803" s="7"/>
      <c r="C803" s="14"/>
      <c r="D803" s="14"/>
      <c r="E803" s="5"/>
      <c r="F803" s="5"/>
      <c r="G803" s="5"/>
      <c r="H803" s="6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ht="15.75" customHeight="1" x14ac:dyDescent="0.25">
      <c r="A804" s="7"/>
      <c r="B804" s="7"/>
      <c r="C804" s="14"/>
      <c r="D804" s="14"/>
      <c r="E804" s="5"/>
      <c r="F804" s="5"/>
      <c r="G804" s="5"/>
      <c r="H804" s="6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ht="15.75" customHeight="1" x14ac:dyDescent="0.25">
      <c r="A805" s="7"/>
      <c r="B805" s="7"/>
      <c r="C805" s="14"/>
      <c r="D805" s="14"/>
      <c r="E805" s="5"/>
      <c r="F805" s="5"/>
      <c r="G805" s="5"/>
      <c r="H805" s="6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ht="15.75" customHeight="1" x14ac:dyDescent="0.25">
      <c r="A806" s="7"/>
      <c r="B806" s="7"/>
      <c r="C806" s="14"/>
      <c r="D806" s="14"/>
      <c r="E806" s="5"/>
      <c r="F806" s="5"/>
      <c r="G806" s="5"/>
      <c r="H806" s="6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ht="15.75" customHeight="1" x14ac:dyDescent="0.25">
      <c r="A807" s="7"/>
      <c r="B807" s="7"/>
      <c r="C807" s="14"/>
      <c r="D807" s="14"/>
      <c r="E807" s="5"/>
      <c r="F807" s="5"/>
      <c r="G807" s="5"/>
      <c r="H807" s="6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ht="15.75" customHeight="1" x14ac:dyDescent="0.25">
      <c r="A808" s="7"/>
      <c r="B808" s="7"/>
      <c r="C808" s="14"/>
      <c r="D808" s="14"/>
      <c r="E808" s="5"/>
      <c r="F808" s="5"/>
      <c r="G808" s="5"/>
      <c r="H808" s="6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ht="15.75" customHeight="1" x14ac:dyDescent="0.25">
      <c r="A809" s="7"/>
      <c r="B809" s="7"/>
      <c r="C809" s="14"/>
      <c r="D809" s="14"/>
      <c r="E809" s="5"/>
      <c r="F809" s="5"/>
      <c r="G809" s="5"/>
      <c r="H809" s="6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ht="15.75" customHeight="1" x14ac:dyDescent="0.25">
      <c r="A810" s="7"/>
      <c r="B810" s="7"/>
      <c r="C810" s="14"/>
      <c r="D810" s="14"/>
      <c r="E810" s="5"/>
      <c r="F810" s="5"/>
      <c r="G810" s="5"/>
      <c r="H810" s="6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ht="15.75" customHeight="1" x14ac:dyDescent="0.25">
      <c r="A811" s="7"/>
      <c r="B811" s="7"/>
      <c r="C811" s="14"/>
      <c r="D811" s="14"/>
      <c r="E811" s="5"/>
      <c r="F811" s="5"/>
      <c r="G811" s="5"/>
      <c r="H811" s="6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ht="15.75" customHeight="1" x14ac:dyDescent="0.25">
      <c r="A812" s="7"/>
      <c r="B812" s="7"/>
      <c r="C812" s="14"/>
      <c r="D812" s="14"/>
      <c r="E812" s="5"/>
      <c r="F812" s="5"/>
      <c r="G812" s="5"/>
      <c r="H812" s="6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ht="15.75" customHeight="1" x14ac:dyDescent="0.25">
      <c r="A813" s="7"/>
      <c r="B813" s="7"/>
      <c r="C813" s="14"/>
      <c r="D813" s="14"/>
      <c r="E813" s="5"/>
      <c r="F813" s="5"/>
      <c r="G813" s="5"/>
      <c r="H813" s="6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ht="15.75" customHeight="1" x14ac:dyDescent="0.25">
      <c r="A814" s="7"/>
      <c r="B814" s="7"/>
      <c r="C814" s="14"/>
      <c r="D814" s="14"/>
      <c r="E814" s="5"/>
      <c r="F814" s="5"/>
      <c r="G814" s="5"/>
      <c r="H814" s="6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ht="15.75" customHeight="1" x14ac:dyDescent="0.25">
      <c r="A815" s="7"/>
      <c r="B815" s="7"/>
      <c r="C815" s="14"/>
      <c r="D815" s="14"/>
      <c r="E815" s="5"/>
      <c r="F815" s="5"/>
      <c r="G815" s="5"/>
      <c r="H815" s="6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ht="15.75" customHeight="1" x14ac:dyDescent="0.25">
      <c r="A816" s="7"/>
      <c r="B816" s="7"/>
      <c r="C816" s="14"/>
      <c r="D816" s="14"/>
      <c r="E816" s="5"/>
      <c r="F816" s="5"/>
      <c r="G816" s="5"/>
      <c r="H816" s="6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ht="15.75" customHeight="1" x14ac:dyDescent="0.25">
      <c r="A817" s="7"/>
      <c r="B817" s="7"/>
      <c r="C817" s="14"/>
      <c r="D817" s="14"/>
      <c r="E817" s="5"/>
      <c r="F817" s="5"/>
      <c r="G817" s="5"/>
      <c r="H817" s="6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ht="15.75" customHeight="1" x14ac:dyDescent="0.25">
      <c r="A818" s="7"/>
      <c r="B818" s="7"/>
      <c r="C818" s="14"/>
      <c r="D818" s="14"/>
      <c r="E818" s="5"/>
      <c r="F818" s="5"/>
      <c r="G818" s="5"/>
      <c r="H818" s="6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ht="15.75" customHeight="1" x14ac:dyDescent="0.25">
      <c r="A819" s="7"/>
      <c r="B819" s="7"/>
      <c r="C819" s="14"/>
      <c r="D819" s="14"/>
      <c r="E819" s="5"/>
      <c r="F819" s="5"/>
      <c r="G819" s="5"/>
      <c r="H819" s="6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ht="15.75" customHeight="1" x14ac:dyDescent="0.25">
      <c r="A820" s="7"/>
      <c r="B820" s="7"/>
      <c r="C820" s="14"/>
      <c r="D820" s="14"/>
      <c r="E820" s="5"/>
      <c r="F820" s="5"/>
      <c r="G820" s="5"/>
      <c r="H820" s="6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ht="15.75" customHeight="1" x14ac:dyDescent="0.25">
      <c r="A821" s="7"/>
      <c r="B821" s="7"/>
      <c r="C821" s="14"/>
      <c r="D821" s="14"/>
      <c r="E821" s="5"/>
      <c r="F821" s="5"/>
      <c r="G821" s="5"/>
      <c r="H821" s="6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ht="15.75" customHeight="1" x14ac:dyDescent="0.25">
      <c r="A822" s="7"/>
      <c r="B822" s="7"/>
      <c r="C822" s="14"/>
      <c r="D822" s="14"/>
      <c r="E822" s="5"/>
      <c r="F822" s="5"/>
      <c r="G822" s="5"/>
      <c r="H822" s="6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ht="15.75" customHeight="1" x14ac:dyDescent="0.25">
      <c r="A823" s="7"/>
      <c r="B823" s="7"/>
      <c r="C823" s="14"/>
      <c r="D823" s="14"/>
      <c r="E823" s="5"/>
      <c r="F823" s="5"/>
      <c r="G823" s="5"/>
      <c r="H823" s="6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ht="15.75" customHeight="1" x14ac:dyDescent="0.25">
      <c r="A824" s="7"/>
      <c r="B824" s="7"/>
      <c r="C824" s="14"/>
      <c r="D824" s="14"/>
      <c r="E824" s="5"/>
      <c r="F824" s="5"/>
      <c r="G824" s="5"/>
      <c r="H824" s="6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ht="15.75" customHeight="1" x14ac:dyDescent="0.25">
      <c r="A825" s="7"/>
      <c r="B825" s="7"/>
      <c r="C825" s="14"/>
      <c r="D825" s="14"/>
      <c r="E825" s="5"/>
      <c r="F825" s="5"/>
      <c r="G825" s="5"/>
      <c r="H825" s="6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ht="15.75" customHeight="1" x14ac:dyDescent="0.25">
      <c r="A826" s="7"/>
      <c r="B826" s="7"/>
      <c r="C826" s="14"/>
      <c r="D826" s="14"/>
      <c r="E826" s="5"/>
      <c r="F826" s="5"/>
      <c r="G826" s="5"/>
      <c r="H826" s="6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ht="15.75" customHeight="1" x14ac:dyDescent="0.25">
      <c r="A827" s="7"/>
      <c r="B827" s="7"/>
      <c r="C827" s="14"/>
      <c r="D827" s="14"/>
      <c r="E827" s="5"/>
      <c r="F827" s="5"/>
      <c r="G827" s="5"/>
      <c r="H827" s="6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ht="15.75" customHeight="1" x14ac:dyDescent="0.25">
      <c r="A828" s="7"/>
      <c r="B828" s="7"/>
      <c r="C828" s="14"/>
      <c r="D828" s="14"/>
      <c r="E828" s="5"/>
      <c r="F828" s="5"/>
      <c r="G828" s="5"/>
      <c r="H828" s="6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ht="15.75" customHeight="1" x14ac:dyDescent="0.25">
      <c r="A829" s="7"/>
      <c r="B829" s="7"/>
      <c r="C829" s="14"/>
      <c r="D829" s="14"/>
      <c r="E829" s="5"/>
      <c r="F829" s="5"/>
      <c r="G829" s="5"/>
      <c r="H829" s="6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ht="15.75" customHeight="1" x14ac:dyDescent="0.25">
      <c r="A830" s="7"/>
      <c r="B830" s="7"/>
      <c r="C830" s="14"/>
      <c r="D830" s="14"/>
      <c r="E830" s="5"/>
      <c r="F830" s="5"/>
      <c r="G830" s="5"/>
      <c r="H830" s="6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ht="15.75" customHeight="1" x14ac:dyDescent="0.25">
      <c r="A831" s="7"/>
      <c r="B831" s="7"/>
      <c r="C831" s="14"/>
      <c r="D831" s="14"/>
      <c r="E831" s="5"/>
      <c r="F831" s="5"/>
      <c r="G831" s="5"/>
      <c r="H831" s="6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ht="15.75" customHeight="1" x14ac:dyDescent="0.25">
      <c r="A832" s="7"/>
      <c r="B832" s="7"/>
      <c r="C832" s="14"/>
      <c r="D832" s="14"/>
      <c r="E832" s="5"/>
      <c r="F832" s="5"/>
      <c r="G832" s="5"/>
      <c r="H832" s="6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ht="15.75" customHeight="1" x14ac:dyDescent="0.25">
      <c r="A833" s="7"/>
      <c r="B833" s="7"/>
      <c r="C833" s="14"/>
      <c r="D833" s="14"/>
      <c r="E833" s="5"/>
      <c r="F833" s="5"/>
      <c r="G833" s="5"/>
      <c r="H833" s="6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ht="15.75" customHeight="1" x14ac:dyDescent="0.25">
      <c r="A834" s="7"/>
      <c r="B834" s="7"/>
      <c r="C834" s="14"/>
      <c r="D834" s="14"/>
      <c r="E834" s="5"/>
      <c r="F834" s="5"/>
      <c r="G834" s="5"/>
      <c r="H834" s="6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ht="15.75" customHeight="1" x14ac:dyDescent="0.25">
      <c r="A835" s="7"/>
      <c r="B835" s="7"/>
      <c r="C835" s="14"/>
      <c r="D835" s="14"/>
      <c r="E835" s="5"/>
      <c r="F835" s="5"/>
      <c r="G835" s="5"/>
      <c r="H835" s="6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ht="15.75" customHeight="1" x14ac:dyDescent="0.25">
      <c r="A836" s="7"/>
      <c r="B836" s="7"/>
      <c r="C836" s="14"/>
      <c r="D836" s="14"/>
      <c r="E836" s="5"/>
      <c r="F836" s="5"/>
      <c r="G836" s="5"/>
      <c r="H836" s="6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ht="15.75" customHeight="1" x14ac:dyDescent="0.25">
      <c r="A837" s="7"/>
      <c r="B837" s="7"/>
      <c r="C837" s="14"/>
      <c r="D837" s="14"/>
      <c r="E837" s="5"/>
      <c r="F837" s="5"/>
      <c r="G837" s="5"/>
      <c r="H837" s="6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ht="15.75" customHeight="1" x14ac:dyDescent="0.25">
      <c r="A838" s="7"/>
      <c r="B838" s="7"/>
      <c r="C838" s="14"/>
      <c r="D838" s="14"/>
      <c r="E838" s="5"/>
      <c r="F838" s="5"/>
      <c r="G838" s="5"/>
      <c r="H838" s="6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ht="15.75" customHeight="1" x14ac:dyDescent="0.25">
      <c r="A839" s="7"/>
      <c r="B839" s="7"/>
      <c r="C839" s="14"/>
      <c r="D839" s="14"/>
      <c r="E839" s="5"/>
      <c r="F839" s="5"/>
      <c r="G839" s="5"/>
      <c r="H839" s="6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ht="15.75" customHeight="1" x14ac:dyDescent="0.25">
      <c r="A840" s="7"/>
      <c r="B840" s="7"/>
      <c r="C840" s="14"/>
      <c r="D840" s="14"/>
      <c r="E840" s="5"/>
      <c r="F840" s="5"/>
      <c r="G840" s="5"/>
      <c r="H840" s="6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ht="15.75" customHeight="1" x14ac:dyDescent="0.25">
      <c r="A841" s="7"/>
      <c r="B841" s="7"/>
      <c r="C841" s="14"/>
      <c r="D841" s="14"/>
      <c r="E841" s="5"/>
      <c r="F841" s="5"/>
      <c r="G841" s="5"/>
      <c r="H841" s="6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ht="15.75" customHeight="1" x14ac:dyDescent="0.25">
      <c r="A842" s="7"/>
      <c r="B842" s="7"/>
      <c r="C842" s="14"/>
      <c r="D842" s="14"/>
      <c r="E842" s="5"/>
      <c r="F842" s="5"/>
      <c r="G842" s="5"/>
      <c r="H842" s="6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ht="15.75" customHeight="1" x14ac:dyDescent="0.25">
      <c r="A843" s="7"/>
      <c r="B843" s="7"/>
      <c r="C843" s="14"/>
      <c r="D843" s="14"/>
      <c r="E843" s="5"/>
      <c r="F843" s="5"/>
      <c r="G843" s="5"/>
      <c r="H843" s="6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ht="15.75" customHeight="1" x14ac:dyDescent="0.25">
      <c r="A844" s="7"/>
      <c r="B844" s="7"/>
      <c r="C844" s="14"/>
      <c r="D844" s="14"/>
      <c r="E844" s="5"/>
      <c r="F844" s="5"/>
      <c r="G844" s="5"/>
      <c r="H844" s="6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ht="15.75" customHeight="1" x14ac:dyDescent="0.25">
      <c r="A845" s="7"/>
      <c r="B845" s="7"/>
      <c r="C845" s="14"/>
      <c r="D845" s="14"/>
      <c r="E845" s="5"/>
      <c r="F845" s="5"/>
      <c r="G845" s="5"/>
      <c r="H845" s="6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ht="15.75" customHeight="1" x14ac:dyDescent="0.25">
      <c r="A846" s="7"/>
      <c r="B846" s="7"/>
      <c r="C846" s="14"/>
      <c r="D846" s="14"/>
      <c r="E846" s="5"/>
      <c r="F846" s="5"/>
      <c r="G846" s="5"/>
      <c r="H846" s="6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ht="15.75" customHeight="1" x14ac:dyDescent="0.25">
      <c r="A847" s="7"/>
      <c r="B847" s="7"/>
      <c r="C847" s="14"/>
      <c r="D847" s="14"/>
      <c r="E847" s="5"/>
      <c r="F847" s="5"/>
      <c r="G847" s="5"/>
      <c r="H847" s="6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ht="15.75" customHeight="1" x14ac:dyDescent="0.25">
      <c r="A848" s="7"/>
      <c r="B848" s="7"/>
      <c r="C848" s="14"/>
      <c r="D848" s="14"/>
      <c r="E848" s="5"/>
      <c r="F848" s="5"/>
      <c r="G848" s="5"/>
      <c r="H848" s="6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ht="15.75" customHeight="1" x14ac:dyDescent="0.25">
      <c r="A849" s="7"/>
      <c r="B849" s="7"/>
      <c r="C849" s="14"/>
      <c r="D849" s="14"/>
      <c r="E849" s="5"/>
      <c r="F849" s="5"/>
      <c r="G849" s="5"/>
      <c r="H849" s="6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ht="15.75" customHeight="1" x14ac:dyDescent="0.25">
      <c r="A850" s="7"/>
      <c r="B850" s="7"/>
      <c r="C850" s="14"/>
      <c r="D850" s="14"/>
      <c r="E850" s="5"/>
      <c r="F850" s="5"/>
      <c r="G850" s="5"/>
      <c r="H850" s="6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ht="15.75" customHeight="1" x14ac:dyDescent="0.25">
      <c r="A851" s="7"/>
      <c r="B851" s="7"/>
      <c r="C851" s="14"/>
      <c r="D851" s="14"/>
      <c r="E851" s="5"/>
      <c r="F851" s="5"/>
      <c r="G851" s="5"/>
      <c r="H851" s="6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ht="15.75" customHeight="1" x14ac:dyDescent="0.25">
      <c r="A852" s="7"/>
      <c r="B852" s="7"/>
      <c r="C852" s="14"/>
      <c r="D852" s="14"/>
      <c r="E852" s="5"/>
      <c r="F852" s="5"/>
      <c r="G852" s="5"/>
      <c r="H852" s="6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ht="15.75" customHeight="1" x14ac:dyDescent="0.25">
      <c r="A853" s="7"/>
      <c r="B853" s="7"/>
      <c r="C853" s="14"/>
      <c r="D853" s="14"/>
      <c r="E853" s="5"/>
      <c r="F853" s="5"/>
      <c r="G853" s="5"/>
      <c r="H853" s="6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ht="15.75" customHeight="1" x14ac:dyDescent="0.25">
      <c r="A854" s="7"/>
      <c r="B854" s="7"/>
      <c r="C854" s="14"/>
      <c r="D854" s="14"/>
      <c r="E854" s="5"/>
      <c r="F854" s="5"/>
      <c r="G854" s="5"/>
      <c r="H854" s="6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ht="15.75" customHeight="1" x14ac:dyDescent="0.25">
      <c r="A855" s="7"/>
      <c r="B855" s="7"/>
      <c r="C855" s="14"/>
      <c r="D855" s="14"/>
      <c r="E855" s="5"/>
      <c r="F855" s="5"/>
      <c r="G855" s="5"/>
      <c r="H855" s="6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ht="15.75" customHeight="1" x14ac:dyDescent="0.25">
      <c r="A856" s="7"/>
      <c r="B856" s="7"/>
      <c r="C856" s="14"/>
      <c r="D856" s="14"/>
      <c r="E856" s="5"/>
      <c r="F856" s="5"/>
      <c r="G856" s="5"/>
      <c r="H856" s="6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ht="15.75" customHeight="1" x14ac:dyDescent="0.25">
      <c r="A857" s="7"/>
      <c r="B857" s="7"/>
      <c r="C857" s="14"/>
      <c r="D857" s="14"/>
      <c r="E857" s="5"/>
      <c r="F857" s="5"/>
      <c r="G857" s="5"/>
      <c r="H857" s="6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ht="15.75" customHeight="1" x14ac:dyDescent="0.25">
      <c r="A858" s="7"/>
      <c r="B858" s="7"/>
      <c r="C858" s="14"/>
      <c r="D858" s="14"/>
      <c r="E858" s="5"/>
      <c r="F858" s="5"/>
      <c r="G858" s="5"/>
      <c r="H858" s="6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ht="15.75" customHeight="1" x14ac:dyDescent="0.25">
      <c r="A859" s="7"/>
      <c r="B859" s="7"/>
      <c r="C859" s="14"/>
      <c r="D859" s="14"/>
      <c r="E859" s="5"/>
      <c r="F859" s="5"/>
      <c r="G859" s="5"/>
      <c r="H859" s="6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ht="15.75" customHeight="1" x14ac:dyDescent="0.25">
      <c r="A860" s="7"/>
      <c r="B860" s="7"/>
      <c r="C860" s="14"/>
      <c r="D860" s="14"/>
      <c r="E860" s="5"/>
      <c r="F860" s="5"/>
      <c r="G860" s="5"/>
      <c r="H860" s="6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ht="15.75" customHeight="1" x14ac:dyDescent="0.25">
      <c r="A861" s="7"/>
      <c r="B861" s="7"/>
      <c r="C861" s="14"/>
      <c r="D861" s="14"/>
      <c r="E861" s="5"/>
      <c r="F861" s="5"/>
      <c r="G861" s="5"/>
      <c r="H861" s="6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ht="15.75" customHeight="1" x14ac:dyDescent="0.25">
      <c r="A862" s="7"/>
      <c r="B862" s="7"/>
      <c r="C862" s="14"/>
      <c r="D862" s="14"/>
      <c r="E862" s="5"/>
      <c r="F862" s="5"/>
      <c r="G862" s="5"/>
      <c r="H862" s="6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ht="15.75" customHeight="1" x14ac:dyDescent="0.25">
      <c r="A863" s="7"/>
      <c r="B863" s="7"/>
      <c r="C863" s="14"/>
      <c r="D863" s="14"/>
      <c r="E863" s="5"/>
      <c r="F863" s="5"/>
      <c r="G863" s="5"/>
      <c r="H863" s="6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ht="15.75" customHeight="1" x14ac:dyDescent="0.25">
      <c r="A864" s="7"/>
      <c r="B864" s="7"/>
      <c r="C864" s="14"/>
      <c r="D864" s="14"/>
      <c r="E864" s="5"/>
      <c r="F864" s="5"/>
      <c r="G864" s="5"/>
      <c r="H864" s="6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ht="15.75" customHeight="1" x14ac:dyDescent="0.25">
      <c r="A865" s="7"/>
      <c r="B865" s="7"/>
      <c r="C865" s="14"/>
      <c r="D865" s="14"/>
      <c r="E865" s="5"/>
      <c r="F865" s="5"/>
      <c r="G865" s="5"/>
      <c r="H865" s="6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ht="15.75" customHeight="1" x14ac:dyDescent="0.25">
      <c r="A866" s="7"/>
      <c r="B866" s="7"/>
      <c r="C866" s="14"/>
      <c r="D866" s="14"/>
      <c r="E866" s="5"/>
      <c r="F866" s="5"/>
      <c r="G866" s="5"/>
      <c r="H866" s="6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ht="15.75" customHeight="1" x14ac:dyDescent="0.25">
      <c r="A867" s="7"/>
      <c r="B867" s="7"/>
      <c r="C867" s="14"/>
      <c r="D867" s="14"/>
      <c r="E867" s="5"/>
      <c r="F867" s="5"/>
      <c r="G867" s="5"/>
      <c r="H867" s="6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ht="15.75" customHeight="1" x14ac:dyDescent="0.25">
      <c r="A868" s="7"/>
      <c r="B868" s="7"/>
      <c r="C868" s="14"/>
      <c r="D868" s="14"/>
      <c r="E868" s="5"/>
      <c r="F868" s="5"/>
      <c r="G868" s="5"/>
      <c r="H868" s="6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ht="15.75" customHeight="1" x14ac:dyDescent="0.25">
      <c r="A869" s="7"/>
      <c r="B869" s="7"/>
      <c r="C869" s="14"/>
      <c r="D869" s="14"/>
      <c r="E869" s="5"/>
      <c r="F869" s="5"/>
      <c r="G869" s="5"/>
      <c r="H869" s="6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ht="15.75" customHeight="1" x14ac:dyDescent="0.25">
      <c r="A870" s="7"/>
      <c r="B870" s="7"/>
      <c r="C870" s="14"/>
      <c r="D870" s="14"/>
      <c r="E870" s="5"/>
      <c r="F870" s="5"/>
      <c r="G870" s="5"/>
      <c r="H870" s="6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ht="15.75" customHeight="1" x14ac:dyDescent="0.25">
      <c r="A871" s="7"/>
      <c r="B871" s="7"/>
      <c r="C871" s="14"/>
      <c r="D871" s="14"/>
      <c r="E871" s="5"/>
      <c r="F871" s="5"/>
      <c r="G871" s="5"/>
      <c r="H871" s="6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ht="15.75" customHeight="1" x14ac:dyDescent="0.25">
      <c r="A872" s="7"/>
      <c r="B872" s="7"/>
      <c r="C872" s="14"/>
      <c r="D872" s="14"/>
      <c r="E872" s="5"/>
      <c r="F872" s="5"/>
      <c r="G872" s="5"/>
      <c r="H872" s="6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ht="15.75" customHeight="1" x14ac:dyDescent="0.25">
      <c r="A873" s="7"/>
      <c r="B873" s="7"/>
      <c r="C873" s="14"/>
      <c r="D873" s="14"/>
      <c r="E873" s="5"/>
      <c r="F873" s="5"/>
      <c r="G873" s="5"/>
      <c r="H873" s="6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ht="15.75" customHeight="1" x14ac:dyDescent="0.25">
      <c r="A874" s="7"/>
      <c r="B874" s="7"/>
      <c r="C874" s="14"/>
      <c r="D874" s="14"/>
      <c r="E874" s="5"/>
      <c r="F874" s="5"/>
      <c r="G874" s="5"/>
      <c r="H874" s="6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ht="15.75" customHeight="1" x14ac:dyDescent="0.25">
      <c r="A875" s="7"/>
      <c r="B875" s="7"/>
      <c r="C875" s="14"/>
      <c r="D875" s="14"/>
      <c r="E875" s="5"/>
      <c r="F875" s="5"/>
      <c r="G875" s="5"/>
      <c r="H875" s="6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ht="15.75" customHeight="1" x14ac:dyDescent="0.25">
      <c r="A876" s="7"/>
      <c r="B876" s="7"/>
      <c r="C876" s="14"/>
      <c r="D876" s="14"/>
      <c r="E876" s="5"/>
      <c r="F876" s="5"/>
      <c r="G876" s="5"/>
      <c r="H876" s="6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ht="15.75" customHeight="1" x14ac:dyDescent="0.25">
      <c r="A877" s="7"/>
      <c r="B877" s="7"/>
      <c r="C877" s="14"/>
      <c r="D877" s="14"/>
      <c r="E877" s="5"/>
      <c r="F877" s="5"/>
      <c r="G877" s="5"/>
      <c r="H877" s="6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ht="15.75" customHeight="1" x14ac:dyDescent="0.25">
      <c r="A878" s="7"/>
      <c r="B878" s="7"/>
      <c r="C878" s="14"/>
      <c r="D878" s="14"/>
      <c r="E878" s="5"/>
      <c r="F878" s="5"/>
      <c r="G878" s="5"/>
      <c r="H878" s="6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ht="15.75" customHeight="1" x14ac:dyDescent="0.25">
      <c r="A879" s="7"/>
      <c r="B879" s="7"/>
      <c r="C879" s="14"/>
      <c r="D879" s="14"/>
      <c r="E879" s="5"/>
      <c r="F879" s="5"/>
      <c r="G879" s="5"/>
      <c r="H879" s="6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ht="15.75" customHeight="1" x14ac:dyDescent="0.25">
      <c r="A880" s="7"/>
      <c r="B880" s="7"/>
      <c r="C880" s="14"/>
      <c r="D880" s="14"/>
      <c r="E880" s="5"/>
      <c r="F880" s="5"/>
      <c r="G880" s="5"/>
      <c r="H880" s="6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ht="15.75" customHeight="1" x14ac:dyDescent="0.25">
      <c r="A881" s="7"/>
      <c r="B881" s="7"/>
      <c r="C881" s="14"/>
      <c r="D881" s="14"/>
      <c r="E881" s="5"/>
      <c r="F881" s="5"/>
      <c r="G881" s="5"/>
      <c r="H881" s="6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ht="15.75" customHeight="1" x14ac:dyDescent="0.25">
      <c r="A882" s="7"/>
      <c r="B882" s="7"/>
      <c r="C882" s="14"/>
      <c r="D882" s="14"/>
      <c r="E882" s="5"/>
      <c r="F882" s="5"/>
      <c r="G882" s="5"/>
      <c r="H882" s="6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ht="15.75" customHeight="1" x14ac:dyDescent="0.25">
      <c r="A883" s="7"/>
      <c r="B883" s="7"/>
      <c r="C883" s="14"/>
      <c r="D883" s="14"/>
      <c r="E883" s="5"/>
      <c r="F883" s="5"/>
      <c r="G883" s="5"/>
      <c r="H883" s="6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ht="15.75" customHeight="1" x14ac:dyDescent="0.25">
      <c r="A884" s="7"/>
      <c r="B884" s="7"/>
      <c r="C884" s="14"/>
      <c r="D884" s="14"/>
      <c r="E884" s="5"/>
      <c r="F884" s="5"/>
      <c r="G884" s="5"/>
      <c r="H884" s="6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ht="15.75" customHeight="1" x14ac:dyDescent="0.25">
      <c r="A885" s="7"/>
      <c r="B885" s="7"/>
      <c r="C885" s="14"/>
      <c r="D885" s="14"/>
      <c r="E885" s="5"/>
      <c r="F885" s="5"/>
      <c r="G885" s="5"/>
      <c r="H885" s="6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ht="15.75" customHeight="1" x14ac:dyDescent="0.25">
      <c r="A886" s="7"/>
      <c r="B886" s="7"/>
      <c r="C886" s="14"/>
      <c r="D886" s="14"/>
      <c r="E886" s="5"/>
      <c r="F886" s="5"/>
      <c r="G886" s="5"/>
      <c r="H886" s="6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ht="15.75" customHeight="1" x14ac:dyDescent="0.25">
      <c r="A887" s="7"/>
      <c r="B887" s="7"/>
      <c r="C887" s="14"/>
      <c r="D887" s="14"/>
      <c r="E887" s="5"/>
      <c r="F887" s="5"/>
      <c r="G887" s="5"/>
      <c r="H887" s="6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ht="15.75" customHeight="1" x14ac:dyDescent="0.25">
      <c r="A888" s="7"/>
      <c r="B888" s="7"/>
      <c r="C888" s="14"/>
      <c r="D888" s="14"/>
      <c r="E888" s="5"/>
      <c r="F888" s="5"/>
      <c r="G888" s="5"/>
      <c r="H888" s="6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ht="15.75" customHeight="1" x14ac:dyDescent="0.25">
      <c r="A889" s="7"/>
      <c r="B889" s="7"/>
      <c r="C889" s="14"/>
      <c r="D889" s="14"/>
      <c r="E889" s="5"/>
      <c r="F889" s="5"/>
      <c r="G889" s="5"/>
      <c r="H889" s="6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ht="15.75" customHeight="1" x14ac:dyDescent="0.25">
      <c r="A890" s="7"/>
      <c r="B890" s="7"/>
      <c r="C890" s="14"/>
      <c r="D890" s="14"/>
      <c r="E890" s="5"/>
      <c r="F890" s="5"/>
      <c r="G890" s="5"/>
      <c r="H890" s="6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ht="15.75" customHeight="1" x14ac:dyDescent="0.25">
      <c r="A891" s="7"/>
      <c r="B891" s="7"/>
      <c r="C891" s="14"/>
      <c r="D891" s="14"/>
      <c r="E891" s="5"/>
      <c r="F891" s="5"/>
      <c r="G891" s="5"/>
      <c r="H891" s="6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ht="15.75" customHeight="1" x14ac:dyDescent="0.25">
      <c r="A892" s="7"/>
      <c r="B892" s="7"/>
      <c r="C892" s="14"/>
      <c r="D892" s="14"/>
      <c r="E892" s="5"/>
      <c r="F892" s="5"/>
      <c r="G892" s="5"/>
      <c r="H892" s="6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ht="15.75" customHeight="1" x14ac:dyDescent="0.25">
      <c r="A893" s="7"/>
      <c r="B893" s="7"/>
      <c r="C893" s="14"/>
      <c r="D893" s="14"/>
      <c r="E893" s="5"/>
      <c r="F893" s="5"/>
      <c r="G893" s="5"/>
      <c r="H893" s="6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ht="15.75" customHeight="1" x14ac:dyDescent="0.25">
      <c r="A894" s="7"/>
      <c r="B894" s="7"/>
      <c r="C894" s="14"/>
      <c r="D894" s="14"/>
      <c r="E894" s="5"/>
      <c r="F894" s="5"/>
      <c r="G894" s="5"/>
      <c r="H894" s="6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ht="15.75" customHeight="1" x14ac:dyDescent="0.25">
      <c r="A895" s="7"/>
      <c r="B895" s="7"/>
      <c r="C895" s="14"/>
      <c r="D895" s="14"/>
      <c r="E895" s="5"/>
      <c r="F895" s="5"/>
      <c r="G895" s="5"/>
      <c r="H895" s="6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ht="15.75" customHeight="1" x14ac:dyDescent="0.25">
      <c r="A896" s="7"/>
      <c r="B896" s="7"/>
      <c r="C896" s="14"/>
      <c r="D896" s="14"/>
      <c r="E896" s="5"/>
      <c r="F896" s="5"/>
      <c r="G896" s="5"/>
      <c r="H896" s="6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ht="15.75" customHeight="1" x14ac:dyDescent="0.25">
      <c r="A897" s="7"/>
      <c r="B897" s="7"/>
      <c r="C897" s="14"/>
      <c r="D897" s="14"/>
      <c r="E897" s="5"/>
      <c r="F897" s="5"/>
      <c r="G897" s="5"/>
      <c r="H897" s="6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ht="15.75" customHeight="1" x14ac:dyDescent="0.25">
      <c r="A898" s="7"/>
      <c r="B898" s="7"/>
      <c r="C898" s="14"/>
      <c r="D898" s="14"/>
      <c r="E898" s="5"/>
      <c r="F898" s="5"/>
      <c r="G898" s="5"/>
      <c r="H898" s="6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ht="15.75" customHeight="1" x14ac:dyDescent="0.25">
      <c r="A899" s="7"/>
      <c r="B899" s="7"/>
      <c r="C899" s="14"/>
      <c r="D899" s="14"/>
      <c r="E899" s="5"/>
      <c r="F899" s="5"/>
      <c r="G899" s="5"/>
      <c r="H899" s="6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ht="15.75" customHeight="1" x14ac:dyDescent="0.25">
      <c r="A900" s="7"/>
      <c r="B900" s="7"/>
      <c r="C900" s="14"/>
      <c r="D900" s="14"/>
      <c r="E900" s="5"/>
      <c r="F900" s="5"/>
      <c r="G900" s="5"/>
      <c r="H900" s="6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ht="15.75" customHeight="1" x14ac:dyDescent="0.25">
      <c r="A901" s="7"/>
      <c r="B901" s="7"/>
      <c r="C901" s="14"/>
      <c r="D901" s="14"/>
      <c r="E901" s="5"/>
      <c r="F901" s="5"/>
      <c r="G901" s="5"/>
      <c r="H901" s="6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ht="15.75" customHeight="1" x14ac:dyDescent="0.25">
      <c r="A902" s="7"/>
      <c r="B902" s="7"/>
      <c r="C902" s="14"/>
      <c r="D902" s="14"/>
      <c r="E902" s="5"/>
      <c r="F902" s="5"/>
      <c r="G902" s="5"/>
      <c r="H902" s="6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ht="15.75" customHeight="1" x14ac:dyDescent="0.25">
      <c r="A903" s="7"/>
      <c r="B903" s="7"/>
      <c r="C903" s="14"/>
      <c r="D903" s="14"/>
      <c r="E903" s="5"/>
      <c r="F903" s="5"/>
      <c r="G903" s="5"/>
      <c r="H903" s="6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ht="15.75" customHeight="1" x14ac:dyDescent="0.25">
      <c r="A904" s="7"/>
      <c r="B904" s="7"/>
      <c r="C904" s="14"/>
      <c r="D904" s="14"/>
      <c r="E904" s="5"/>
      <c r="F904" s="5"/>
      <c r="G904" s="5"/>
      <c r="H904" s="6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ht="15.75" customHeight="1" x14ac:dyDescent="0.25">
      <c r="A905" s="7"/>
      <c r="B905" s="7"/>
      <c r="C905" s="14"/>
      <c r="D905" s="14"/>
      <c r="E905" s="5"/>
      <c r="F905" s="5"/>
      <c r="G905" s="5"/>
      <c r="H905" s="6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ht="15.75" customHeight="1" x14ac:dyDescent="0.25">
      <c r="A906" s="7"/>
      <c r="B906" s="7"/>
      <c r="C906" s="14"/>
      <c r="D906" s="14"/>
      <c r="E906" s="5"/>
      <c r="F906" s="5"/>
      <c r="G906" s="5"/>
      <c r="H906" s="6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ht="15.75" customHeight="1" x14ac:dyDescent="0.25">
      <c r="A907" s="7"/>
      <c r="B907" s="7"/>
      <c r="C907" s="14"/>
      <c r="D907" s="14"/>
      <c r="E907" s="5"/>
      <c r="F907" s="5"/>
      <c r="G907" s="5"/>
      <c r="H907" s="6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ht="15.75" customHeight="1" x14ac:dyDescent="0.25">
      <c r="A908" s="7"/>
      <c r="B908" s="7"/>
      <c r="C908" s="14"/>
      <c r="D908" s="14"/>
      <c r="E908" s="5"/>
      <c r="F908" s="5"/>
      <c r="G908" s="5"/>
      <c r="H908" s="6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ht="15.75" customHeight="1" x14ac:dyDescent="0.25">
      <c r="A909" s="7"/>
      <c r="B909" s="7"/>
      <c r="C909" s="14"/>
      <c r="D909" s="14"/>
      <c r="E909" s="5"/>
      <c r="F909" s="5"/>
      <c r="G909" s="5"/>
      <c r="H909" s="6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ht="15.75" customHeight="1" x14ac:dyDescent="0.25">
      <c r="A910" s="7"/>
      <c r="B910" s="7"/>
      <c r="C910" s="14"/>
      <c r="D910" s="14"/>
      <c r="E910" s="5"/>
      <c r="F910" s="5"/>
      <c r="G910" s="5"/>
      <c r="H910" s="6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ht="15.75" customHeight="1" x14ac:dyDescent="0.25">
      <c r="A911" s="7"/>
      <c r="B911" s="7"/>
      <c r="C911" s="14"/>
      <c r="D911" s="14"/>
      <c r="E911" s="5"/>
      <c r="F911" s="5"/>
      <c r="G911" s="5"/>
      <c r="H911" s="6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ht="15.75" customHeight="1" x14ac:dyDescent="0.25">
      <c r="A912" s="7"/>
      <c r="B912" s="7"/>
      <c r="C912" s="14"/>
      <c r="D912" s="14"/>
      <c r="E912" s="5"/>
      <c r="F912" s="5"/>
      <c r="G912" s="5"/>
      <c r="H912" s="6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ht="15.75" customHeight="1" x14ac:dyDescent="0.25">
      <c r="A913" s="7"/>
      <c r="B913" s="7"/>
      <c r="C913" s="14"/>
      <c r="D913" s="14"/>
      <c r="E913" s="5"/>
      <c r="F913" s="5"/>
      <c r="G913" s="5"/>
      <c r="H913" s="6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ht="15.75" customHeight="1" x14ac:dyDescent="0.25">
      <c r="A914" s="7"/>
      <c r="B914" s="7"/>
      <c r="C914" s="14"/>
      <c r="D914" s="14"/>
      <c r="E914" s="5"/>
      <c r="F914" s="5"/>
      <c r="G914" s="5"/>
      <c r="H914" s="6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ht="15.75" customHeight="1" x14ac:dyDescent="0.25">
      <c r="A915" s="7"/>
      <c r="B915" s="7"/>
      <c r="C915" s="14"/>
      <c r="D915" s="14"/>
      <c r="E915" s="5"/>
      <c r="F915" s="5"/>
      <c r="G915" s="5"/>
      <c r="H915" s="6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ht="15.75" customHeight="1" x14ac:dyDescent="0.25">
      <c r="A916" s="7"/>
      <c r="B916" s="7"/>
      <c r="C916" s="14"/>
      <c r="D916" s="14"/>
      <c r="E916" s="5"/>
      <c r="F916" s="5"/>
      <c r="G916" s="5"/>
      <c r="H916" s="6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ht="15.75" customHeight="1" x14ac:dyDescent="0.25">
      <c r="A917" s="7"/>
      <c r="B917" s="7"/>
      <c r="C917" s="14"/>
      <c r="D917" s="14"/>
      <c r="E917" s="5"/>
      <c r="F917" s="5"/>
      <c r="G917" s="5"/>
      <c r="H917" s="6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ht="15.75" customHeight="1" x14ac:dyDescent="0.25">
      <c r="A918" s="7"/>
      <c r="B918" s="7"/>
      <c r="C918" s="14"/>
      <c r="D918" s="14"/>
      <c r="E918" s="5"/>
      <c r="F918" s="5"/>
      <c r="G918" s="5"/>
      <c r="H918" s="6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ht="15.75" customHeight="1" x14ac:dyDescent="0.25">
      <c r="A919" s="7"/>
      <c r="B919" s="7"/>
      <c r="C919" s="14"/>
      <c r="D919" s="14"/>
      <c r="E919" s="5"/>
      <c r="F919" s="5"/>
      <c r="G919" s="5"/>
      <c r="H919" s="6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ht="15.75" customHeight="1" x14ac:dyDescent="0.25">
      <c r="A920" s="7"/>
      <c r="B920" s="7"/>
      <c r="C920" s="14"/>
      <c r="D920" s="14"/>
      <c r="E920" s="5"/>
      <c r="F920" s="5"/>
      <c r="G920" s="5"/>
      <c r="H920" s="6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ht="15.75" customHeight="1" x14ac:dyDescent="0.25">
      <c r="A921" s="7"/>
      <c r="B921" s="7"/>
      <c r="C921" s="14"/>
      <c r="D921" s="14"/>
      <c r="E921" s="5"/>
      <c r="F921" s="5"/>
      <c r="G921" s="5"/>
      <c r="H921" s="6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ht="15.75" customHeight="1" x14ac:dyDescent="0.25">
      <c r="A922" s="7"/>
      <c r="B922" s="7"/>
      <c r="C922" s="14"/>
      <c r="D922" s="14"/>
      <c r="E922" s="5"/>
      <c r="F922" s="5"/>
      <c r="G922" s="5"/>
      <c r="H922" s="6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ht="15.75" customHeight="1" x14ac:dyDescent="0.25">
      <c r="A923" s="7"/>
      <c r="B923" s="7"/>
      <c r="C923" s="14"/>
      <c r="D923" s="14"/>
      <c r="E923" s="5"/>
      <c r="F923" s="5"/>
      <c r="G923" s="5"/>
      <c r="H923" s="6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ht="15.75" customHeight="1" x14ac:dyDescent="0.25">
      <c r="A924" s="7"/>
      <c r="B924" s="7"/>
      <c r="C924" s="14"/>
      <c r="D924" s="14"/>
      <c r="E924" s="5"/>
      <c r="F924" s="5"/>
      <c r="G924" s="5"/>
      <c r="H924" s="6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ht="15.75" customHeight="1" x14ac:dyDescent="0.25">
      <c r="A925" s="7"/>
      <c r="B925" s="7"/>
      <c r="C925" s="14"/>
      <c r="D925" s="14"/>
      <c r="E925" s="5"/>
      <c r="F925" s="5"/>
      <c r="G925" s="5"/>
      <c r="H925" s="6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ht="15.75" customHeight="1" x14ac:dyDescent="0.25">
      <c r="A926" s="7"/>
      <c r="B926" s="7"/>
      <c r="C926" s="14"/>
      <c r="D926" s="14"/>
      <c r="E926" s="5"/>
      <c r="F926" s="5"/>
      <c r="G926" s="5"/>
      <c r="H926" s="6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ht="15.75" customHeight="1" x14ac:dyDescent="0.25">
      <c r="A927" s="7"/>
      <c r="B927" s="7"/>
      <c r="C927" s="14"/>
      <c r="D927" s="14"/>
      <c r="E927" s="5"/>
      <c r="F927" s="5"/>
      <c r="G927" s="5"/>
      <c r="H927" s="6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ht="15.75" customHeight="1" x14ac:dyDescent="0.25">
      <c r="A928" s="7"/>
      <c r="B928" s="7"/>
      <c r="C928" s="14"/>
      <c r="D928" s="14"/>
      <c r="E928" s="5"/>
      <c r="F928" s="5"/>
      <c r="G928" s="5"/>
      <c r="H928" s="6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ht="15.75" customHeight="1" x14ac:dyDescent="0.25">
      <c r="A929" s="7"/>
      <c r="B929" s="7"/>
      <c r="C929" s="14"/>
      <c r="D929" s="14"/>
      <c r="E929" s="5"/>
      <c r="F929" s="5"/>
      <c r="G929" s="5"/>
      <c r="H929" s="6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ht="15.75" customHeight="1" x14ac:dyDescent="0.25">
      <c r="A930" s="7"/>
      <c r="B930" s="7"/>
      <c r="C930" s="14"/>
      <c r="D930" s="14"/>
      <c r="E930" s="5"/>
      <c r="F930" s="5"/>
      <c r="G930" s="5"/>
      <c r="H930" s="6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ht="15.75" customHeight="1" x14ac:dyDescent="0.25">
      <c r="A931" s="7"/>
      <c r="B931" s="7"/>
      <c r="C931" s="14"/>
      <c r="D931" s="14"/>
      <c r="E931" s="5"/>
      <c r="F931" s="5"/>
      <c r="G931" s="5"/>
      <c r="H931" s="6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ht="15.75" customHeight="1" x14ac:dyDescent="0.25">
      <c r="A932" s="7"/>
      <c r="B932" s="7"/>
      <c r="C932" s="14"/>
      <c r="D932" s="14"/>
      <c r="E932" s="5"/>
      <c r="F932" s="5"/>
      <c r="G932" s="5"/>
      <c r="H932" s="6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ht="15.75" customHeight="1" x14ac:dyDescent="0.25">
      <c r="A933" s="7"/>
      <c r="B933" s="7"/>
      <c r="C933" s="14"/>
      <c r="D933" s="14"/>
      <c r="E933" s="5"/>
      <c r="F933" s="5"/>
      <c r="G933" s="5"/>
      <c r="H933" s="6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ht="15.75" customHeight="1" x14ac:dyDescent="0.25">
      <c r="A934" s="7"/>
      <c r="B934" s="7"/>
      <c r="C934" s="14"/>
      <c r="D934" s="14"/>
      <c r="E934" s="5"/>
      <c r="F934" s="5"/>
      <c r="G934" s="5"/>
      <c r="H934" s="6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ht="15.75" customHeight="1" x14ac:dyDescent="0.25">
      <c r="A935" s="7"/>
      <c r="B935" s="7"/>
      <c r="C935" s="14"/>
      <c r="D935" s="14"/>
      <c r="E935" s="5"/>
      <c r="F935" s="5"/>
      <c r="G935" s="5"/>
      <c r="H935" s="6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ht="15.75" customHeight="1" x14ac:dyDescent="0.25">
      <c r="A936" s="7"/>
      <c r="B936" s="7"/>
      <c r="C936" s="14"/>
      <c r="D936" s="14"/>
      <c r="E936" s="5"/>
      <c r="F936" s="5"/>
      <c r="G936" s="5"/>
      <c r="H936" s="6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ht="15.75" customHeight="1" x14ac:dyDescent="0.25">
      <c r="A937" s="7"/>
      <c r="B937" s="7"/>
      <c r="C937" s="14"/>
      <c r="D937" s="14"/>
      <c r="E937" s="5"/>
      <c r="F937" s="5"/>
      <c r="G937" s="5"/>
      <c r="H937" s="6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ht="15.75" customHeight="1" x14ac:dyDescent="0.25">
      <c r="A938" s="7"/>
      <c r="B938" s="7"/>
      <c r="C938" s="14"/>
      <c r="D938" s="14"/>
      <c r="E938" s="5"/>
      <c r="F938" s="5"/>
      <c r="G938" s="5"/>
      <c r="H938" s="6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ht="15.75" customHeight="1" x14ac:dyDescent="0.25">
      <c r="A939" s="7"/>
      <c r="B939" s="7"/>
      <c r="C939" s="14"/>
      <c r="D939" s="14"/>
      <c r="E939" s="5"/>
      <c r="F939" s="5"/>
      <c r="G939" s="5"/>
      <c r="H939" s="6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ht="15.75" customHeight="1" x14ac:dyDescent="0.25">
      <c r="A940" s="7"/>
      <c r="B940" s="7"/>
      <c r="C940" s="14"/>
      <c r="D940" s="14"/>
      <c r="E940" s="5"/>
      <c r="F940" s="5"/>
      <c r="G940" s="5"/>
      <c r="H940" s="6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ht="15.75" customHeight="1" x14ac:dyDescent="0.25">
      <c r="A941" s="7"/>
      <c r="B941" s="7"/>
      <c r="C941" s="14"/>
      <c r="D941" s="14"/>
      <c r="E941" s="5"/>
      <c r="F941" s="5"/>
      <c r="G941" s="5"/>
      <c r="H941" s="6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ht="15.75" customHeight="1" x14ac:dyDescent="0.25">
      <c r="A942" s="7"/>
      <c r="B942" s="7"/>
      <c r="C942" s="14"/>
      <c r="D942" s="14"/>
      <c r="E942" s="5"/>
      <c r="F942" s="5"/>
      <c r="G942" s="5"/>
      <c r="H942" s="6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ht="15.75" customHeight="1" x14ac:dyDescent="0.25">
      <c r="A943" s="7"/>
      <c r="B943" s="7"/>
      <c r="C943" s="14"/>
      <c r="D943" s="14"/>
      <c r="E943" s="5"/>
      <c r="F943" s="5"/>
      <c r="G943" s="5"/>
      <c r="H943" s="6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ht="15.75" customHeight="1" x14ac:dyDescent="0.25">
      <c r="A944" s="7"/>
      <c r="B944" s="7"/>
      <c r="C944" s="14"/>
      <c r="D944" s="14"/>
      <c r="E944" s="5"/>
      <c r="F944" s="5"/>
      <c r="G944" s="5"/>
      <c r="H944" s="6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ht="15.75" customHeight="1" x14ac:dyDescent="0.25">
      <c r="A945" s="7"/>
      <c r="B945" s="7"/>
      <c r="C945" s="14"/>
      <c r="D945" s="14"/>
      <c r="E945" s="5"/>
      <c r="F945" s="5"/>
      <c r="G945" s="5"/>
      <c r="H945" s="6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ht="15.75" customHeight="1" x14ac:dyDescent="0.25">
      <c r="A946" s="7"/>
      <c r="B946" s="7"/>
      <c r="C946" s="14"/>
      <c r="D946" s="14"/>
      <c r="E946" s="5"/>
      <c r="F946" s="5"/>
      <c r="G946" s="5"/>
      <c r="H946" s="6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ht="15.75" customHeight="1" x14ac:dyDescent="0.25">
      <c r="A947" s="7"/>
      <c r="B947" s="7"/>
      <c r="C947" s="14"/>
      <c r="D947" s="14"/>
      <c r="E947" s="5"/>
      <c r="F947" s="5"/>
      <c r="G947" s="5"/>
      <c r="H947" s="6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ht="15.75" customHeight="1" x14ac:dyDescent="0.25">
      <c r="A948" s="7"/>
      <c r="B948" s="7"/>
      <c r="C948" s="14"/>
      <c r="D948" s="14"/>
      <c r="E948" s="5"/>
      <c r="F948" s="5"/>
      <c r="G948" s="5"/>
      <c r="H948" s="6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ht="15.75" customHeight="1" x14ac:dyDescent="0.25">
      <c r="A949" s="7"/>
      <c r="B949" s="7"/>
      <c r="C949" s="14"/>
      <c r="D949" s="14"/>
      <c r="E949" s="5"/>
      <c r="F949" s="5"/>
      <c r="G949" s="5"/>
      <c r="H949" s="6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ht="15.75" customHeight="1" x14ac:dyDescent="0.25">
      <c r="A950" s="7"/>
      <c r="B950" s="7"/>
      <c r="C950" s="14"/>
      <c r="D950" s="14"/>
      <c r="E950" s="5"/>
      <c r="F950" s="5"/>
      <c r="G950" s="5"/>
      <c r="H950" s="6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ht="15.75" customHeight="1" x14ac:dyDescent="0.25">
      <c r="A951" s="7"/>
      <c r="B951" s="7"/>
      <c r="C951" s="14"/>
      <c r="D951" s="14"/>
      <c r="E951" s="5"/>
      <c r="F951" s="5"/>
      <c r="G951" s="5"/>
      <c r="H951" s="6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ht="15.75" customHeight="1" x14ac:dyDescent="0.25">
      <c r="A952" s="7"/>
      <c r="B952" s="7"/>
      <c r="C952" s="14"/>
      <c r="D952" s="14"/>
      <c r="E952" s="5"/>
      <c r="F952" s="5"/>
      <c r="G952" s="5"/>
      <c r="H952" s="6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ht="15.75" customHeight="1" x14ac:dyDescent="0.25">
      <c r="A953" s="7"/>
      <c r="B953" s="7"/>
      <c r="C953" s="14"/>
      <c r="D953" s="14"/>
      <c r="E953" s="5"/>
      <c r="F953" s="5"/>
      <c r="G953" s="5"/>
      <c r="H953" s="6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ht="15.75" customHeight="1" x14ac:dyDescent="0.25">
      <c r="A954" s="7"/>
      <c r="B954" s="7"/>
      <c r="C954" s="14"/>
      <c r="D954" s="14"/>
      <c r="E954" s="5"/>
      <c r="F954" s="5"/>
      <c r="G954" s="5"/>
      <c r="H954" s="6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ht="15.75" customHeight="1" x14ac:dyDescent="0.25">
      <c r="A955" s="7"/>
      <c r="B955" s="7"/>
      <c r="C955" s="14"/>
      <c r="D955" s="14"/>
      <c r="E955" s="5"/>
      <c r="F955" s="5"/>
      <c r="G955" s="5"/>
      <c r="H955" s="6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ht="15.75" customHeight="1" x14ac:dyDescent="0.25">
      <c r="A956" s="7"/>
      <c r="B956" s="7"/>
      <c r="C956" s="14"/>
      <c r="D956" s="14"/>
      <c r="E956" s="5"/>
      <c r="F956" s="5"/>
      <c r="G956" s="5"/>
      <c r="H956" s="6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ht="15.75" customHeight="1" x14ac:dyDescent="0.25">
      <c r="A957" s="7"/>
      <c r="B957" s="7"/>
      <c r="C957" s="14"/>
      <c r="D957" s="14"/>
      <c r="E957" s="5"/>
      <c r="F957" s="5"/>
      <c r="G957" s="5"/>
      <c r="H957" s="6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ht="15.75" customHeight="1" x14ac:dyDescent="0.25">
      <c r="A958" s="7"/>
      <c r="B958" s="7"/>
      <c r="C958" s="14"/>
      <c r="D958" s="14"/>
      <c r="E958" s="5"/>
      <c r="F958" s="5"/>
      <c r="G958" s="5"/>
      <c r="H958" s="6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ht="15.75" customHeight="1" x14ac:dyDescent="0.25">
      <c r="A959" s="7"/>
      <c r="B959" s="7"/>
      <c r="C959" s="14"/>
      <c r="D959" s="14"/>
      <c r="E959" s="5"/>
      <c r="F959" s="5"/>
      <c r="G959" s="5"/>
      <c r="H959" s="6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ht="15.75" customHeight="1" x14ac:dyDescent="0.25">
      <c r="A960" s="7"/>
      <c r="B960" s="7"/>
      <c r="C960" s="14"/>
      <c r="D960" s="14"/>
      <c r="E960" s="5"/>
      <c r="F960" s="5"/>
      <c r="G960" s="5"/>
      <c r="H960" s="6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ht="15.75" customHeight="1" x14ac:dyDescent="0.25">
      <c r="A961" s="7"/>
      <c r="B961" s="7"/>
      <c r="C961" s="14"/>
      <c r="D961" s="14"/>
      <c r="E961" s="5"/>
      <c r="F961" s="5"/>
      <c r="G961" s="5"/>
      <c r="H961" s="6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ht="15.75" customHeight="1" x14ac:dyDescent="0.25">
      <c r="A962" s="7"/>
      <c r="B962" s="7"/>
      <c r="C962" s="14"/>
      <c r="D962" s="14"/>
      <c r="E962" s="5"/>
      <c r="F962" s="5"/>
      <c r="G962" s="5"/>
      <c r="H962" s="6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ht="15.75" customHeight="1" x14ac:dyDescent="0.25">
      <c r="A963" s="7"/>
      <c r="B963" s="7"/>
      <c r="C963" s="14"/>
      <c r="D963" s="14"/>
      <c r="E963" s="5"/>
      <c r="F963" s="5"/>
      <c r="G963" s="5"/>
      <c r="H963" s="6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ht="15.75" customHeight="1" x14ac:dyDescent="0.25">
      <c r="A964" s="7"/>
      <c r="B964" s="7"/>
      <c r="C964" s="14"/>
      <c r="D964" s="14"/>
      <c r="E964" s="5"/>
      <c r="F964" s="5"/>
      <c r="G964" s="5"/>
      <c r="H964" s="6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ht="15.75" customHeight="1" x14ac:dyDescent="0.25">
      <c r="A965" s="7"/>
      <c r="B965" s="7"/>
      <c r="C965" s="14"/>
      <c r="D965" s="14"/>
      <c r="E965" s="5"/>
      <c r="F965" s="5"/>
      <c r="G965" s="5"/>
      <c r="H965" s="6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ht="15.75" customHeight="1" x14ac:dyDescent="0.25">
      <c r="A966" s="7"/>
      <c r="B966" s="7"/>
      <c r="C966" s="14"/>
      <c r="D966" s="14"/>
      <c r="E966" s="5"/>
      <c r="F966" s="5"/>
      <c r="G966" s="5"/>
      <c r="H966" s="6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ht="15.75" customHeight="1" x14ac:dyDescent="0.25">
      <c r="A967" s="7"/>
      <c r="B967" s="7"/>
      <c r="C967" s="14"/>
      <c r="D967" s="14"/>
      <c r="E967" s="5"/>
      <c r="F967" s="5"/>
      <c r="G967" s="5"/>
      <c r="H967" s="6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ht="15.75" customHeight="1" x14ac:dyDescent="0.25">
      <c r="A968" s="7"/>
      <c r="B968" s="7"/>
      <c r="C968" s="14"/>
      <c r="D968" s="14"/>
      <c r="E968" s="5"/>
      <c r="F968" s="5"/>
      <c r="G968" s="5"/>
      <c r="H968" s="6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ht="15.75" customHeight="1" x14ac:dyDescent="0.25">
      <c r="A969" s="7"/>
      <c r="B969" s="7"/>
      <c r="C969" s="14"/>
      <c r="D969" s="14"/>
      <c r="E969" s="5"/>
      <c r="F969" s="5"/>
      <c r="G969" s="5"/>
      <c r="H969" s="6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ht="15.75" customHeight="1" x14ac:dyDescent="0.25">
      <c r="A970" s="7"/>
      <c r="B970" s="7"/>
      <c r="C970" s="14"/>
      <c r="D970" s="14"/>
      <c r="E970" s="5"/>
      <c r="F970" s="5"/>
      <c r="G970" s="5"/>
      <c r="H970" s="6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ht="15.75" customHeight="1" x14ac:dyDescent="0.25">
      <c r="A971" s="7"/>
      <c r="B971" s="7"/>
      <c r="C971" s="14"/>
      <c r="D971" s="14"/>
      <c r="E971" s="5"/>
      <c r="F971" s="5"/>
      <c r="G971" s="5"/>
      <c r="H971" s="6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ht="15.75" customHeight="1" x14ac:dyDescent="0.25">
      <c r="A972" s="7"/>
      <c r="B972" s="7"/>
      <c r="C972" s="14"/>
      <c r="D972" s="14"/>
      <c r="E972" s="5"/>
      <c r="F972" s="5"/>
      <c r="G972" s="5"/>
      <c r="H972" s="6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ht="15.75" customHeight="1" x14ac:dyDescent="0.25">
      <c r="A973" s="7"/>
      <c r="B973" s="7"/>
      <c r="C973" s="14"/>
      <c r="D973" s="14"/>
      <c r="E973" s="5"/>
      <c r="F973" s="5"/>
      <c r="G973" s="5"/>
      <c r="H973" s="6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ht="15.75" customHeight="1" x14ac:dyDescent="0.25">
      <c r="A974" s="7"/>
      <c r="B974" s="7"/>
      <c r="C974" s="14"/>
      <c r="D974" s="14"/>
      <c r="E974" s="5"/>
      <c r="F974" s="5"/>
      <c r="G974" s="5"/>
      <c r="H974" s="6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ht="15.75" customHeight="1" x14ac:dyDescent="0.25">
      <c r="A975" s="7"/>
      <c r="B975" s="7"/>
      <c r="C975" s="14"/>
      <c r="D975" s="14"/>
      <c r="E975" s="5"/>
      <c r="F975" s="5"/>
      <c r="G975" s="5"/>
      <c r="H975" s="6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ht="15.75" customHeight="1" x14ac:dyDescent="0.25">
      <c r="A976" s="7"/>
      <c r="B976" s="7"/>
      <c r="C976" s="14"/>
      <c r="D976" s="14"/>
      <c r="E976" s="5"/>
      <c r="F976" s="5"/>
      <c r="G976" s="5"/>
      <c r="H976" s="6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ht="15.75" customHeight="1" x14ac:dyDescent="0.25">
      <c r="A977" s="7"/>
      <c r="B977" s="7"/>
      <c r="C977" s="14"/>
      <c r="D977" s="14"/>
      <c r="E977" s="5"/>
      <c r="F977" s="5"/>
      <c r="G977" s="5"/>
      <c r="H977" s="6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ht="15.75" customHeight="1" x14ac:dyDescent="0.25">
      <c r="A978" s="7"/>
      <c r="B978" s="7"/>
      <c r="C978" s="14"/>
      <c r="D978" s="14"/>
      <c r="E978" s="5"/>
      <c r="F978" s="5"/>
      <c r="G978" s="5"/>
      <c r="H978" s="6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ht="15.75" customHeight="1" x14ac:dyDescent="0.25">
      <c r="A979" s="7"/>
      <c r="B979" s="7"/>
      <c r="C979" s="14"/>
      <c r="D979" s="14"/>
      <c r="E979" s="5"/>
      <c r="F979" s="5"/>
      <c r="G979" s="5"/>
      <c r="H979" s="6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ht="15.75" customHeight="1" x14ac:dyDescent="0.25">
      <c r="A980" s="7"/>
      <c r="B980" s="7"/>
      <c r="C980" s="14"/>
      <c r="D980" s="14"/>
      <c r="E980" s="5"/>
      <c r="F980" s="5"/>
      <c r="G980" s="5"/>
      <c r="H980" s="6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ht="15.75" customHeight="1" x14ac:dyDescent="0.25">
      <c r="A981" s="7"/>
      <c r="B981" s="7"/>
      <c r="C981" s="14"/>
      <c r="D981" s="14"/>
      <c r="E981" s="5"/>
      <c r="F981" s="5"/>
      <c r="G981" s="5"/>
      <c r="H981" s="6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</sheetData>
  <mergeCells count="3">
    <mergeCell ref="B7:C7"/>
    <mergeCell ref="E7:J7"/>
    <mergeCell ref="K7:L7"/>
  </mergeCells>
  <conditionalFormatting sqref="I9:I723 J202">
    <cfRule type="cellIs" dxfId="4" priority="1" operator="greaterThanOrEqual">
      <formula>0.3</formula>
    </cfRule>
  </conditionalFormatting>
  <conditionalFormatting sqref="I9:I723 J202">
    <cfRule type="cellIs" dxfId="3" priority="2" operator="greaterThan">
      <formula>0.3</formula>
    </cfRule>
  </conditionalFormatting>
  <conditionalFormatting sqref="I9:I723 J202">
    <cfRule type="cellIs" dxfId="2" priority="3" operator="greaterThanOrEqual">
      <formula>0.3</formula>
    </cfRule>
  </conditionalFormatting>
  <conditionalFormatting sqref="J9:J74 J76:J423 J425:J557 J559:J561 J566:J698 J701:J723">
    <cfRule type="cellIs" dxfId="1" priority="4" operator="between">
      <formula>35</formula>
      <formula>1000</formula>
    </cfRule>
  </conditionalFormatting>
  <conditionalFormatting sqref="J9:J74 J76:J423 J425:J557 J559:J561 J566:J698 J701:J723">
    <cfRule type="cellIs" dxfId="0" priority="5" operator="between">
      <formula>0.35</formula>
      <formula>10</formula>
    </cfRule>
  </conditionalFormatting>
  <dataValidations count="1">
    <dataValidation type="list" allowBlank="1" showErrorMessage="1" sqref="B1:D1" xr:uid="{00000000-0002-0000-0200-000000000000}">
      <formula1>campos</formula1>
    </dataValidation>
  </dataValidations>
  <pageMargins left="0.51180555555555596" right="0.51180555555555596" top="0.78749999999999998" bottom="0.78749999999999998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Cópia de Cotações com filtro</vt:lpstr>
      <vt:lpstr>'Cópia de Cotações com filtro'!pesquisa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André Leão</cp:lastModifiedBy>
  <dcterms:created xsi:type="dcterms:W3CDTF">2015-10-27T18:59:45Z</dcterms:created>
  <dcterms:modified xsi:type="dcterms:W3CDTF">2025-12-13T13:07:37Z</dcterms:modified>
</cp:coreProperties>
</file>