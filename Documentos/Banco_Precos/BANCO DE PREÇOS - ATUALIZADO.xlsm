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Cotações" sheetId="1" r:id="rId5"/>
    <sheet state="visible" name="IPCA " sheetId="2" r:id="rId6"/>
    <sheet state="visible" name="Cópia de Cotações com filtro" sheetId="3" r:id="rId7"/>
  </sheets>
  <definedNames>
    <definedName name="pesquisa">'Cotações'!$B$1:$C$1</definedName>
    <definedName name="campos">#REF!</definedName>
    <definedName localSheetId="2" name="pesquisa">'Cópia de Cotações com filtro'!$B$1:$C$2</definedName>
    <definedName hidden="1" localSheetId="0" name="_xlnm._FilterDatabase">'Cotações'!$B$7:$L$722</definedName>
  </definedNames>
  <calcPr/>
  <extLst>
    <ext uri="GoogleSheetsCustomDataVersion2">
      <go:sheetsCustomData xmlns:go="http://customooxmlschemas.google.com/" r:id="rId8" roundtripDataChecksum="xU//nYA6XXIKzRps9oBOe9/U49dgFUxQY6MLaDEzFs4="/>
    </ext>
  </extLst>
</workbook>
</file>

<file path=xl/sharedStrings.xml><?xml version="1.0" encoding="utf-8"?>
<sst xmlns="http://schemas.openxmlformats.org/spreadsheetml/2006/main" count="2115" uniqueCount="777">
  <si>
    <t>.</t>
  </si>
  <si>
    <t>COD_MATERIAL</t>
  </si>
  <si>
    <t>DESCRIÇÃO</t>
  </si>
  <si>
    <t/>
  </si>
  <si>
    <t>MATERIAL</t>
  </si>
  <si>
    <t>CARACTERÍSTICAS</t>
  </si>
  <si>
    <t>COTAÇÕES</t>
  </si>
  <si>
    <t xml:space="preserve">VALIDADE COTAÇÕES </t>
  </si>
  <si>
    <t>COMPLEMENTO</t>
  </si>
  <si>
    <t>COT_01</t>
  </si>
  <si>
    <t>COT_02</t>
  </si>
  <si>
    <t>COT_03</t>
  </si>
  <si>
    <t>VL_MÉDIO</t>
  </si>
  <si>
    <t>VAR_COT</t>
  </si>
  <si>
    <t>VAR&gt;35%</t>
  </si>
  <si>
    <t>REALIZADA EM:</t>
  </si>
  <si>
    <t>VENCE EM:</t>
  </si>
  <si>
    <t>MICRO-ONIBUS</t>
  </si>
  <si>
    <t>SPRINTER 312D - 16 LUGARES – 2001</t>
  </si>
  <si>
    <t>DUCATO ME 2.3 - 2011</t>
  </si>
  <si>
    <t>BOXER M330M 2.3 – 15 LUGARES – 2014</t>
  </si>
  <si>
    <t>AUTOMOVEL DE PASSAGEIRO</t>
  </si>
  <si>
    <t>CORSA HATCH 1.8 – 2007</t>
  </si>
  <si>
    <t>CRUZE LT 1.4 - 2023</t>
  </si>
  <si>
    <t>CRUZE SEDAN MIDNIGHT 1.4  – 2023</t>
  </si>
  <si>
    <t>MONTANA CONQUEST 1.8 – 2007</t>
  </si>
  <si>
    <t>MITSUBISHI – ASX HPE AWD 2.0 – 2020</t>
  </si>
  <si>
    <t>PALIO WEEKEND 1.4 – 2013</t>
  </si>
  <si>
    <t>LINEA ESSENCE 1.8 – 2015</t>
  </si>
  <si>
    <t>GRAND LIVINA 1.8 – 2014</t>
  </si>
  <si>
    <t>BLAZER COLINA 4X4 2.8 – 2008</t>
  </si>
  <si>
    <t>FURGAO</t>
  </si>
  <si>
    <t>SPRINTER 312D –  2001</t>
  </si>
  <si>
    <t>AMBULANCIA</t>
  </si>
  <si>
    <t>SPRINTER 312D – 2000</t>
  </si>
  <si>
    <t>ANEMOMETRO DIGITAL</t>
  </si>
  <si>
    <t>MDA 10 A</t>
  </si>
  <si>
    <t>BALANCA PESADORA</t>
  </si>
  <si>
    <t>ATÉ 30 KG</t>
  </si>
  <si>
    <t>BALANCA DE PRECISAO ELETRONICA</t>
  </si>
  <si>
    <t>05 KG</t>
  </si>
  <si>
    <t>BALANCA ANTROPOMETRICA</t>
  </si>
  <si>
    <t>200 KG</t>
  </si>
  <si>
    <t>BALANCA MECÂNICA</t>
  </si>
  <si>
    <t>300  KG</t>
  </si>
  <si>
    <t>BALANCA PARA CORRESPONDENCIA</t>
  </si>
  <si>
    <t>TACOMETRO FOTO DIGITAL</t>
  </si>
  <si>
    <t>MEDIDOR DE ATERRAMENTO</t>
  </si>
  <si>
    <t>MULTIMETRO DIGITAL</t>
  </si>
  <si>
    <t>600v</t>
  </si>
  <si>
    <t>NIVELADOR</t>
  </si>
  <si>
    <t>KIT MICROFONE .</t>
  </si>
  <si>
    <t>APARELHO TELEFONICO IP BÁSICO</t>
  </si>
  <si>
    <t>ASPIRADOR DE SECREÇÃO PORTÁTIL</t>
  </si>
  <si>
    <t>AUTOCLAVE ODONTOLOGICO</t>
  </si>
  <si>
    <t>CAMA HOSPITALAR</t>
  </si>
  <si>
    <t>MACA PARA EXAME CLINICO</t>
  </si>
  <si>
    <t xml:space="preserve">CARDIOVERSOR </t>
  </si>
  <si>
    <t>CARRINHO PARA CURATIVO</t>
  </si>
  <si>
    <t>CARRINHO PARA EQUIPAMENTOS HOSPITALARES</t>
  </si>
  <si>
    <t>DESFRIBILADOR CARDÍACO</t>
  </si>
  <si>
    <t>ELETROCARDIÓGRAFO</t>
  </si>
  <si>
    <t>MONITOR HOSPITALAR</t>
  </si>
  <si>
    <t>SUPORTE PARA BRAÇO</t>
  </si>
  <si>
    <t>SUPORTE PARA SORO</t>
  </si>
  <si>
    <t>CADEIRA DE RODAS</t>
  </si>
  <si>
    <t>FREDOM LUMINA</t>
  </si>
  <si>
    <t>TOK LEVE</t>
  </si>
  <si>
    <t>CAMERA DE SEGURANÇA</t>
  </si>
  <si>
    <t>TIPO 1</t>
  </si>
  <si>
    <t>TIPO 2</t>
  </si>
  <si>
    <t>TIPO 3</t>
  </si>
  <si>
    <t>TIPO 4</t>
  </si>
  <si>
    <t>TIPO 2 DOME</t>
  </si>
  <si>
    <t>CANCELA AUTOMATICA</t>
  </si>
  <si>
    <t>BARREIRA DE 3 A 5 MTS</t>
  </si>
  <si>
    <t>COFRE HBD - 60</t>
  </si>
  <si>
    <t>DETECTOR DE METAL</t>
  </si>
  <si>
    <t>LEITORA DE PROXIMIDADE</t>
  </si>
  <si>
    <t>PORTAL DETECTOR DE METAL</t>
  </si>
  <si>
    <t>SCANNER - EQUIPAMENTO DE INSPEÇÃO POR RAIOS X</t>
  </si>
  <si>
    <t>VALOR ATUALIZADO PELO IPCA-BRASIL (FGV)</t>
  </si>
  <si>
    <t>EXTRATOR DE SUCO TIPO INDUSTRIAL</t>
  </si>
  <si>
    <t>0,25 CV</t>
  </si>
  <si>
    <t>FOGAO TIPO INDUSTRIAL</t>
  </si>
  <si>
    <t>04 QUEIMADORES</t>
  </si>
  <si>
    <t>06 QUEIMADORES</t>
  </si>
  <si>
    <t>DESENGROSSADEIRA INDUSTRIAL</t>
  </si>
  <si>
    <t xml:space="preserve">LIQUIDIFICADOR. </t>
  </si>
  <si>
    <t>INDUSTRIAL - 4 LITROS</t>
  </si>
  <si>
    <t>NO BREAK</t>
  </si>
  <si>
    <t>6 KVA</t>
  </si>
  <si>
    <t>CADEIRA FIXA</t>
  </si>
  <si>
    <t>EM TECIDO, ESPALDAR MÉDIO, SEM BRAÇO</t>
  </si>
  <si>
    <t>CARRINHO PARA TRANSPORTE DE LIVROS</t>
  </si>
  <si>
    <t>RESIDENCIAL - 1 LITRO</t>
  </si>
  <si>
    <t>FOGAO TIPO RESIDENCIAL</t>
  </si>
  <si>
    <t>MICROONDAS</t>
  </si>
  <si>
    <t>25 L</t>
  </si>
  <si>
    <t>31 L</t>
  </si>
  <si>
    <t>FORNO ELETRICO</t>
  </si>
  <si>
    <t xml:space="preserve"> 44 L</t>
  </si>
  <si>
    <t xml:space="preserve"> 50 L</t>
  </si>
  <si>
    <t xml:space="preserve">FOGÃO. </t>
  </si>
  <si>
    <t xml:space="preserve"> 06 BOCAS INDUSTRIAL</t>
  </si>
  <si>
    <t>FILMADORA DE VIDEO</t>
  </si>
  <si>
    <t>CAIXA DE SOM SUBWOOFER 2.1</t>
  </si>
  <si>
    <t>CAIXA ACÚSTICA (DE EMBUTIR)</t>
  </si>
  <si>
    <t>LIXADEIRA DE FITA PROFISSIONAL</t>
  </si>
  <si>
    <t>19,498,70</t>
  </si>
  <si>
    <t>CALIBRADOR DE PNEUS</t>
  </si>
  <si>
    <t>COMPRESSOR DE AR</t>
  </si>
  <si>
    <t>INDUSTRIAL - 2 ESTÁGIO - 10CV - 175 PSI - 380 L</t>
  </si>
  <si>
    <t>INDUSTRIAL - 2 ESTÁGIO - 5CV - 175 PSI - 220 L</t>
  </si>
  <si>
    <t>MOTOCOMPRESSOR - 1 ESTÁGIO -  2CV - 120 PSI - 24 L</t>
  </si>
  <si>
    <t>ELEVADOR PARA VEICULOS</t>
  </si>
  <si>
    <t>COLADEIRA</t>
  </si>
  <si>
    <t>MOTO ESMERIL DE BANCADA</t>
  </si>
  <si>
    <t>ESMERILHADEIRA DE SINTA  COM COLETOR DE PÓ</t>
  </si>
  <si>
    <t>FURADEIRA .</t>
  </si>
  <si>
    <t>HORIZONTAL</t>
  </si>
  <si>
    <t>12v</t>
  </si>
  <si>
    <t>FURADEIRA DE BANCADA</t>
  </si>
  <si>
    <t>SCHULZ MODELO FSB-13P</t>
  </si>
  <si>
    <t>GRAMPEADOR PNEUMATICO</t>
  </si>
  <si>
    <t>KIT</t>
  </si>
  <si>
    <t>PARAFUSADEIRA + FURADEIRA DE IMPACTO</t>
  </si>
  <si>
    <t>LIXADEIRA .</t>
  </si>
  <si>
    <t>PORTÁTIL</t>
  </si>
  <si>
    <t>VERSÁTIL</t>
  </si>
  <si>
    <t>MACACO HIDRAULICO TIPO JACARE</t>
  </si>
  <si>
    <t>2 TONELADA</t>
  </si>
  <si>
    <t xml:space="preserve">CONTAINER PARA LIXO </t>
  </si>
  <si>
    <t>240 L - AZUL</t>
  </si>
  <si>
    <t>240 L - VERMELHO</t>
  </si>
  <si>
    <t>240 L - PRETO</t>
  </si>
  <si>
    <t>1200L</t>
  </si>
  <si>
    <t>1600L</t>
  </si>
  <si>
    <t>BEBEDOURO DE AGUA TIPO GARRAFAO</t>
  </si>
  <si>
    <t xml:space="preserve">CIRCULADOR DE AR  </t>
  </si>
  <si>
    <t>130W</t>
  </si>
  <si>
    <t>GRAMPEADORA INDUSTRIAL PARA TIPOGRAFIA</t>
  </si>
  <si>
    <t>CANTEADORA PARA PAPEL</t>
  </si>
  <si>
    <t>ENCADERNADORA PERFURADORA ELÉTRICA</t>
  </si>
  <si>
    <t>LAVADORA DE ROUPA</t>
  </si>
  <si>
    <t>SERRA CIRCULAR</t>
  </si>
  <si>
    <t>CARRINHO PARA PROCESSO</t>
  </si>
  <si>
    <t>MICROFONE DE MESA GOOSENECK</t>
  </si>
  <si>
    <t xml:space="preserve">REFRIGERADOR </t>
  </si>
  <si>
    <t>260 A 294L</t>
  </si>
  <si>
    <t>407 A 450L</t>
  </si>
  <si>
    <t>FONE DE OUVIDO</t>
  </si>
  <si>
    <t>1000L</t>
  </si>
  <si>
    <t>CONTAINER PARA LIXO</t>
  </si>
  <si>
    <t>360L</t>
  </si>
  <si>
    <t>CARRO ARMAZÉM .</t>
  </si>
  <si>
    <t>LAVADORA E SECADORA DE PISO .</t>
  </si>
  <si>
    <t>LAVADORA DE ALTA PRESSÃO .</t>
  </si>
  <si>
    <t>2500W</t>
  </si>
  <si>
    <t>2200W</t>
  </si>
  <si>
    <t xml:space="preserve">FRIGOBAR </t>
  </si>
  <si>
    <t>120L</t>
  </si>
  <si>
    <t>124L</t>
  </si>
  <si>
    <t>VAPORIZADOR /HIGIENIZADOR</t>
  </si>
  <si>
    <t>CARRINHO PARA CHA/CAFÉ</t>
  </si>
  <si>
    <t>FREEZER HORIZONTAL</t>
  </si>
  <si>
    <t>FREEZER VERTICAL</t>
  </si>
  <si>
    <t xml:space="preserve">ASPIRADOR DE PÓ </t>
  </si>
  <si>
    <t>20L</t>
  </si>
  <si>
    <t>50/60L</t>
  </si>
  <si>
    <t>CADEIRA GIRATORIA</t>
  </si>
  <si>
    <t xml:space="preserve"> TECIDO E COM BRAÇO - COR AZUL</t>
  </si>
  <si>
    <t xml:space="preserve"> TECIDO E SEM BRAÇO - COR AZUL</t>
  </si>
  <si>
    <t>COURVIM SEM BRAÇO - COR BEGE</t>
  </si>
  <si>
    <t>TECIDO E SEM BRAÇO - COR PRETA</t>
  </si>
  <si>
    <t xml:space="preserve"> TECIDO E SEM BRAÇO - COR VERDE</t>
  </si>
  <si>
    <t>LAVADORA</t>
  </si>
  <si>
    <t>POLIDORA DE MÁRMORE E GRANIDO PROFISSIONAL</t>
  </si>
  <si>
    <t>BEBEDOUROS REFRIGERADORES.</t>
  </si>
  <si>
    <t>ESCADA DE DOIS DEGRAUS</t>
  </si>
  <si>
    <t>CARRINHO DOBRÁVEL EM ALUMÍNIO</t>
  </si>
  <si>
    <t>TELA DE PROJEÇÃO RETRÁTIL</t>
  </si>
  <si>
    <t>CARRINHO PLATAFORMA EM ALUMÍNIO</t>
  </si>
  <si>
    <t>CARRINHO HIDRAULICO PARA PALETEIRA</t>
  </si>
  <si>
    <t xml:space="preserve">TELEVISOR </t>
  </si>
  <si>
    <t xml:space="preserve"> LED 32"</t>
  </si>
  <si>
    <t>LED 42"</t>
  </si>
  <si>
    <t>LED 43"</t>
  </si>
  <si>
    <t>LED 55"</t>
  </si>
  <si>
    <t>LED 58"</t>
  </si>
  <si>
    <t>LED 60"</t>
  </si>
  <si>
    <t>LUMINARIA PARA ESTUDIOS</t>
  </si>
  <si>
    <t>MAQUINA FECHADORA ELÉTRICA</t>
  </si>
  <si>
    <t>SUBWOOFER ATIVO</t>
  </si>
  <si>
    <t>CARRINHO PARA CARREGAR MATERIAL DE LIMPEZA</t>
  </si>
  <si>
    <t>ALICATE AMPERIMETRO DIGITAL</t>
  </si>
  <si>
    <t>1000V</t>
  </si>
  <si>
    <t>MEDIDOR DE DISTANCIA A LASER</t>
  </si>
  <si>
    <t>80M</t>
  </si>
  <si>
    <t>RADIO TRANSCEPTOR PORTATIL</t>
  </si>
  <si>
    <t>APARELHO ESTETOSCOPIO</t>
  </si>
  <si>
    <t>TAMBOR PARA CURATIVO</t>
  </si>
  <si>
    <t>APARELHO LARINGOSCOPIO</t>
  </si>
  <si>
    <t>ESPREMEDOR DE LARANJA</t>
  </si>
  <si>
    <t>ARMARIO ALTO EM MADEIRA</t>
  </si>
  <si>
    <t>1,56 X 0,80 X 0,50 M</t>
  </si>
  <si>
    <t>ARMARIO ESTANTE EM MADEIRA</t>
  </si>
  <si>
    <t xml:space="preserve">PORTA DE CORRER </t>
  </si>
  <si>
    <t>2,08 X 1,00 X 0,60 M</t>
  </si>
  <si>
    <t>2,10 X 0,85 X 0,50 M</t>
  </si>
  <si>
    <t>TORNO DE BANCADA PARA MADEIRA</t>
  </si>
  <si>
    <t>1100W</t>
  </si>
  <si>
    <t xml:space="preserve">TUPIA DE MESA POT </t>
  </si>
  <si>
    <t xml:space="preserve"> 5CV</t>
  </si>
  <si>
    <t xml:space="preserve">TUPIA DE LAMINACAO </t>
  </si>
  <si>
    <t>530W 30000RPM</t>
  </si>
  <si>
    <t>SERRA CIRCULAR DE 7.14</t>
  </si>
  <si>
    <t xml:space="preserve"> 5800RPM 1800W</t>
  </si>
  <si>
    <t>GRAVADOR DIGITAL</t>
  </si>
  <si>
    <t>CORTADOR DE GRAMA</t>
  </si>
  <si>
    <t>TUPIA DE COLUNA</t>
  </si>
  <si>
    <t>SCANNER DE PAREDE</t>
  </si>
  <si>
    <t>SERRA MÁRMORE 4</t>
  </si>
  <si>
    <t>3/8"</t>
  </si>
  <si>
    <t>PLAINA</t>
  </si>
  <si>
    <t>SERRA DE FITA</t>
  </si>
  <si>
    <t>SERRA POLICORTE</t>
  </si>
  <si>
    <t>SERRA TICO-TICO</t>
  </si>
  <si>
    <t>MESA DE CENTRO.</t>
  </si>
  <si>
    <t xml:space="preserve">TAMPO DE VIDRO </t>
  </si>
  <si>
    <t>TAMPO DE VIDRO 42X60X60</t>
  </si>
  <si>
    <t xml:space="preserve">EM MADEIRA </t>
  </si>
  <si>
    <t xml:space="preserve">EM MADEIRA COR PRETA </t>
  </si>
  <si>
    <t>GUILHOTINA PARA ESCRITORIO</t>
  </si>
  <si>
    <t>SERRA DE ESQUADRIA</t>
  </si>
  <si>
    <t xml:space="preserve">MESA PARA REFEITÓRIO/COPA </t>
  </si>
  <si>
    <t>TRANSFORMADOR DE VOLTAGEM</t>
  </si>
  <si>
    <t>1.0 KVA</t>
  </si>
  <si>
    <t xml:space="preserve">REFLETOR </t>
  </si>
  <si>
    <t>TIPO FRESNE</t>
  </si>
  <si>
    <t>TIPO ELIPSOIDAL</t>
  </si>
  <si>
    <t xml:space="preserve">ARMARIO BAIXO EM MADEIRA </t>
  </si>
  <si>
    <t xml:space="preserve">2 PORTAS </t>
  </si>
  <si>
    <t>3 PORTAS</t>
  </si>
  <si>
    <t xml:space="preserve">4 PORTAS EXECUTIVO </t>
  </si>
  <si>
    <t xml:space="preserve">4 PORTAS </t>
  </si>
  <si>
    <t>GAVETEIRO VOLANTE</t>
  </si>
  <si>
    <t>3 GAVETAS 
MEDIDA: 0,66 X 0,40 X 0,49 M</t>
  </si>
  <si>
    <t>ARQUIVO EM MADEIRA</t>
  </si>
  <si>
    <t>CEREJEIRA
1,55 X 0,90 X 0,50 M</t>
  </si>
  <si>
    <t>SWITCHER .</t>
  </si>
  <si>
    <t>BLACKMAGIC (ATEM M/E BROADCAST)</t>
  </si>
  <si>
    <t>01 face 400mm eixo redondo 04 facas, trifásico</t>
  </si>
  <si>
    <t xml:space="preserve">ARMARIO ALTO EM MADEIRA            </t>
  </si>
  <si>
    <t>02 PORTAS, TIPO 02</t>
  </si>
  <si>
    <t>02 PORTAS, TIPO 03</t>
  </si>
  <si>
    <t>02 PORTAS, TIPO 01</t>
  </si>
  <si>
    <t>01 PORTA</t>
  </si>
  <si>
    <t>4 PORTAS</t>
  </si>
  <si>
    <t>10 PORTAS</t>
  </si>
  <si>
    <t>SERRA CIRCULAR DE BANCADA</t>
  </si>
  <si>
    <t>MAZUTTI</t>
  </si>
  <si>
    <t>FONE DE OUVIDO .</t>
  </si>
  <si>
    <t>SONY MODELO MDR-7506</t>
  </si>
  <si>
    <t>MÁQUINA PICOTADEIRA</t>
  </si>
  <si>
    <t>Cotar pelo IPCA</t>
  </si>
  <si>
    <t>MAQUINA PARA CORTAR E REFILAR BOBINA</t>
  </si>
  <si>
    <t>GUILHOTINA INDUSTRIAL PARA PAPEL - 5.000,00</t>
  </si>
  <si>
    <t>GUILHOTINA INDUSTRIAL PARA PAPEL - 95.000,00</t>
  </si>
  <si>
    <t>GUILHOTINA INDUSTRIAL PARA PAPEL - 131.000,00</t>
  </si>
  <si>
    <t xml:space="preserve">ARMARIO ALTO EM METAL </t>
  </si>
  <si>
    <t>02 PORTAS</t>
  </si>
  <si>
    <t>04 PORTAS</t>
  </si>
  <si>
    <t>06 PORTAS</t>
  </si>
  <si>
    <t>MICROCOMPUTADOR DESKTOP - R$ 4.813,00</t>
  </si>
  <si>
    <t>OPTIPLEX 7010 DESKTOP TIPO II</t>
  </si>
  <si>
    <t>MICROCOMPUTADOR DESKTOP - R$ 2.540,00</t>
  </si>
  <si>
    <t>OPTIPLEX 7020 (Cotar pelo IPCA)</t>
  </si>
  <si>
    <t>MICROCOMPUTADOR DESKTOP - R$ 17,91</t>
  </si>
  <si>
    <t>OPTIPLEX 990 ULTRA USFF</t>
  </si>
  <si>
    <t xml:space="preserve"> COMPUTADOR WORKSTATION </t>
  </si>
  <si>
    <t>DELL Precision 5820</t>
  </si>
  <si>
    <t>MICROCOMPUTADOR DESKTOP - R$ 7.800,00</t>
  </si>
  <si>
    <t>OPTIPLEX 7070 TIPO II</t>
  </si>
  <si>
    <t>MICROCOMPUTADOR DESKTOP - R$ 3.526,00</t>
  </si>
  <si>
    <t>THINKCENTRE M920S</t>
  </si>
  <si>
    <t>MICROCOMPUTADOR DESKTOP - R$ 3.850,00</t>
  </si>
  <si>
    <t>OPTIPLEX 5050</t>
  </si>
  <si>
    <t>MICROCOMPUTADOR DESKTOP - R$ 1.156,08</t>
  </si>
  <si>
    <t>TABO TS 2000</t>
  </si>
  <si>
    <t>MICROCOMPUTADOR DESKTOP - R$ 5.900,00</t>
  </si>
  <si>
    <t>OPTIPLEX 9030 All-in-One</t>
  </si>
  <si>
    <t>MICROCOMPUTADOR DESKTOP - R$ 1.500,00</t>
  </si>
  <si>
    <t>HP - COMPAQ DC 7900 (Cotar pelo IPCA)</t>
  </si>
  <si>
    <t>MICROCOMPUTADOR DESKTOP - R$ 1.300,00</t>
  </si>
  <si>
    <t>MEGAWARE UPD/LX CTIS</t>
  </si>
  <si>
    <t>MICROCOMPUTADOR DESKTOP - R$ 2.500,00</t>
  </si>
  <si>
    <t>THERMALTAKE VERSA H22 PLUS (Cotar pelo IPCA)</t>
  </si>
  <si>
    <t xml:space="preserve">ESTRADO .                        </t>
  </si>
  <si>
    <t>CHUVEIRO ELÉTRICO</t>
  </si>
  <si>
    <t>04 TEMPERATURAS</t>
  </si>
  <si>
    <t>CAFETEIRA ELETRICA .</t>
  </si>
  <si>
    <t>Bens adquiridos em: 09/06/2025, não sera necessário cotar</t>
  </si>
  <si>
    <t>FREEZER .</t>
  </si>
  <si>
    <t>OTOSCOPIO MD</t>
  </si>
  <si>
    <t>TERMOMETRO DIGITAL</t>
  </si>
  <si>
    <t>INFRAVERMELHO - MODELO: E127</t>
  </si>
  <si>
    <t>ESFIGMOMANÔMETRO ANERÓIDE</t>
  </si>
  <si>
    <t>APARELHO DE PRESSÃO DIGITAL</t>
  </si>
  <si>
    <t>OXIMETRO DE PULSO DIGITAL PORTÁTIL DE DEDO</t>
  </si>
  <si>
    <t>Rossmax</t>
  </si>
  <si>
    <t>AZUL (Básico)</t>
  </si>
  <si>
    <t>COM BALCÃO</t>
  </si>
  <si>
    <t>PULVERIZADOR MANUAL</t>
  </si>
  <si>
    <t>MARCA: GUARANY</t>
  </si>
  <si>
    <t>MARCA: LACTO</t>
  </si>
  <si>
    <t>EXTINTOR DE INCENDIO CO2</t>
  </si>
  <si>
    <t>EXTINTOR DE INCENDIO PQS</t>
  </si>
  <si>
    <t>CILINDRO PARA OXIGENIO</t>
  </si>
  <si>
    <t>10/15 LITROS</t>
  </si>
  <si>
    <t>CAMERA POLICROMATICA</t>
  </si>
  <si>
    <t>IP AXIS M3004-V.</t>
  </si>
  <si>
    <t>REANIMADOR MANUAL(AMBU)</t>
  </si>
  <si>
    <t>PRANCHA DE RESGATE</t>
  </si>
  <si>
    <t>COLAR CERVICAL, CONFECCIONADO EM POLIPROPILENO.</t>
  </si>
  <si>
    <t xml:space="preserve">IMOBILIZADOR DE CABEÇA IMPERMEÁVEL                        
                        </t>
  </si>
  <si>
    <t xml:space="preserve">COLETE CERVICAL (TIPO KED)			
			</t>
  </si>
  <si>
    <t xml:space="preserve">ENCERADEIRA INDUSTRIAL </t>
  </si>
  <si>
    <t>ALGEMA DE PULSO</t>
  </si>
  <si>
    <t>TALHA .</t>
  </si>
  <si>
    <t>KOCH 5T</t>
  </si>
  <si>
    <t>SANDUICHEIRA INDUSTRIAL COM CHAPA E PRENSA .</t>
  </si>
  <si>
    <t>CROYDON CHAPA LISA</t>
  </si>
  <si>
    <t xml:space="preserve"> BOLSA DE EMERGENCIA</t>
  </si>
  <si>
    <t>CARREGADOR DE BATERIA PARA VEICULO</t>
  </si>
  <si>
    <t>ESTABILIZADOR DE VOLTAGEM</t>
  </si>
  <si>
    <t xml:space="preserve">1270 VA/W </t>
  </si>
  <si>
    <t>30 KVA - (IPCA)</t>
  </si>
  <si>
    <t xml:space="preserve">PARAFUSADEIRA . </t>
  </si>
  <si>
    <t>MAKITA 12V</t>
  </si>
  <si>
    <t xml:space="preserve">PARAFUSADEIRA .
</t>
  </si>
  <si>
    <t>DEWALT 20V</t>
  </si>
  <si>
    <t>DEWALT DW268-B2</t>
  </si>
  <si>
    <t>MEDIDOR DE QUALIDADE DE ENERGIA</t>
  </si>
  <si>
    <t>POSTE DE ILUMINACAO PUBLICA</t>
  </si>
  <si>
    <t>POSTE BALIZADOR PUBLICO</t>
  </si>
  <si>
    <t>LUMINARIA LED PUBLICA 200W</t>
  </si>
  <si>
    <t>PRENSA HIDRAULICA</t>
  </si>
  <si>
    <t>CAFETEIRA ELETRICA INDUSTRIAL</t>
  </si>
  <si>
    <t>04 LITROS</t>
  </si>
  <si>
    <t>CONJUGADA 05 LITROS</t>
  </si>
  <si>
    <t>40 LITROS</t>
  </si>
  <si>
    <t>PERFURADOR DE EXPIRAIS</t>
  </si>
  <si>
    <t>PRENSA FOTOLITOGRAFICA</t>
  </si>
  <si>
    <t>COTADO POR IPCA</t>
  </si>
  <si>
    <t xml:space="preserve"> MAQUINA POLICORTE			
</t>
  </si>
  <si>
    <t>SOPRADOR TERMICO</t>
  </si>
  <si>
    <t xml:space="preserve"> ALICATE .</t>
  </si>
  <si>
    <t>CABO ISOLADO PARA CLIMPAGEM DE CABO LÓGICO</t>
  </si>
  <si>
    <t>QG PARA COMPRENSÃO</t>
  </si>
  <si>
    <t>ENCADERNADORA MANUAL PARA ESPIRAL</t>
  </si>
  <si>
    <t xml:space="preserve"> MOTO-SERRA PARA MADEIRA			
			</t>
  </si>
  <si>
    <t>GUILHOTINA INDUSTRIAL PARA PAPEL - MARCA IDEAL</t>
  </si>
  <si>
    <t>GUILHOTINA INDUSTRIAL PARA PAPEL - MARCA GUARANY</t>
  </si>
  <si>
    <t>CAVALETE PARA VEICULO</t>
  </si>
  <si>
    <t>ESMERILHADEIRA ANGULAR</t>
  </si>
  <si>
    <t>SERRA (KIT SERRA TICO TICO)</t>
  </si>
  <si>
    <t>PISTA DE ROLETE</t>
  </si>
  <si>
    <t>PALETEIRA MANUAL</t>
  </si>
  <si>
    <t xml:space="preserve"> ESMERILHADEIRA ANGULAR DE 4.1/2" 720W			
			</t>
  </si>
  <si>
    <t>MAQUINA PERFURADORA</t>
  </si>
  <si>
    <t>MÁQUINA SELADORA/EMPACOTADORA</t>
  </si>
  <si>
    <t>ESMERILHADEIRA ANGULAR DE 7" 2.200W</t>
  </si>
  <si>
    <t>FURADEIRA DE 3/8 450W</t>
  </si>
  <si>
    <t>ESCADA DE ABRIR</t>
  </si>
  <si>
    <t>SERRA CIRCULAR DE 7.1/4" 5800RPM 1800W</t>
  </si>
  <si>
    <t>BETONEIRA .</t>
  </si>
  <si>
    <t xml:space="preserve">LIXADEIRA ORBITAL 1.6MM .			
			</t>
  </si>
  <si>
    <t>PINADOR PNEUMATICO 15-50MM
18GA</t>
  </si>
  <si>
    <t xml:space="preserve"> APARADOR DE GRAMA ELETRICO</t>
  </si>
  <si>
    <t xml:space="preserve"> BOMBA DE DRENAGEM DE TETO TIPO SPLIT           
                        </t>
  </si>
  <si>
    <t>VALOR ASI: 6900,00</t>
  </si>
  <si>
    <t xml:space="preserve">BOMBA DE DRENAGEM DE TETO TIPO SPLIT			
			</t>
  </si>
  <si>
    <t>VALOR ASI: 1730,96</t>
  </si>
  <si>
    <t xml:space="preserve">BOMBA DE DRENAGEM DE TETO TIPO SPLIT                        
                        </t>
  </si>
  <si>
    <t>VALOR ASI: 2.000 Á 3.000</t>
  </si>
  <si>
    <t xml:space="preserve">COMPRESSOR HELMETICO			
			</t>
  </si>
  <si>
    <t>APARELHO DE TESTE DE CONECTIVIDADE</t>
  </si>
  <si>
    <t>MICROCOMPUTADOR PORTATIL NOTEBOOK - 3.406,70</t>
  </si>
  <si>
    <t>HP - ELITEBOOK 8440p</t>
  </si>
  <si>
    <t>MICROCOMPUTADOR PORTATIL NOTEBOOK - 1.400,00</t>
  </si>
  <si>
    <t>HP - ELITEBOOK 8460p</t>
  </si>
  <si>
    <t>MICROCOMPUTADOR PORTATIL NOTEBOOK - 7.150,00</t>
  </si>
  <si>
    <t>HP - ELITEBOOK REVOLVE 810 G2</t>
  </si>
  <si>
    <t>MICROCOMPUTADOR PORTATIL NOTEBOOK - 3.230,00</t>
  </si>
  <si>
    <t>ProBook 640 G2</t>
  </si>
  <si>
    <t>MICROCOMPUTADOR PORTATIL NOTEBOOK - 14.500,00</t>
  </si>
  <si>
    <t>ZBook 17</t>
  </si>
  <si>
    <t>MICROCOMPUTADOR PORTATIL NOTEBOOK - R$ 5.115,00</t>
  </si>
  <si>
    <t>(LATITUDE 3480) E (LATITUDE 3410)</t>
  </si>
  <si>
    <t>R$ 2.320,00</t>
  </si>
  <si>
    <t>MICROCOMPUTADOR PORTATIL NOTEBOOK - R$ 9.130,00</t>
  </si>
  <si>
    <t>LATITUDE 5400</t>
  </si>
  <si>
    <t xml:space="preserve"> PARAFUSADEIRA (TEKS)			
			</t>
  </si>
  <si>
    <t xml:space="preserve">APARADOR DE CERCA VIVA ..			
			</t>
  </si>
  <si>
    <t>CARRINHO PARA TRANSPORTE DE ÁGUA</t>
  </si>
  <si>
    <t xml:space="preserve">LIXEIRA CILINDRICA                        
                        </t>
  </si>
  <si>
    <t>APARELHO DE AR CONDICIONADO</t>
  </si>
  <si>
    <t xml:space="preserve">PORTATIL </t>
  </si>
  <si>
    <t xml:space="preserve">DE PAREDE </t>
  </si>
  <si>
    <t>REGULADOR DE PRESSAO PARA CILINDRO</t>
  </si>
  <si>
    <t xml:space="preserve">CORTADOR DE GRAMA A GASOLINA			
			</t>
  </si>
  <si>
    <t>CONJUNTO DE LIXEIRA CILINDRICA</t>
  </si>
  <si>
    <t xml:space="preserve">BALANCA MECÂNICA, BASE: PLATAFORMA DE FERRO FUNDIDO, COM CAPACIDADE: 300KGX100G			
			</t>
  </si>
  <si>
    <t>FERRO DE PASSAR ROUPA</t>
  </si>
  <si>
    <t>FOGÃO INDUSTRIAL</t>
  </si>
  <si>
    <t>BATEDEIRA DE BOLO TIPO DOMESTICA</t>
  </si>
  <si>
    <t>CARRINHO PARA TRANSPORTE DE LIXO</t>
  </si>
  <si>
    <t>LAVADORA PROFISSIONAL DE ESTOFADO E CARPETES COM ESCOVA .</t>
  </si>
  <si>
    <t>FREEZER</t>
  </si>
  <si>
    <t>CLIMATIZADOR DE AR</t>
  </si>
  <si>
    <t xml:space="preserve"> CHUVEIRO ELÉTRICO (04 TEMPERATURAS)</t>
  </si>
  <si>
    <t xml:space="preserve"> MARMITEIRO ELETRICO PARA 100 MARMITAS</t>
  </si>
  <si>
    <t>SERVIDOR PARA PROCESSAMENTO DE DADOS</t>
  </si>
  <si>
    <t>FLASH PARA CAMERA FOTOGRAFICA</t>
  </si>
  <si>
    <t>CONJUNTO PARA TELEPROMPTER</t>
  </si>
  <si>
    <t>SCANNER DE MESA - R$ 500,00</t>
  </si>
  <si>
    <t>FUJITSU FI-6670</t>
  </si>
  <si>
    <t>SCANNER DE MESA - R$ 23.300,00</t>
  </si>
  <si>
    <t>KODAK I3400</t>
  </si>
  <si>
    <t>SCANNER DE MESA</t>
  </si>
  <si>
    <t>KODAK I2620</t>
  </si>
  <si>
    <t>MISTURADOR DE VÍDEO</t>
  </si>
  <si>
    <t>COLETOR DE DADOS</t>
  </si>
  <si>
    <t>COMPEX CPX 8000</t>
  </si>
  <si>
    <t>RACK PARA EQUIPAMENTOS DE TI</t>
  </si>
  <si>
    <t>TAMANHO MÉDIO</t>
  </si>
  <si>
    <t>BÁSICO</t>
  </si>
  <si>
    <t xml:space="preserve"> ARQUIVO EM AÇO</t>
  </si>
  <si>
    <t>QUADRO BRANCO</t>
  </si>
  <si>
    <t>BANCO DE ESPERA EM MADEIRA</t>
  </si>
  <si>
    <t>QUADRO DE AVISO</t>
  </si>
  <si>
    <t>MESA PARA ESCRITORIO .</t>
  </si>
  <si>
    <t xml:space="preserve">COM GAVETEIRO </t>
  </si>
  <si>
    <t xml:space="preserve">BIBLIOTECA </t>
  </si>
  <si>
    <t>0,72 X 0,80 X 0,60 M</t>
  </si>
  <si>
    <t>0,73 X 0,75 X 0,63 M</t>
  </si>
  <si>
    <t>MESA PARA REUNIÃO</t>
  </si>
  <si>
    <t>TARRACHA 1/2 A 2" DE CATRACA</t>
  </si>
  <si>
    <t xml:space="preserve"> MAQUINA DE SOLDA ELETRICA			
			</t>
  </si>
  <si>
    <t>V8</t>
  </si>
  <si>
    <t>SMARTPHONE</t>
  </si>
  <si>
    <t>MOTOROLA G73</t>
  </si>
  <si>
    <t>CARRINHO .</t>
  </si>
  <si>
    <t>Tipo armazem, capacidade de 400kg</t>
  </si>
  <si>
    <t>WEB CAM</t>
  </si>
  <si>
    <t>COTADA COM SEMELHANTES</t>
  </si>
  <si>
    <t>MICROFONE DE EXPANSÃO</t>
  </si>
  <si>
    <t>COLETOR BIOMETRICO, (COM INSTALAÇÃO)</t>
  </si>
  <si>
    <t>LUMINADOR DE LED</t>
  </si>
  <si>
    <t xml:space="preserve">BOTIJAO . </t>
  </si>
  <si>
    <t xml:space="preserve">GRAMPEADOR DE MESA SEMIINDUSTRIAL </t>
  </si>
  <si>
    <t xml:space="preserve"> KIT EXTENSOR HDMI -(MODELO NDS-652HD-RX)</t>
  </si>
  <si>
    <t xml:space="preserve">ARMARIO BAIXO EM MADEIRA - 3 PORTAS                        
                        </t>
  </si>
  <si>
    <t>KIT EXTENSOR HDMI -(NDS-SW1-RX)</t>
  </si>
  <si>
    <t xml:space="preserve">PENTA SCANNER </t>
  </si>
  <si>
    <t xml:space="preserve">IMPRESSORA TIPO PLOTTER </t>
  </si>
  <si>
    <t xml:space="preserve">SOLUÇÃO CODEC DE
VIDEOCONFERÊNCIA </t>
  </si>
  <si>
    <t>LUMINARIA DE PEDESTAL</t>
  </si>
  <si>
    <t xml:space="preserve">MESA DE COMANDO                        </t>
  </si>
  <si>
    <t>CÂMERA DE VIDEOCONFERÊNCIA</t>
  </si>
  <si>
    <t xml:space="preserve">PONTO DE ACESSO (ACESS POINT)                        </t>
  </si>
  <si>
    <t xml:space="preserve">ARMARIO BAIXO EM MADEIRA - 4 PORTAS                        </t>
  </si>
  <si>
    <t xml:space="preserve">DIMMERBOX  </t>
  </si>
  <si>
    <t xml:space="preserve">EXTRATOR DE SUCO TIPO DOMESTICO                        </t>
  </si>
  <si>
    <t>LOUSA INTERATIVA SMART BOARD SB 640</t>
  </si>
  <si>
    <t xml:space="preserve">ARMARIO BAIXO EM MADEIRA - 2 PORTAS                        </t>
  </si>
  <si>
    <t>MICROFONE ¿</t>
  </si>
  <si>
    <t>MONITOR DE VIDEO .</t>
  </si>
  <si>
    <t>LG - L17NS - 7 (17 POLEGADAS)</t>
  </si>
  <si>
    <t>19 POLEGADAS</t>
  </si>
  <si>
    <t>SYNCMASTER 215TW</t>
  </si>
  <si>
    <t>AOC - E2243FWK</t>
  </si>
  <si>
    <t>HP - LA2405wg</t>
  </si>
  <si>
    <t>PHILIPS - 231B4LPYCB</t>
  </si>
  <si>
    <t>DELL - P2722H</t>
  </si>
  <si>
    <t>PHILIPS - 271P4QPJKEB</t>
  </si>
  <si>
    <t>1588.66</t>
  </si>
  <si>
    <t>MONITOR TV 46 E 48 PL</t>
  </si>
  <si>
    <t>LG - 55LV75D-B</t>
  </si>
  <si>
    <t>LG - 49VL5B</t>
  </si>
  <si>
    <t xml:space="preserve">POLTRONA PARA AUDITORIO                        
</t>
  </si>
  <si>
    <t xml:space="preserve">BALCAO EM MADEIRA       
                        </t>
  </si>
  <si>
    <t xml:space="preserve">ARMARIO ALTO EM METAL - 02 PORTAS </t>
  </si>
  <si>
    <t>ARMARIO ALTO EM METAL - 04 PORTAS</t>
  </si>
  <si>
    <t>ARMARIO ALTO EM METAL - 06 PORTAS</t>
  </si>
  <si>
    <t xml:space="preserve"> CAIXA ACUSTICA			
			</t>
  </si>
  <si>
    <t xml:space="preserve">ACOPLADA </t>
  </si>
  <si>
    <t>CAIXA ACUSTICA</t>
  </si>
  <si>
    <t>QSC K10.2</t>
  </si>
  <si>
    <t>TELA ELETRICA,  DE PROJECAO RETRATIL</t>
  </si>
  <si>
    <t>MICROFONE DE LAPELA</t>
  </si>
  <si>
    <t>GAVETEIRO FIXO</t>
  </si>
  <si>
    <t xml:space="preserve">SUPORTE PARA BOBINA DE PAPEL                        
                        </t>
  </si>
  <si>
    <t>ESTANTE EM MADEIRA - 1,20 X 1,10 X 0,35 M</t>
  </si>
  <si>
    <t>ESTANTE EM MADEIRA - 1,90 X 1,16 X 0,45 M</t>
  </si>
  <si>
    <t>ESTANTE EM MADEIRA - 2,10 X 0,85 X 0,50 M</t>
  </si>
  <si>
    <t>LEITOR DE CÓDIGO DE BARRA</t>
  </si>
  <si>
    <t>(HS 950)</t>
  </si>
  <si>
    <t xml:space="preserve"> CIPHERLAB 1266</t>
  </si>
  <si>
    <t xml:space="preserve">ESTACAO DE TRABALHO                        
                        </t>
  </si>
  <si>
    <t xml:space="preserve">PAINEL FRONTAL DIVISORIA EM MDF
                        </t>
  </si>
  <si>
    <t>SWITCH ACESSO</t>
  </si>
  <si>
    <t>(modelo 9200)</t>
  </si>
  <si>
    <t xml:space="preserve">BANCO DE ESPERA EM MADEIRA                        </t>
  </si>
  <si>
    <t>PONTO DE ACESSO (ACESS POINT)</t>
  </si>
  <si>
    <t xml:space="preserve">MACA                         
                        </t>
  </si>
  <si>
    <t xml:space="preserve">COLCHÃO                        </t>
  </si>
  <si>
    <t>PARAFUSADEIRA DRYWALL .</t>
  </si>
  <si>
    <t>POLTRONA RECLINÁVEL</t>
  </si>
  <si>
    <t xml:space="preserve">POLTRONA GIRATORIA                       
                        </t>
  </si>
  <si>
    <t xml:space="preserve">DIRETOR EM COURO </t>
  </si>
  <si>
    <t>IMPRESSORA MODELO XEROX</t>
  </si>
  <si>
    <t>SOFÁ</t>
  </si>
  <si>
    <t>1 Acento</t>
  </si>
  <si>
    <t>2 Acentos (TECIDO)</t>
  </si>
  <si>
    <t>TRIPE.</t>
  </si>
  <si>
    <t>MANFROTTO</t>
  </si>
  <si>
    <t>DIGIPOD</t>
  </si>
  <si>
    <t>PARA ESTUDIO</t>
  </si>
  <si>
    <t xml:space="preserve"> POLTRONA GIRATORIA</t>
  </si>
  <si>
    <t xml:space="preserve">ESPALDAR MÉDIO </t>
  </si>
  <si>
    <t>AZUL</t>
  </si>
  <si>
    <t xml:space="preserve">MARROM </t>
  </si>
  <si>
    <t xml:space="preserve">2500, COURO </t>
  </si>
  <si>
    <t>MESA DIGITALIZADORA  - TAMANHO A3 PARA SCANNER</t>
  </si>
  <si>
    <t xml:space="preserve">SOFÁ </t>
  </si>
  <si>
    <t>2 Lugares Courvin</t>
  </si>
  <si>
    <t>3 Lugares Courvin</t>
  </si>
  <si>
    <t xml:space="preserve">MESA PARA REUNIÃO </t>
  </si>
  <si>
    <t xml:space="preserve">74 X 120 </t>
  </si>
  <si>
    <t>MONITOR .</t>
  </si>
  <si>
    <t>DATAVIDEO</t>
  </si>
  <si>
    <t>(R$ 1.225,00) 7 POLEGADAS</t>
  </si>
  <si>
    <t>SONY - PVM-A250</t>
  </si>
  <si>
    <t xml:space="preserve">BANCO         </t>
  </si>
  <si>
    <t>com cabideiro</t>
  </si>
  <si>
    <t>vestiário</t>
  </si>
  <si>
    <t xml:space="preserve">MESA PARA REFEITÓRIO/COPA                     </t>
  </si>
  <si>
    <t xml:space="preserve">ARQUIVO EM MADEIRA                        </t>
  </si>
  <si>
    <t>SONY NEX-FS100N</t>
  </si>
  <si>
    <t>MESA DE SOM DIGITAL</t>
  </si>
  <si>
    <t xml:space="preserve">16 CANAIS </t>
  </si>
  <si>
    <t xml:space="preserve">MESA DE SOM ANALOGICA                   </t>
  </si>
  <si>
    <t>24 CANAIS</t>
  </si>
  <si>
    <t xml:space="preserve">COLETOR DE MESA - BIOMINI, SUPREMA. (COM INSTALAÇÃO)			</t>
  </si>
  <si>
    <t xml:space="preserve">ESTANTE EM METAL                         </t>
  </si>
  <si>
    <t>MEDIDA: 2,03 X 1,05 X 0,55 M</t>
  </si>
  <si>
    <t>CREDENZA</t>
  </si>
  <si>
    <t>SWITCH TOR TOPO DE RACK ITEM</t>
  </si>
  <si>
    <t xml:space="preserve">MINI TRILHO . </t>
  </si>
  <si>
    <t>CONVERSOR .</t>
  </si>
  <si>
    <t>CARREGADOR DE BATERIA</t>
  </si>
  <si>
    <t xml:space="preserve">CONTROLE REMOTO DE CÂMERA                        </t>
  </si>
  <si>
    <t xml:space="preserve">DISTRIBUIDOR                       </t>
  </si>
  <si>
    <t xml:space="preserve">CAMERA PROFISSIONAL                        </t>
  </si>
  <si>
    <t xml:space="preserve">CARRINHO PARA TRANSPORTE DE LIVROS                       </t>
  </si>
  <si>
    <t xml:space="preserve">CARRINHO TIPO PALLET                     </t>
  </si>
  <si>
    <t>2. 359,90</t>
  </si>
  <si>
    <t>EQUIPAMENTO DE GERENCIAMENTO UNIFICADO DE AMEAÇAS UTM - UTM Fortinet FortiGate FG-101F</t>
  </si>
  <si>
    <t>TAPETE COMUM LISO</t>
  </si>
  <si>
    <t xml:space="preserve">PORTA .                       </t>
  </si>
  <si>
    <t xml:space="preserve">AMPLIFICADOR DE SOM                        </t>
  </si>
  <si>
    <t xml:space="preserve">PINCA HEMOSTATICA RETA KELLY			
			</t>
  </si>
  <si>
    <t>PINCA HEMOSTATICA CURVA KELLY</t>
  </si>
  <si>
    <t>POLTRONA FIXA</t>
  </si>
  <si>
    <t>COR AZUL, EM TECIDO, ESPALDAR MEDIO</t>
  </si>
  <si>
    <t>MODELO: BARCELONA</t>
  </si>
  <si>
    <t>SOFÁ / POLTRONA</t>
  </si>
  <si>
    <t>MODELO: BERGER</t>
  </si>
  <si>
    <t>MODELO: KIKO SERGIO RODRIGUES</t>
  </si>
  <si>
    <t>PINCA MICRO DENTE DE RATO CURVA</t>
  </si>
  <si>
    <t>APARELHO GLICOSIMETRO</t>
  </si>
  <si>
    <t>TESOURA KELLY RETA 14CM</t>
  </si>
  <si>
    <t xml:space="preserve"> TESOURA KELLY CURVA 14CM</t>
  </si>
  <si>
    <t>SUPORTE PARA HAMPER</t>
  </si>
  <si>
    <t>COFRE EM ACO DE CHAO</t>
  </si>
  <si>
    <t>LAMPERTZ</t>
  </si>
  <si>
    <t xml:space="preserve">MESA DE RETOQUE                        </t>
  </si>
  <si>
    <t xml:space="preserve">1 GAVETA </t>
  </si>
  <si>
    <t xml:space="preserve">IMPRESSORA TÉRMICA                       </t>
  </si>
  <si>
    <t xml:space="preserve">TERMOMETRO DIGITAL                     </t>
  </si>
  <si>
    <t xml:space="preserve">PAR DE ANTENAS + CENTRAL ANTIFURTO                        </t>
  </si>
  <si>
    <t>CARRO ELEVADOR</t>
  </si>
  <si>
    <t>MARTELETE PERFURADOR/ROMPEDOR</t>
  </si>
  <si>
    <t>Está cotado com esse nome: MARTELETE COMBINADO SDS PLUS</t>
  </si>
  <si>
    <t>DEWALT</t>
  </si>
  <si>
    <t xml:space="preserve">SERRA TICO-TICO                        </t>
  </si>
  <si>
    <t>GTS700</t>
  </si>
  <si>
    <t xml:space="preserve">ESMERILHADEIRA ANGULAR DE 7 2.200W                        </t>
  </si>
  <si>
    <t xml:space="preserve"> SERRA TICO-TICO			
</t>
  </si>
  <si>
    <t>VVR 220V -700WDW DW 31K</t>
  </si>
  <si>
    <t>SERRA ESQUADRIA 10 1650W</t>
  </si>
  <si>
    <t xml:space="preserve">TESTADOR DE CABOS UTP-STP E COAXIL                        </t>
  </si>
  <si>
    <t>APARELHO DE SOM</t>
  </si>
  <si>
    <t>MINI SYSTEM</t>
  </si>
  <si>
    <t>RADIO GRAVADOR</t>
  </si>
  <si>
    <t>BOOMBOX</t>
  </si>
  <si>
    <t>RADIO AM / FM</t>
  </si>
  <si>
    <t>TANQUE PARA CHAPA DE REVELACAO</t>
  </si>
  <si>
    <t>APARELHO DE VIDEO CASSETE</t>
  </si>
  <si>
    <t>(DVD - BLU-RAY)</t>
  </si>
  <si>
    <t>BANCADA DE TRABALHO .</t>
  </si>
  <si>
    <t>ABERTA</t>
  </si>
  <si>
    <t>FECHADA, 04 PORTAS</t>
  </si>
  <si>
    <t>GRAVADORA DE CD INTERNA</t>
  </si>
  <si>
    <t>PORTA-BOLSAS EM MDF</t>
  </si>
  <si>
    <t>IMPRESSORA DE CRACHA E CARTAO</t>
  </si>
  <si>
    <t xml:space="preserve">TELA PARA PROJEÇÃO,  ELÉTRICA          </t>
  </si>
  <si>
    <t xml:space="preserve">REFLETOR TIPO MINI BRUT DE 04 LAMPADAS               </t>
  </si>
  <si>
    <t xml:space="preserve">SUPORTE .                       </t>
  </si>
  <si>
    <t>para projetor</t>
  </si>
  <si>
    <t xml:space="preserve">SERVIDOR.              </t>
  </si>
  <si>
    <t xml:space="preserve">ESMERILHADEIRA ANGULAR            </t>
  </si>
  <si>
    <t>makita</t>
  </si>
  <si>
    <t xml:space="preserve">CADEIRA UNIVERSITARIA                        </t>
  </si>
  <si>
    <t xml:space="preserve">ESMERILHADEIRA ANGULAR                      </t>
  </si>
  <si>
    <t>MARCA: BOSCH GwS 700</t>
  </si>
  <si>
    <t>ESCADA EM FIBRA</t>
  </si>
  <si>
    <t>fibra de vidro</t>
  </si>
  <si>
    <t>ESCADA DE ALUMÍNIO .  5 degraus</t>
  </si>
  <si>
    <t>ESCADA DE ALUMÍNIO .  7 degraus</t>
  </si>
  <si>
    <t>FLIP CHART EM MADEIRA</t>
  </si>
  <si>
    <t xml:space="preserve">CALCULADORA CIENTIFICA </t>
  </si>
  <si>
    <t>MALETA PARA TRANSPORTE DE PROCESSO</t>
  </si>
  <si>
    <t xml:space="preserve">MICROONDAS PANASONIC           </t>
  </si>
  <si>
    <t xml:space="preserve">MICROONDAS CONSUL   </t>
  </si>
  <si>
    <t>MICROONDAS AGRATTO</t>
  </si>
  <si>
    <t xml:space="preserve">MICROONDAS  MONDIAL                        </t>
  </si>
  <si>
    <t xml:space="preserve">MICROONDAS  BRASTEMP              </t>
  </si>
  <si>
    <t>obs: 3° cotação feito com modelo similar com a marca consul</t>
  </si>
  <si>
    <t xml:space="preserve">MICROONDAS  ELETROLUX  </t>
  </si>
  <si>
    <t xml:space="preserve">PLASTIFICADORA(NW) </t>
  </si>
  <si>
    <t>modelo similar</t>
  </si>
  <si>
    <t xml:space="preserve">PLASTIFICADORA  RICALL                      </t>
  </si>
  <si>
    <t>FURADEIRA DUPLA</t>
  </si>
  <si>
    <t>IPCA</t>
  </si>
  <si>
    <t>FURADEIRA DUPLA 2</t>
  </si>
  <si>
    <t>FURADEIRA DUPLA 3</t>
  </si>
  <si>
    <t>IMPRESSORA OFF SET</t>
  </si>
  <si>
    <t>TELA DIFUSORA PARA FOTOLITOGRAFIA</t>
  </si>
  <si>
    <t>ESTACAO VISUALIZACAO DE PROVAS DE IMPRESSAO</t>
  </si>
  <si>
    <t xml:space="preserve">MAQUINA DE ARQUEACAO PARA FITAS PLASTICAS                 </t>
  </si>
  <si>
    <t>SIMILAR</t>
  </si>
  <si>
    <t>ESGUICHO .</t>
  </si>
  <si>
    <t>CUBETA VERTICAL PARA REVELACAO DE CHAPAS</t>
  </si>
  <si>
    <t>ELEVADOR HIDRAULICO .</t>
  </si>
  <si>
    <t>SOLUÇÃO DE TELEFONIA (GATEWAY)</t>
  </si>
  <si>
    <t xml:space="preserve">APARELHO DE PRESSÃO DE EMERGÊNCIA                        </t>
  </si>
  <si>
    <t>SOLUÇÃO DE TELEFONIA (GATEWAY PARA LOCALIDADE REMOTA)</t>
  </si>
  <si>
    <t>AVAYA SCOPIA PATHFINDER 10PTS SISTEMA PARA ACESSO SEGURO</t>
  </si>
  <si>
    <t>PROTOCOLADORA DE DOCUMENTOS</t>
  </si>
  <si>
    <t>MAQUINA CHANCELADORA/ASSINADORA, DATADORA AUTOMATICA</t>
  </si>
  <si>
    <t xml:space="preserve">FRAGMENTADORA PARA PAPEL (01)                   </t>
  </si>
  <si>
    <t xml:space="preserve">FRAGMENTADORA PARA PAPEL (02)      </t>
  </si>
  <si>
    <t xml:space="preserve">GRAVADOR DIGITAL EM HDD            </t>
  </si>
  <si>
    <t>APARELHO DE VIDEO DVCAM</t>
  </si>
  <si>
    <t>APARELHO DE VIDEO BETACAM 01</t>
  </si>
  <si>
    <t>APARELHO DE VIDEO BETACAM 02</t>
  </si>
  <si>
    <t>APARELHO DE SOM ¿</t>
  </si>
  <si>
    <t>GRAVADOR E REPRODUTOR .</t>
  </si>
  <si>
    <t xml:space="preserve">MALETA PARA TRANSPORTE DE EQUIPAMENTO DE AUDIO E VIDEO                      </t>
  </si>
  <si>
    <t xml:space="preserve">PAINEL LUMINOSO                        </t>
  </si>
  <si>
    <t>ARQUIVO DESLIZANTE 01</t>
  </si>
  <si>
    <t>ARQUIVO DESLIZANTE 02</t>
  </si>
  <si>
    <t>ARQUIVO DESLIZANTE 03</t>
  </si>
  <si>
    <t>ARQUIVO DESLIZANTE 04</t>
  </si>
  <si>
    <t>ARQUIVO DESLIZANTE 05</t>
  </si>
  <si>
    <t>ARQUIVO DESLIZANTE 06</t>
  </si>
  <si>
    <t xml:space="preserve">POLTRONA PARA CONJUNTO ESTOFADO EM COURO                        </t>
  </si>
  <si>
    <t>SINALIZADOR EAGLE LIGHT</t>
  </si>
  <si>
    <t>RACK/APARADOR EM MADEIRA</t>
  </si>
  <si>
    <t xml:space="preserve">ESCANINHO EM MADEIRA                        </t>
  </si>
  <si>
    <t>CATRACA ELETRÔNICA</t>
  </si>
  <si>
    <t>CONSOLE DE GERENCIAMENTO</t>
  </si>
  <si>
    <t xml:space="preserve">SANDUICHEIRA TIPO GRILL </t>
  </si>
  <si>
    <t xml:space="preserve">TABLET                         </t>
  </si>
  <si>
    <t>SAMSUNG</t>
  </si>
  <si>
    <t>APPLE</t>
  </si>
  <si>
    <t>CARRINHO PARA TRANSPORTE DE MATERIAL</t>
  </si>
  <si>
    <t>PARA  TRANSPORTE DE FERRAMENTAS</t>
  </si>
  <si>
    <t>PARA TRANSPORTE DE MATERIAIS</t>
  </si>
  <si>
    <t>COMPRESSOR DE AR 20 PES 250L 76DB 5CV</t>
  </si>
  <si>
    <t xml:space="preserve">STEADYCAM .      </t>
  </si>
  <si>
    <t xml:space="preserve">SOLUÇÃO INTEGRADO EM HOME THEATER </t>
  </si>
  <si>
    <t xml:space="preserve">PROJETOR MULTIMIDIA I                        </t>
  </si>
  <si>
    <t xml:space="preserve">PROJETOR MULTIMIDIA II                        </t>
  </si>
  <si>
    <t xml:space="preserve">TUPIA INDUSTRIAL                        </t>
  </si>
  <si>
    <t>MATRIZ HDMI 4X4</t>
  </si>
  <si>
    <t>TELEPROMPTER .</t>
  </si>
  <si>
    <t>APARELHO TELEFONICO ANALÓGICO</t>
  </si>
  <si>
    <t>MESA PARA MAQUINA DE ESCREVER EM MADEIRA</t>
  </si>
  <si>
    <t xml:space="preserve">SCANNER ELETRÔNICO                        </t>
  </si>
  <si>
    <t xml:space="preserve">PROCESSADOR .         </t>
  </si>
  <si>
    <t>TUPIA INDUSTRIAL</t>
  </si>
  <si>
    <t>DE BANCADA MODELO SIMILAR</t>
  </si>
  <si>
    <t>SERVIDOR DE REDE, MARCA IBM, MODELO 6C4, CÓDIGO DE IDENTIFICAÇÃO 7028-6C4</t>
  </si>
  <si>
    <t xml:space="preserve">CALCULADORA ELETRONICA                        </t>
  </si>
  <si>
    <t>POLTRONA TIPO MODULO EM TECIDO</t>
  </si>
  <si>
    <t xml:space="preserve">TIPO 5 ANPR </t>
  </si>
  <si>
    <t>APARELHO TELEFONICO IP (INTERMEDIARIO)</t>
  </si>
  <si>
    <t>MARCA AVAYA, MODELO 9611G</t>
  </si>
  <si>
    <t xml:space="preserve">2 GAVETAS (DE FILMES) </t>
  </si>
  <si>
    <t>CONTA</t>
  </si>
  <si>
    <t xml:space="preserve">IPCA </t>
  </si>
  <si>
    <t>123110201 - EQUIPAMENTOS DE PROCESSAMENTO DE DADOS</t>
  </si>
  <si>
    <t xml:space="preserve"> UNIDADE DE ARMAZENAMENTO</t>
  </si>
  <si>
    <t>IPCA - (EMC NX3240) - 130.000,00</t>
  </si>
  <si>
    <t>IPCA -  (DAHUA NVR608) 55.000,00</t>
  </si>
  <si>
    <t>SOLUÇÃO DE BACKUP ITEM 1.4</t>
  </si>
  <si>
    <t>MÓDULO DE ESPANSÃO</t>
  </si>
  <si>
    <t>MCU ELITE 6110 SISTEMA DE UNIDADES DE CONTROLE MULTIPONTO</t>
  </si>
  <si>
    <t xml:space="preserve"> PROTOCOLADORA ELETRONICA MÓVEL, RELOGIO DATADOR , NUMERADOR..</t>
  </si>
  <si>
    <t>123110302 - MAQUINAS, INSTALACOES E UTENS. DE ESCRITORIO</t>
  </si>
  <si>
    <t xml:space="preserve"> MAQUINA CAPEADEIRA E COLADEIRA DE CAPAS DE LIVRO</t>
  </si>
  <si>
    <t xml:space="preserve">123110108 - MAQUINAS E EQUIPAMENTOS GRAFICOS
</t>
  </si>
  <si>
    <t>MODULO SWITCH</t>
  </si>
  <si>
    <t>IPCA (CISCO SPINE NEXUS93180YC-EX) - 177.582,42</t>
  </si>
  <si>
    <t xml:space="preserve">123110201 - EQUIPAMENTOS DE PROCESSAMENTO DE DADOS
</t>
  </si>
  <si>
    <t>IPCA  (CISCO LEAF NEXUS93180YC-EX)</t>
  </si>
  <si>
    <t xml:space="preserve">BASTIDOR (esse item foi reavaliado) </t>
  </si>
  <si>
    <t>xxx</t>
  </si>
  <si>
    <t>ES30 SHELF</t>
  </si>
  <si>
    <t>SWITCH 4500 26-PORTS - 3COM</t>
  </si>
  <si>
    <t xml:space="preserve">123110201 - EQUIPAMENTOS DE PROCESSAMENTO DE DADOS
</t>
  </si>
  <si>
    <t>UNIDADE DE GRAVAÇÃO FLASH</t>
  </si>
  <si>
    <t>123110405 - EQUIPAMENTOS PARA AUDIO, VIDEO E FOTO</t>
  </si>
  <si>
    <t>MATRIZ .</t>
  </si>
  <si>
    <t>SUPORTE DE OMBRO (modelo do valor de aquisição 4.200,00)</t>
  </si>
  <si>
    <t>SUPORTE DE OMBRO (modelo do valor de aquisição 2.753,33)</t>
  </si>
  <si>
    <t>VISOR .</t>
  </si>
  <si>
    <t>MALA DE ILUMINAÇÃO .</t>
  </si>
  <si>
    <t xml:space="preserve">123110405 - EQUIPAMENTOS PARA AUDIO, VIDEO E FOTO
</t>
  </si>
  <si>
    <t>VIDEO PORTÁTIL FORMATO DVCAM - NTSC, MARCA SONY, MODELO DSR-45, Nº 117701</t>
  </si>
  <si>
    <t>BRAÇO ARTICULADOR</t>
  </si>
  <si>
    <t>impressora.</t>
  </si>
  <si>
    <t>GRAMPEADORA INDUSTRIAL PARA TIPOGRAFIA( MINURA 02)</t>
  </si>
  <si>
    <t>GRAMPEADORA INDUSTRIAL PARA TIPOGRAFIA(MINURA)</t>
  </si>
  <si>
    <t>IPCA (cruzado)</t>
  </si>
  <si>
    <t>GRAMPEADORA INDUSTRIAL PARA TIPOGRAFIA (MANIG)</t>
  </si>
  <si>
    <t>MESA DE RETOQUE</t>
  </si>
  <si>
    <t xml:space="preserve">- DOBRADORA STHL </t>
  </si>
  <si>
    <t>MESA DE RETOQUE mr80</t>
  </si>
  <si>
    <t>CILINDRO PARA ACETILENO</t>
  </si>
  <si>
    <t xml:space="preserve"> </t>
  </si>
  <si>
    <t>BALCAO EM MADEIRA</t>
  </si>
  <si>
    <t>TELA DE PROJEÇÃO - ELETRICA</t>
  </si>
  <si>
    <t>AMPLIFICADOR DE SOM</t>
  </si>
  <si>
    <t xml:space="preserve"> 4 OHM_ 8 Canais _150 W - IPCA_BRASIL (FVG)</t>
  </si>
  <si>
    <t>240L</t>
  </si>
  <si>
    <t>PERFURADOR ELETRICO PARA ESPIRAL</t>
  </si>
  <si>
    <t>MARMITEIRO ELETRICO PARA 100 MARMITAS</t>
  </si>
  <si>
    <t>ESTANTE EM MADEIRA</t>
  </si>
  <si>
    <t>1,90 X 1,16 X 0,45 M</t>
  </si>
  <si>
    <t>1,20 X 1,10 X 0,35 M</t>
  </si>
  <si>
    <t>2 PORTAS (90X50X60CM)</t>
  </si>
  <si>
    <t>2 PORTAS (2,08 X 1,00 X 0,60 M)</t>
  </si>
  <si>
    <t>1 PORTA</t>
  </si>
  <si>
    <t>CLIMATIZADOR DE AR .</t>
  </si>
  <si>
    <t xml:space="preserve">LAVADORA PROFISSIONAL </t>
  </si>
  <si>
    <t xml:space="preserve"> ESTOFADO E CARPETES COM ESCOVA .</t>
  </si>
  <si>
    <t>TERMOMERTRO INFRAVERMELHO - MODELO: E127</t>
  </si>
  <si>
    <t>INFANTIL - TH1027</t>
  </si>
  <si>
    <t xml:space="preserve">LIXEIRA CILINDRICA			
			</t>
  </si>
  <si>
    <t>EXTRATOR DE SUCO TIPO DOMESTICO</t>
  </si>
  <si>
    <t xml:space="preserve">BALCAO PARA RECEPCAO                        
                        </t>
  </si>
  <si>
    <t xml:space="preserve">TESTADOR DE CABOS UTP-STP E COAXIL			
			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</si>
</sst>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&quot;/&quot;mm&quot;/&quot;yyyy"/>
    <numFmt numFmtId="165" formatCode="_-* #,##0.00_-;\-* #,##0.00_-;_-* \-??_-;_-@"/>
    <numFmt numFmtId="166" formatCode="d/m/yyyy"/>
    <numFmt numFmtId="167" formatCode="dd/mm/yyyy"/>
  </numFmts>
  <fonts count="14">
    <font>
      <sz val="11.0"/>
      <color theme="1"/>
      <name val="Calibri"/>
      <scheme val="minor"/>
    </font>
    <font>
      <sz val="11.0"/>
      <color rgb="FFCCCCCC"/>
      <name val="Calibri"/>
    </font>
    <font>
      <b/>
      <sz val="11.0"/>
      <color theme="1"/>
      <name val="Calibri"/>
    </font>
    <font>
      <sz val="11.0"/>
      <color theme="1"/>
      <name val="Calibri"/>
    </font>
    <font>
      <sz val="11.0"/>
      <color rgb="FFFFC000"/>
      <name val="Calibri"/>
    </font>
    <font>
      <sz val="16.0"/>
      <color rgb="FFFF0000"/>
      <name val="Calibri"/>
    </font>
    <font/>
    <font>
      <sz val="12.0"/>
      <color rgb="FF000000"/>
      <name val="Calibri"/>
    </font>
    <font>
      <sz val="10.0"/>
      <color theme="1"/>
      <name val="Calibri"/>
    </font>
    <font>
      <sz val="11.0"/>
      <color rgb="FF000000"/>
      <name val="Calibri"/>
    </font>
    <font>
      <sz val="12.0"/>
      <color theme="1"/>
      <name val="Calibri"/>
    </font>
    <font>
      <color theme="1"/>
      <name val="Calibri"/>
      <scheme val="minor"/>
    </font>
    <font>
      <sz val="9.0"/>
      <color rgb="FF777777"/>
      <name val="Trebuchet MS"/>
    </font>
    <font>
      <b/>
      <sz val="12.0"/>
      <color rgb="FF0070C0"/>
      <name val="Calibri"/>
    </font>
  </fonts>
  <fills count="12">
    <fill>
      <patternFill patternType="none"/>
    </fill>
    <fill>
      <patternFill patternType="lightGray"/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8DB3E2"/>
        <bgColor rgb="FF8DB3E2"/>
      </patternFill>
    </fill>
    <fill>
      <patternFill patternType="solid">
        <fgColor rgb="FF00FF00"/>
        <bgColor rgb="FF00FF00"/>
      </patternFill>
    </fill>
    <fill>
      <patternFill patternType="solid">
        <fgColor rgb="FFD9EAD3"/>
        <bgColor rgb="FFD9EAD3"/>
      </patternFill>
    </fill>
    <fill>
      <patternFill patternType="solid">
        <fgColor rgb="FFFFFF00"/>
        <bgColor rgb="FFFFFF00"/>
      </patternFill>
    </fill>
    <fill>
      <patternFill patternType="solid">
        <fgColor theme="6"/>
        <bgColor theme="6"/>
      </patternFill>
    </fill>
    <fill>
      <patternFill patternType="solid">
        <fgColor rgb="FFFFFFFF"/>
        <bgColor rgb="FFFFFFFF"/>
      </patternFill>
    </fill>
    <fill>
      <patternFill patternType="solid">
        <fgColor rgb="FF00FFFF"/>
        <bgColor rgb="FF00FFFF"/>
      </patternFill>
    </fill>
  </fills>
  <borders count="53">
    <border/>
    <border>
      <left style="thick">
        <color rgb="FF0070C0"/>
      </left>
      <right style="thick">
        <color rgb="FF0070C0"/>
      </right>
      <top style="thick">
        <color rgb="FF0070C0"/>
      </top>
      <bottom/>
    </border>
    <border>
      <left/>
      <right/>
      <top/>
      <bottom/>
    </border>
    <border>
      <left style="medium">
        <color rgb="FF000000"/>
      </left>
      <right/>
      <top style="thick">
        <color rgb="FF0070C0"/>
      </top>
      <bottom/>
    </border>
    <border>
      <left/>
      <right style="medium">
        <color rgb="FF000000"/>
      </right>
      <top/>
      <bottom/>
    </border>
    <border>
      <left style="medium">
        <color rgb="FF000000"/>
      </left>
      <right/>
      <top/>
      <bottom/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bottom style="medium">
        <color rgb="FF000000"/>
      </bottom>
    </border>
    <border>
      <left/>
      <right/>
      <top/>
      <bottom style="medium">
        <color rgb="FF000000"/>
      </bottom>
    </border>
    <border>
      <left style="medium">
        <color rgb="FF000000"/>
      </left>
      <top/>
      <bottom style="medium">
        <color rgb="FF000000"/>
      </bottom>
    </border>
    <border>
      <right/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medium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bottom style="thin">
        <color rgb="FF000000"/>
      </bottom>
    </border>
    <border>
      <left style="medium">
        <color rgb="FF000000"/>
      </left>
      <bottom style="thin">
        <color rgb="FF000000"/>
      </bottom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left style="medium">
        <color rgb="FF000000"/>
      </left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</border>
    <border>
      <left style="medium">
        <color rgb="FF000000"/>
      </left>
      <right style="medium">
        <color rgb="FF000000"/>
      </right>
      <top style="thin">
        <color rgb="FF000000"/>
      </top>
    </border>
  </borders>
  <cellStyleXfs count="1">
    <xf borderId="0" fillId="0" fontId="0" numFmtId="0" applyAlignment="1" applyFont="1"/>
  </cellStyleXfs>
  <cellXfs count="27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 vertical="center"/>
    </xf>
    <xf borderId="1" fillId="2" fontId="2" numFmtId="0" xfId="0" applyAlignment="1" applyBorder="1" applyFill="1" applyFont="1">
      <alignment horizontal="center" vertical="center"/>
    </xf>
    <xf borderId="1" fillId="2" fontId="2" numFmtId="0" xfId="0" applyAlignment="1" applyBorder="1" applyFont="1">
      <alignment horizontal="left" vertical="center"/>
    </xf>
    <xf borderId="0" fillId="0" fontId="2" numFmtId="0" xfId="0" applyAlignment="1" applyFont="1">
      <alignment horizontal="left" vertical="center"/>
    </xf>
    <xf borderId="2" fillId="3" fontId="3" numFmtId="0" xfId="0" applyAlignment="1" applyBorder="1" applyFill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3" numFmtId="0" xfId="0" applyAlignment="1" applyFont="1">
      <alignment horizontal="right" vertical="center"/>
    </xf>
    <xf quotePrefix="1" borderId="0" fillId="0" fontId="3" numFmtId="0" xfId="0" applyAlignment="1" applyFont="1">
      <alignment readingOrder="0" vertical="center"/>
    </xf>
    <xf borderId="0" fillId="0" fontId="3" numFmtId="0" xfId="0" applyAlignment="1" applyFont="1">
      <alignment vertical="center"/>
    </xf>
    <xf borderId="3" fillId="4" fontId="4" numFmtId="0" xfId="0" applyAlignment="1" applyBorder="1" applyFill="1" applyFont="1">
      <alignment vertical="center"/>
    </xf>
    <xf borderId="4" fillId="4" fontId="4" numFmtId="0" xfId="0" applyAlignment="1" applyBorder="1" applyFont="1">
      <alignment horizontal="left" vertical="center"/>
    </xf>
    <xf borderId="0" fillId="0" fontId="4" numFmtId="0" xfId="0" applyAlignment="1" applyFont="1">
      <alignment horizontal="left" vertical="center"/>
    </xf>
    <xf borderId="5" fillId="4" fontId="4" numFmtId="0" xfId="0" applyAlignment="1" applyBorder="1" applyFont="1">
      <alignment vertical="center"/>
    </xf>
    <xf borderId="5" fillId="4" fontId="3" numFmtId="0" xfId="0" applyAlignment="1" applyBorder="1" applyFont="1">
      <alignment vertical="center"/>
    </xf>
    <xf borderId="4" fillId="4" fontId="3" numFmtId="0" xfId="0" applyAlignment="1" applyBorder="1" applyFont="1">
      <alignment horizontal="left" readingOrder="0" vertical="center"/>
    </xf>
    <xf borderId="0" fillId="0" fontId="3" numFmtId="0" xfId="0" applyAlignment="1" applyFont="1">
      <alignment horizontal="left" vertical="center"/>
    </xf>
    <xf borderId="6" fillId="4" fontId="3" numFmtId="0" xfId="0" applyAlignment="1" applyBorder="1" applyFont="1">
      <alignment vertical="center"/>
    </xf>
    <xf borderId="7" fillId="4" fontId="3" numFmtId="0" xfId="0" applyAlignment="1" applyBorder="1" applyFont="1">
      <alignment horizontal="left" vertical="center"/>
    </xf>
    <xf borderId="8" fillId="0" fontId="3" numFmtId="0" xfId="0" applyAlignment="1" applyBorder="1" applyFont="1">
      <alignment horizontal="left" vertical="center"/>
    </xf>
    <xf borderId="9" fillId="3" fontId="3" numFmtId="0" xfId="0" applyAlignment="1" applyBorder="1" applyFont="1">
      <alignment horizontal="center" vertical="center"/>
    </xf>
    <xf borderId="8" fillId="0" fontId="3" numFmtId="0" xfId="0" applyAlignment="1" applyBorder="1" applyFont="1">
      <alignment horizontal="center" vertical="center"/>
    </xf>
    <xf borderId="8" fillId="0" fontId="3" numFmtId="0" xfId="0" applyAlignment="1" applyBorder="1" applyFont="1">
      <alignment horizontal="right" vertical="center"/>
    </xf>
    <xf borderId="8" fillId="0" fontId="3" numFmtId="0" xfId="0" applyAlignment="1" applyBorder="1" applyFont="1">
      <alignment vertical="center"/>
    </xf>
    <xf borderId="10" fillId="4" fontId="5" numFmtId="0" xfId="0" applyAlignment="1" applyBorder="1" applyFont="1">
      <alignment horizontal="center" vertical="center"/>
    </xf>
    <xf borderId="11" fillId="0" fontId="6" numFmtId="0" xfId="0" applyBorder="1" applyFont="1"/>
    <xf borderId="12" fillId="4" fontId="5" numFmtId="0" xfId="0" applyAlignment="1" applyBorder="1" applyFont="1">
      <alignment horizontal="center" vertical="center"/>
    </xf>
    <xf borderId="13" fillId="4" fontId="5" numFmtId="0" xfId="0" applyAlignment="1" applyBorder="1" applyFont="1">
      <alignment horizontal="center" vertical="center"/>
    </xf>
    <xf borderId="14" fillId="0" fontId="6" numFmtId="0" xfId="0" applyBorder="1" applyFont="1"/>
    <xf borderId="15" fillId="0" fontId="6" numFmtId="0" xfId="0" applyBorder="1" applyFont="1"/>
    <xf borderId="16" fillId="5" fontId="3" numFmtId="0" xfId="0" applyAlignment="1" applyBorder="1" applyFill="1" applyFont="1">
      <alignment horizontal="center" vertical="center"/>
    </xf>
    <xf borderId="16" fillId="5" fontId="3" numFmtId="0" xfId="0" applyAlignment="1" applyBorder="1" applyFont="1">
      <alignment horizontal="left" vertical="center"/>
    </xf>
    <xf borderId="17" fillId="5" fontId="3" numFmtId="0" xfId="0" applyAlignment="1" applyBorder="1" applyFont="1">
      <alignment horizontal="center" vertical="center"/>
    </xf>
    <xf borderId="18" fillId="5" fontId="3" numFmtId="0" xfId="0" applyAlignment="1" applyBorder="1" applyFont="1">
      <alignment horizontal="center" vertical="center"/>
    </xf>
    <xf borderId="19" fillId="5" fontId="3" numFmtId="0" xfId="0" applyAlignment="1" applyBorder="1" applyFont="1">
      <alignment horizontal="center" vertical="center"/>
    </xf>
    <xf borderId="12" fillId="5" fontId="3" numFmtId="0" xfId="0" applyAlignment="1" applyBorder="1" applyFont="1">
      <alignment horizontal="center" vertical="center"/>
    </xf>
    <xf borderId="20" fillId="6" fontId="3" numFmtId="0" xfId="0" applyAlignment="1" applyBorder="1" applyFill="1" applyFont="1">
      <alignment horizontal="center" vertical="center"/>
    </xf>
    <xf borderId="20" fillId="6" fontId="3" numFmtId="0" xfId="0" applyAlignment="1" applyBorder="1" applyFont="1">
      <alignment horizontal="left" vertical="center"/>
    </xf>
    <xf borderId="21" fillId="6" fontId="3" numFmtId="1" xfId="0" applyAlignment="1" applyBorder="1" applyFont="1" applyNumberFormat="1">
      <alignment horizontal="left" vertical="center"/>
    </xf>
    <xf borderId="22" fillId="0" fontId="7" numFmtId="4" xfId="0" applyAlignment="1" applyBorder="1" applyFont="1" applyNumberFormat="1">
      <alignment horizontal="center" readingOrder="0" shrinkToFit="1" vertical="center" wrapText="0"/>
    </xf>
    <xf borderId="23" fillId="0" fontId="7" numFmtId="4" xfId="0" applyAlignment="1" applyBorder="1" applyFont="1" applyNumberFormat="1">
      <alignment horizontal="center" readingOrder="0" shrinkToFit="1" vertical="center" wrapText="0"/>
    </xf>
    <xf borderId="20" fillId="0" fontId="3" numFmtId="4" xfId="0" applyAlignment="1" applyBorder="1" applyFont="1" applyNumberFormat="1">
      <alignment horizontal="right" vertical="center"/>
    </xf>
    <xf borderId="24" fillId="0" fontId="3" numFmtId="10" xfId="0" applyAlignment="1" applyBorder="1" applyFont="1" applyNumberFormat="1">
      <alignment horizontal="center" vertical="center"/>
    </xf>
    <xf borderId="25" fillId="0" fontId="3" numFmtId="10" xfId="0" applyAlignment="1" applyBorder="1" applyFont="1" applyNumberFormat="1">
      <alignment horizontal="center" vertical="center"/>
    </xf>
    <xf borderId="26" fillId="0" fontId="3" numFmtId="164" xfId="0" applyAlignment="1" applyBorder="1" applyFont="1" applyNumberFormat="1">
      <alignment horizontal="center" readingOrder="0" vertical="center"/>
    </xf>
    <xf borderId="27" fillId="0" fontId="3" numFmtId="164" xfId="0" applyAlignment="1" applyBorder="1" applyFont="1" applyNumberFormat="1">
      <alignment horizontal="center" vertical="center"/>
    </xf>
    <xf borderId="28" fillId="6" fontId="3" numFmtId="1" xfId="0" applyAlignment="1" applyBorder="1" applyFont="1" applyNumberFormat="1">
      <alignment horizontal="left" vertical="center"/>
    </xf>
    <xf borderId="29" fillId="0" fontId="7" numFmtId="4" xfId="0" applyAlignment="1" applyBorder="1" applyFont="1" applyNumberFormat="1">
      <alignment horizontal="center" readingOrder="0" shrinkToFit="1" vertical="center" wrapText="0"/>
    </xf>
    <xf borderId="20" fillId="0" fontId="7" numFmtId="4" xfId="0" applyAlignment="1" applyBorder="1" applyFont="1" applyNumberFormat="1">
      <alignment horizontal="center" readingOrder="0" shrinkToFit="1" vertical="center" wrapText="0"/>
    </xf>
    <xf borderId="30" fillId="0" fontId="3" numFmtId="10" xfId="0" applyAlignment="1" applyBorder="1" applyFont="1" applyNumberFormat="1">
      <alignment horizontal="center" vertical="center"/>
    </xf>
    <xf borderId="28" fillId="0" fontId="3" numFmtId="164" xfId="0" applyAlignment="1" applyBorder="1" applyFont="1" applyNumberFormat="1">
      <alignment horizontal="center" vertical="center"/>
    </xf>
    <xf borderId="28" fillId="6" fontId="8" numFmtId="1" xfId="0" applyAlignment="1" applyBorder="1" applyFont="1" applyNumberFormat="1">
      <alignment horizontal="left" vertical="center"/>
    </xf>
    <xf borderId="28" fillId="6" fontId="9" numFmtId="0" xfId="0" applyAlignment="1" applyBorder="1" applyFont="1">
      <alignment horizontal="left" shrinkToFit="1" vertical="center" wrapText="0"/>
    </xf>
    <xf borderId="29" fillId="0" fontId="10" numFmtId="4" xfId="0" applyAlignment="1" applyBorder="1" applyFont="1" applyNumberFormat="1">
      <alignment horizontal="center" readingOrder="0" shrinkToFit="1" vertical="center" wrapText="0"/>
    </xf>
    <xf borderId="20" fillId="0" fontId="3" numFmtId="4" xfId="0" applyAlignment="1" applyBorder="1" applyFont="1" applyNumberFormat="1">
      <alignment horizontal="center" readingOrder="0" shrinkToFit="1" vertical="center" wrapText="0"/>
    </xf>
    <xf borderId="20" fillId="0" fontId="10" numFmtId="4" xfId="0" applyAlignment="1" applyBorder="1" applyFont="1" applyNumberFormat="1">
      <alignment horizontal="center" readingOrder="0" shrinkToFit="1" vertical="center" wrapText="0"/>
    </xf>
    <xf borderId="29" fillId="0" fontId="9" numFmtId="4" xfId="0" applyAlignment="1" applyBorder="1" applyFont="1" applyNumberFormat="1">
      <alignment horizontal="center" readingOrder="0" shrinkToFit="1" vertical="center" wrapText="0"/>
    </xf>
    <xf borderId="20" fillId="0" fontId="9" numFmtId="4" xfId="0" applyAlignment="1" applyBorder="1" applyFont="1" applyNumberFormat="1">
      <alignment horizontal="center" readingOrder="0" shrinkToFit="1" vertical="center" wrapText="0"/>
    </xf>
    <xf borderId="29" fillId="0" fontId="3" numFmtId="164" xfId="0" applyAlignment="1" applyBorder="1" applyFont="1" applyNumberFormat="1">
      <alignment horizontal="center" readingOrder="0" vertical="center"/>
    </xf>
    <xf borderId="31" fillId="6" fontId="8" numFmtId="1" xfId="0" applyAlignment="1" applyBorder="1" applyFont="1" applyNumberFormat="1">
      <alignment horizontal="left" vertical="center"/>
    </xf>
    <xf borderId="26" fillId="0" fontId="3" numFmtId="4" xfId="0" applyAlignment="1" applyBorder="1" applyFont="1" applyNumberFormat="1">
      <alignment horizontal="center" readingOrder="0" shrinkToFit="1" vertical="center" wrapText="0"/>
    </xf>
    <xf borderId="32" fillId="0" fontId="3" numFmtId="4" xfId="0" applyAlignment="1" applyBorder="1" applyFont="1" applyNumberFormat="1">
      <alignment horizontal="center" readingOrder="0" shrinkToFit="1" vertical="center" wrapText="0"/>
    </xf>
    <xf borderId="32" fillId="0" fontId="3" numFmtId="4" xfId="0" applyAlignment="1" applyBorder="1" applyFont="1" applyNumberFormat="1">
      <alignment horizontal="center" readingOrder="0" shrinkToFit="1" vertical="center" wrapText="0"/>
    </xf>
    <xf borderId="29" fillId="0" fontId="3" numFmtId="4" xfId="0" applyAlignment="1" applyBorder="1" applyFont="1" applyNumberFormat="1">
      <alignment horizontal="center" readingOrder="0" shrinkToFit="1" vertical="center" wrapText="0"/>
    </xf>
    <xf borderId="29" fillId="0" fontId="3" numFmtId="4" xfId="0" applyAlignment="1" applyBorder="1" applyFont="1" applyNumberFormat="1">
      <alignment horizontal="center" shrinkToFit="1" vertical="center" wrapText="0"/>
    </xf>
    <xf borderId="20" fillId="0" fontId="3" numFmtId="4" xfId="0" applyAlignment="1" applyBorder="1" applyFont="1" applyNumberFormat="1">
      <alignment horizontal="center" shrinkToFit="1" vertical="center" wrapText="0"/>
    </xf>
    <xf borderId="20" fillId="6" fontId="3" numFmtId="0" xfId="0" applyAlignment="1" applyBorder="1" applyFont="1">
      <alignment horizontal="left" readingOrder="0" vertical="center"/>
    </xf>
    <xf borderId="28" fillId="6" fontId="3" numFmtId="1" xfId="0" applyAlignment="1" applyBorder="1" applyFont="1" applyNumberFormat="1">
      <alignment horizontal="left" readingOrder="0" vertical="center"/>
    </xf>
    <xf borderId="20" fillId="7" fontId="3" numFmtId="0" xfId="0" applyAlignment="1" applyBorder="1" applyFill="1" applyFont="1">
      <alignment horizontal="center" readingOrder="0" vertical="center"/>
    </xf>
    <xf borderId="20" fillId="7" fontId="3" numFmtId="0" xfId="0" applyAlignment="1" applyBorder="1" applyFont="1">
      <alignment horizontal="left" readingOrder="0" vertical="center"/>
    </xf>
    <xf borderId="28" fillId="7" fontId="3" numFmtId="1" xfId="0" applyAlignment="1" applyBorder="1" applyFont="1" applyNumberFormat="1">
      <alignment horizontal="left" readingOrder="0" vertical="center"/>
    </xf>
    <xf borderId="29" fillId="7" fontId="3" numFmtId="4" xfId="0" applyAlignment="1" applyBorder="1" applyFont="1" applyNumberFormat="1">
      <alignment horizontal="center" readingOrder="0" shrinkToFit="1" vertical="center" wrapText="0"/>
    </xf>
    <xf borderId="20" fillId="7" fontId="3" numFmtId="4" xfId="0" applyAlignment="1" applyBorder="1" applyFont="1" applyNumberFormat="1">
      <alignment horizontal="center" readingOrder="0" shrinkToFit="1" vertical="center" wrapText="0"/>
    </xf>
    <xf borderId="20" fillId="7" fontId="3" numFmtId="4" xfId="0" applyAlignment="1" applyBorder="1" applyFont="1" applyNumberFormat="1">
      <alignment horizontal="right" vertical="center"/>
    </xf>
    <xf borderId="30" fillId="7" fontId="3" numFmtId="10" xfId="0" applyAlignment="1" applyBorder="1" applyFont="1" applyNumberFormat="1">
      <alignment horizontal="center" vertical="center"/>
    </xf>
    <xf borderId="25" fillId="7" fontId="3" numFmtId="10" xfId="0" applyAlignment="1" applyBorder="1" applyFont="1" applyNumberFormat="1">
      <alignment horizontal="center" vertical="center"/>
    </xf>
    <xf borderId="29" fillId="7" fontId="3" numFmtId="164" xfId="0" applyAlignment="1" applyBorder="1" applyFont="1" applyNumberFormat="1">
      <alignment horizontal="center" readingOrder="0" vertical="center"/>
    </xf>
    <xf borderId="28" fillId="7" fontId="3" numFmtId="164" xfId="0" applyAlignment="1" applyBorder="1" applyFont="1" applyNumberFormat="1">
      <alignment horizontal="center" vertical="center"/>
    </xf>
    <xf borderId="29" fillId="0" fontId="3" numFmtId="164" xfId="0" applyAlignment="1" applyBorder="1" applyFont="1" applyNumberFormat="1">
      <alignment horizontal="center" vertical="center"/>
    </xf>
    <xf borderId="20" fillId="7" fontId="3" numFmtId="0" xfId="0" applyAlignment="1" applyBorder="1" applyFont="1">
      <alignment horizontal="center" vertical="center"/>
    </xf>
    <xf borderId="20" fillId="7" fontId="3" numFmtId="0" xfId="0" applyAlignment="1" applyBorder="1" applyFont="1">
      <alignment horizontal="left" vertical="center"/>
    </xf>
    <xf borderId="20" fillId="0" fontId="3" numFmtId="0" xfId="0" applyAlignment="1" applyBorder="1" applyFont="1">
      <alignment horizontal="center" vertical="center"/>
    </xf>
    <xf borderId="20" fillId="0" fontId="3" numFmtId="0" xfId="0" applyAlignment="1" applyBorder="1" applyFont="1">
      <alignment horizontal="left" vertical="center"/>
    </xf>
    <xf borderId="28" fillId="0" fontId="3" numFmtId="1" xfId="0" applyAlignment="1" applyBorder="1" applyFont="1" applyNumberFormat="1">
      <alignment horizontal="left" vertical="center"/>
    </xf>
    <xf borderId="28" fillId="7" fontId="3" numFmtId="1" xfId="0" applyAlignment="1" applyBorder="1" applyFont="1" applyNumberFormat="1">
      <alignment horizontal="left" vertical="center"/>
    </xf>
    <xf borderId="33" fillId="7" fontId="3" numFmtId="4" xfId="0" applyAlignment="1" applyBorder="1" applyFont="1" applyNumberFormat="1">
      <alignment horizontal="center" shrinkToFit="1" vertical="center" wrapText="0"/>
    </xf>
    <xf borderId="20" fillId="7" fontId="3" numFmtId="4" xfId="0" applyAlignment="1" applyBorder="1" applyFont="1" applyNumberFormat="1">
      <alignment horizontal="center" shrinkToFit="1" vertical="center" wrapText="0"/>
    </xf>
    <xf borderId="29" fillId="0" fontId="9" numFmtId="4" xfId="0" applyAlignment="1" applyBorder="1" applyFont="1" applyNumberFormat="1">
      <alignment horizontal="center" shrinkToFit="1" vertical="center" wrapText="0"/>
    </xf>
    <xf borderId="20" fillId="0" fontId="9" numFmtId="4" xfId="0" applyAlignment="1" applyBorder="1" applyFont="1" applyNumberFormat="1">
      <alignment horizontal="center" shrinkToFit="1" vertical="center" wrapText="0"/>
    </xf>
    <xf borderId="34" fillId="0" fontId="3" numFmtId="0" xfId="0" applyAlignment="1" applyBorder="1" applyFont="1">
      <alignment horizontal="left" vertical="center"/>
    </xf>
    <xf borderId="27" fillId="0" fontId="3" numFmtId="1" xfId="0" applyAlignment="1" applyBorder="1" applyFont="1" applyNumberFormat="1">
      <alignment horizontal="left" vertical="center"/>
    </xf>
    <xf borderId="35" fillId="0" fontId="9" numFmtId="4" xfId="0" applyAlignment="1" applyBorder="1" applyFont="1" applyNumberFormat="1">
      <alignment horizontal="center" shrinkToFit="1" vertical="center" wrapText="0"/>
    </xf>
    <xf borderId="36" fillId="0" fontId="3" numFmtId="10" xfId="0" applyAlignment="1" applyBorder="1" applyFont="1" applyNumberFormat="1">
      <alignment horizontal="center" vertical="center"/>
    </xf>
    <xf borderId="25" fillId="0" fontId="3" numFmtId="4" xfId="0" applyAlignment="1" applyBorder="1" applyFont="1" applyNumberFormat="1">
      <alignment horizontal="right" vertical="center"/>
    </xf>
    <xf borderId="37" fillId="8" fontId="3" numFmtId="0" xfId="0" applyAlignment="1" applyBorder="1" applyFill="1" applyFont="1">
      <alignment horizontal="left" vertical="center"/>
    </xf>
    <xf borderId="35" fillId="0" fontId="3" numFmtId="4" xfId="0" applyAlignment="1" applyBorder="1" applyFont="1" applyNumberFormat="1">
      <alignment horizontal="center" shrinkToFit="1" vertical="center" wrapText="0"/>
    </xf>
    <xf borderId="38" fillId="0" fontId="3" numFmtId="4" xfId="0" applyAlignment="1" applyBorder="1" applyFont="1" applyNumberFormat="1">
      <alignment horizontal="center" shrinkToFit="1" vertical="center" wrapText="0"/>
    </xf>
    <xf borderId="20" fillId="0" fontId="3" numFmtId="0" xfId="0" applyAlignment="1" applyBorder="1" applyFont="1">
      <alignment horizontal="center" readingOrder="0" vertical="center"/>
    </xf>
    <xf borderId="34" fillId="0" fontId="3" numFmtId="0" xfId="0" applyAlignment="1" applyBorder="1" applyFont="1">
      <alignment horizontal="left" readingOrder="0" vertical="center"/>
    </xf>
    <xf borderId="34" fillId="6" fontId="3" numFmtId="0" xfId="0" applyAlignment="1" applyBorder="1" applyFont="1">
      <alignment horizontal="left" vertical="center"/>
    </xf>
    <xf borderId="35" fillId="0" fontId="3" numFmtId="4" xfId="0" applyAlignment="1" applyBorder="1" applyFont="1" applyNumberFormat="1">
      <alignment horizontal="center" readingOrder="0" shrinkToFit="1" vertical="center" wrapText="0"/>
    </xf>
    <xf borderId="38" fillId="0" fontId="3" numFmtId="4" xfId="0" applyAlignment="1" applyBorder="1" applyFont="1" applyNumberFormat="1">
      <alignment horizontal="center" readingOrder="0" shrinkToFit="1" vertical="center" wrapText="0"/>
    </xf>
    <xf borderId="20" fillId="3" fontId="3" numFmtId="0" xfId="0" applyAlignment="1" applyBorder="1" applyFont="1">
      <alignment horizontal="center" vertical="center"/>
    </xf>
    <xf borderId="34" fillId="3" fontId="3" numFmtId="0" xfId="0" applyAlignment="1" applyBorder="1" applyFont="1">
      <alignment horizontal="left" vertical="center"/>
    </xf>
    <xf borderId="28" fillId="3" fontId="3" numFmtId="1" xfId="0" applyAlignment="1" applyBorder="1" applyFont="1" applyNumberFormat="1">
      <alignment horizontal="left" readingOrder="0" vertical="center"/>
    </xf>
    <xf borderId="35" fillId="3" fontId="3" numFmtId="4" xfId="0" applyAlignment="1" applyBorder="1" applyFont="1" applyNumberFormat="1">
      <alignment horizontal="center" readingOrder="0" shrinkToFit="1" vertical="center" wrapText="0"/>
    </xf>
    <xf borderId="20" fillId="3" fontId="3" numFmtId="4" xfId="0" applyAlignment="1" applyBorder="1" applyFont="1" applyNumberFormat="1">
      <alignment horizontal="center" readingOrder="0" shrinkToFit="1" vertical="center" wrapText="0"/>
    </xf>
    <xf borderId="38" fillId="3" fontId="3" numFmtId="4" xfId="0" applyAlignment="1" applyBorder="1" applyFont="1" applyNumberFormat="1">
      <alignment horizontal="center" readingOrder="0" shrinkToFit="1" vertical="center" wrapText="0"/>
    </xf>
    <xf borderId="20" fillId="3" fontId="3" numFmtId="4" xfId="0" applyAlignment="1" applyBorder="1" applyFont="1" applyNumberFormat="1">
      <alignment horizontal="right" vertical="center"/>
    </xf>
    <xf borderId="30" fillId="3" fontId="3" numFmtId="10" xfId="0" applyAlignment="1" applyBorder="1" applyFont="1" applyNumberFormat="1">
      <alignment horizontal="center" vertical="center"/>
    </xf>
    <xf borderId="25" fillId="3" fontId="3" numFmtId="10" xfId="0" applyAlignment="1" applyBorder="1" applyFont="1" applyNumberFormat="1">
      <alignment horizontal="center" vertical="center"/>
    </xf>
    <xf borderId="29" fillId="3" fontId="3" numFmtId="164" xfId="0" applyAlignment="1" applyBorder="1" applyFont="1" applyNumberFormat="1">
      <alignment horizontal="center" vertical="center"/>
    </xf>
    <xf borderId="35" fillId="0" fontId="9" numFmtId="4" xfId="0" applyAlignment="1" applyBorder="1" applyFont="1" applyNumberFormat="1">
      <alignment horizontal="center" readingOrder="0" shrinkToFit="1" vertical="center" wrapText="0"/>
    </xf>
    <xf borderId="28" fillId="0" fontId="3" numFmtId="1" xfId="0" applyAlignment="1" applyBorder="1" applyFont="1" applyNumberFormat="1">
      <alignment horizontal="left" readingOrder="0" vertical="center"/>
    </xf>
    <xf borderId="20" fillId="9" fontId="3" numFmtId="0" xfId="0" applyAlignment="1" applyBorder="1" applyFill="1" applyFont="1">
      <alignment horizontal="center" vertical="center"/>
    </xf>
    <xf borderId="27" fillId="0" fontId="3" numFmtId="1" xfId="0" applyAlignment="1" applyBorder="1" applyFont="1" applyNumberFormat="1">
      <alignment horizontal="left" shrinkToFit="0" vertical="center" wrapText="1"/>
    </xf>
    <xf borderId="25" fillId="0" fontId="3" numFmtId="4" xfId="0" applyAlignment="1" applyBorder="1" applyFont="1" applyNumberFormat="1">
      <alignment horizontal="center" shrinkToFit="1" vertical="center" wrapText="0"/>
    </xf>
    <xf borderId="32" fillId="0" fontId="3" numFmtId="4" xfId="0" applyAlignment="1" applyBorder="1" applyFont="1" applyNumberFormat="1">
      <alignment horizontal="center" shrinkToFit="1" vertical="center" wrapText="0"/>
    </xf>
    <xf borderId="0" fillId="0" fontId="3" numFmtId="165" xfId="0" applyAlignment="1" applyFont="1" applyNumberFormat="1">
      <alignment vertical="center"/>
    </xf>
    <xf borderId="28" fillId="0" fontId="3" numFmtId="165" xfId="0" applyAlignment="1" applyBorder="1" applyFont="1" applyNumberFormat="1">
      <alignment horizontal="left" vertical="center"/>
    </xf>
    <xf borderId="35" fillId="0" fontId="9" numFmtId="165" xfId="0" applyAlignment="1" applyBorder="1" applyFont="1" applyNumberFormat="1">
      <alignment horizontal="center" shrinkToFit="1" vertical="center" wrapText="0"/>
    </xf>
    <xf borderId="20" fillId="0" fontId="9" numFmtId="165" xfId="0" applyAlignment="1" applyBorder="1" applyFont="1" applyNumberFormat="1">
      <alignment horizontal="center" shrinkToFit="1" vertical="center" wrapText="0"/>
    </xf>
    <xf borderId="20" fillId="0" fontId="3" numFmtId="165" xfId="0" applyAlignment="1" applyBorder="1" applyFont="1" applyNumberFormat="1">
      <alignment horizontal="right" vertical="center"/>
    </xf>
    <xf borderId="30" fillId="0" fontId="3" numFmtId="9" xfId="0" applyAlignment="1" applyBorder="1" applyFont="1" applyNumberFormat="1">
      <alignment horizontal="center" vertical="center"/>
    </xf>
    <xf borderId="25" fillId="0" fontId="3" numFmtId="165" xfId="0" applyAlignment="1" applyBorder="1" applyFont="1" applyNumberFormat="1">
      <alignment horizontal="center" vertical="center"/>
    </xf>
    <xf borderId="29" fillId="0" fontId="3" numFmtId="166" xfId="0" applyAlignment="1" applyBorder="1" applyFont="1" applyNumberFormat="1">
      <alignment horizontal="center" vertical="center"/>
    </xf>
    <xf borderId="28" fillId="0" fontId="3" numFmtId="0" xfId="0" applyAlignment="1" applyBorder="1" applyFont="1">
      <alignment horizontal="left" vertical="center"/>
    </xf>
    <xf borderId="28" fillId="0" fontId="9" numFmtId="0" xfId="0" applyAlignment="1" applyBorder="1" applyFont="1">
      <alignment horizontal="left" shrinkToFit="1" vertical="center" wrapText="0"/>
    </xf>
    <xf borderId="28" fillId="0" fontId="3" numFmtId="0" xfId="0" applyAlignment="1" applyBorder="1" applyFont="1">
      <alignment horizontal="left" shrinkToFit="1" vertical="center" wrapText="0"/>
    </xf>
    <xf borderId="0" fillId="0" fontId="3" numFmtId="0" xfId="0" applyAlignment="1" applyFont="1">
      <alignment readingOrder="0" vertical="center"/>
    </xf>
    <xf borderId="20" fillId="0" fontId="3" numFmtId="4" xfId="0" applyAlignment="1" applyBorder="1" applyFont="1" applyNumberFormat="1">
      <alignment horizontal="right" readingOrder="0" vertical="center"/>
    </xf>
    <xf borderId="38" fillId="0" fontId="9" numFmtId="4" xfId="0" applyAlignment="1" applyBorder="1" applyFont="1" applyNumberFormat="1">
      <alignment horizontal="center" shrinkToFit="1" vertical="center" wrapText="0"/>
    </xf>
    <xf borderId="38" fillId="0" fontId="9" numFmtId="4" xfId="0" applyAlignment="1" applyBorder="1" applyFont="1" applyNumberFormat="1">
      <alignment horizontal="center" readingOrder="0" shrinkToFit="1" vertical="center" wrapText="0"/>
    </xf>
    <xf borderId="20" fillId="6" fontId="3" numFmtId="0" xfId="0" applyAlignment="1" applyBorder="1" applyFont="1">
      <alignment horizontal="center" readingOrder="0" vertical="center"/>
    </xf>
    <xf borderId="34" fillId="6" fontId="3" numFmtId="0" xfId="0" applyAlignment="1" applyBorder="1" applyFont="1">
      <alignment horizontal="left" readingOrder="0" vertical="center"/>
    </xf>
    <xf borderId="28" fillId="0" fontId="9" numFmtId="0" xfId="0" applyAlignment="1" applyBorder="1" applyFont="1">
      <alignment horizontal="left" readingOrder="0" shrinkToFit="1" vertical="center" wrapText="0"/>
    </xf>
    <xf borderId="29" fillId="0" fontId="3" numFmtId="167" xfId="0" applyAlignment="1" applyBorder="1" applyFont="1" applyNumberFormat="1">
      <alignment horizontal="center" readingOrder="0" vertical="center"/>
    </xf>
    <xf borderId="20" fillId="9" fontId="3" numFmtId="0" xfId="0" applyAlignment="1" applyBorder="1" applyFont="1">
      <alignment horizontal="center" readingOrder="0" vertical="center"/>
    </xf>
    <xf borderId="33" fillId="0" fontId="3" numFmtId="4" xfId="0" applyAlignment="1" applyBorder="1" applyFont="1" applyNumberFormat="1">
      <alignment horizontal="center" readingOrder="0" shrinkToFit="1" vertical="center" wrapText="0"/>
    </xf>
    <xf borderId="34" fillId="9" fontId="3" numFmtId="0" xfId="0" applyAlignment="1" applyBorder="1" applyFont="1">
      <alignment horizontal="left" readingOrder="0" vertical="center"/>
    </xf>
    <xf borderId="28" fillId="9" fontId="3" numFmtId="1" xfId="0" applyAlignment="1" applyBorder="1" applyFont="1" applyNumberFormat="1">
      <alignment horizontal="left" readingOrder="0" vertical="center"/>
    </xf>
    <xf borderId="38" fillId="9" fontId="3" numFmtId="4" xfId="0" applyAlignment="1" applyBorder="1" applyFont="1" applyNumberFormat="1">
      <alignment horizontal="center" readingOrder="0" shrinkToFit="1" vertical="center" wrapText="0"/>
    </xf>
    <xf borderId="33" fillId="9" fontId="3" numFmtId="4" xfId="0" applyAlignment="1" applyBorder="1" applyFont="1" applyNumberFormat="1">
      <alignment horizontal="center" readingOrder="0" shrinkToFit="1" vertical="center" wrapText="0"/>
    </xf>
    <xf borderId="20" fillId="9" fontId="3" numFmtId="4" xfId="0" applyAlignment="1" applyBorder="1" applyFont="1" applyNumberFormat="1">
      <alignment horizontal="center" readingOrder="0" shrinkToFit="1" vertical="center" wrapText="0"/>
    </xf>
    <xf borderId="20" fillId="9" fontId="3" numFmtId="4" xfId="0" applyAlignment="1" applyBorder="1" applyFont="1" applyNumberFormat="1">
      <alignment horizontal="right" vertical="center"/>
    </xf>
    <xf borderId="30" fillId="9" fontId="3" numFmtId="10" xfId="0" applyAlignment="1" applyBorder="1" applyFont="1" applyNumberFormat="1">
      <alignment horizontal="center" vertical="center"/>
    </xf>
    <xf borderId="25" fillId="9" fontId="3" numFmtId="10" xfId="0" applyAlignment="1" applyBorder="1" applyFont="1" applyNumberFormat="1">
      <alignment horizontal="center" vertical="center"/>
    </xf>
    <xf borderId="29" fillId="9" fontId="3" numFmtId="164" xfId="0" applyAlignment="1" applyBorder="1" applyFont="1" applyNumberFormat="1">
      <alignment horizontal="center" readingOrder="0" vertical="center"/>
    </xf>
    <xf borderId="27" fillId="9" fontId="3" numFmtId="164" xfId="0" applyAlignment="1" applyBorder="1" applyFont="1" applyNumberFormat="1">
      <alignment horizontal="center" vertical="center"/>
    </xf>
    <xf borderId="28" fillId="9" fontId="3" numFmtId="164" xfId="0" applyAlignment="1" applyBorder="1" applyFont="1" applyNumberFormat="1">
      <alignment horizontal="center" vertical="center"/>
    </xf>
    <xf borderId="20" fillId="2" fontId="3" numFmtId="0" xfId="0" applyAlignment="1" applyBorder="1" applyFont="1">
      <alignment horizontal="center" readingOrder="0" vertical="center"/>
    </xf>
    <xf borderId="34" fillId="2" fontId="3" numFmtId="0" xfId="0" applyAlignment="1" applyBorder="1" applyFont="1">
      <alignment horizontal="left" readingOrder="0" vertical="center"/>
    </xf>
    <xf borderId="28" fillId="2" fontId="3" numFmtId="1" xfId="0" applyAlignment="1" applyBorder="1" applyFont="1" applyNumberFormat="1">
      <alignment horizontal="left" readingOrder="0" vertical="center"/>
    </xf>
    <xf borderId="38" fillId="2" fontId="3" numFmtId="4" xfId="0" applyAlignment="1" applyBorder="1" applyFont="1" applyNumberFormat="1">
      <alignment horizontal="center" shrinkToFit="1" vertical="center" wrapText="0"/>
    </xf>
    <xf borderId="20" fillId="2" fontId="3" numFmtId="4" xfId="0" applyAlignment="1" applyBorder="1" applyFont="1" applyNumberFormat="1">
      <alignment horizontal="center" shrinkToFit="1" vertical="center" wrapText="0"/>
    </xf>
    <xf borderId="20" fillId="2" fontId="3" numFmtId="4" xfId="0" applyAlignment="1" applyBorder="1" applyFont="1" applyNumberFormat="1">
      <alignment horizontal="right" vertical="center"/>
    </xf>
    <xf borderId="30" fillId="2" fontId="3" numFmtId="10" xfId="0" applyAlignment="1" applyBorder="1" applyFont="1" applyNumberFormat="1">
      <alignment horizontal="center" vertical="center"/>
    </xf>
    <xf borderId="25" fillId="2" fontId="3" numFmtId="10" xfId="0" applyAlignment="1" applyBorder="1" applyFont="1" applyNumberFormat="1">
      <alignment horizontal="center" vertical="center"/>
    </xf>
    <xf borderId="29" fillId="2" fontId="3" numFmtId="164" xfId="0" applyAlignment="1" applyBorder="1" applyFont="1" applyNumberFormat="1">
      <alignment horizontal="center" readingOrder="0" vertical="center"/>
    </xf>
    <xf borderId="28" fillId="2" fontId="3" numFmtId="164" xfId="0" applyAlignment="1" applyBorder="1" applyFont="1" applyNumberFormat="1">
      <alignment horizontal="center" vertical="center"/>
    </xf>
    <xf borderId="27" fillId="2" fontId="3" numFmtId="164" xfId="0" applyAlignment="1" applyBorder="1" applyFont="1" applyNumberFormat="1">
      <alignment horizontal="center" vertical="center"/>
    </xf>
    <xf borderId="35" fillId="2" fontId="3" numFmtId="4" xfId="0" applyAlignment="1" applyBorder="1" applyFont="1" applyNumberFormat="1">
      <alignment horizontal="center" shrinkToFit="1" vertical="center" wrapText="0"/>
    </xf>
    <xf borderId="35" fillId="2" fontId="9" numFmtId="4" xfId="0" applyAlignment="1" applyBorder="1" applyFont="1" applyNumberFormat="1">
      <alignment horizontal="center" readingOrder="0" shrinkToFit="1" vertical="center" wrapText="0"/>
    </xf>
    <xf borderId="20" fillId="2" fontId="9" numFmtId="4" xfId="0" applyAlignment="1" applyBorder="1" applyFont="1" applyNumberFormat="1">
      <alignment horizontal="center" shrinkToFit="1" vertical="center" wrapText="0"/>
    </xf>
    <xf borderId="29" fillId="2" fontId="9" numFmtId="4" xfId="0" applyAlignment="1" applyBorder="1" applyFont="1" applyNumberFormat="1">
      <alignment horizontal="center" shrinkToFit="1" vertical="center" wrapText="0"/>
    </xf>
    <xf borderId="29" fillId="2" fontId="3" numFmtId="164" xfId="0" applyAlignment="1" applyBorder="1" applyFont="1" applyNumberFormat="1">
      <alignment horizontal="center" vertical="center"/>
    </xf>
    <xf borderId="20" fillId="2" fontId="9" numFmtId="4" xfId="0" applyAlignment="1" applyBorder="1" applyFont="1" applyNumberFormat="1">
      <alignment horizontal="center" readingOrder="0" shrinkToFit="1" vertical="center" wrapText="0"/>
    </xf>
    <xf borderId="29" fillId="2" fontId="9" numFmtId="4" xfId="0" applyAlignment="1" applyBorder="1" applyFont="1" applyNumberFormat="1">
      <alignment horizontal="center" readingOrder="0" shrinkToFit="1" vertical="center" wrapText="0"/>
    </xf>
    <xf borderId="38" fillId="2" fontId="9" numFmtId="4" xfId="0" applyAlignment="1" applyBorder="1" applyFont="1" applyNumberFormat="1">
      <alignment horizontal="center" readingOrder="0" shrinkToFit="1" vertical="center" wrapText="0"/>
    </xf>
    <xf borderId="25" fillId="2" fontId="3" numFmtId="4" xfId="0" applyAlignment="1" applyBorder="1" applyFont="1" applyNumberFormat="1">
      <alignment horizontal="right" vertical="center"/>
    </xf>
    <xf borderId="28" fillId="2" fontId="3" numFmtId="1" xfId="0" applyAlignment="1" applyBorder="1" applyFont="1" applyNumberFormat="1">
      <alignment horizontal="left" vertical="center"/>
    </xf>
    <xf borderId="38" fillId="2" fontId="3" numFmtId="4" xfId="0" applyAlignment="1" applyBorder="1" applyFont="1" applyNumberFormat="1">
      <alignment horizontal="center" readingOrder="0" shrinkToFit="1" vertical="center" wrapText="0"/>
    </xf>
    <xf borderId="20" fillId="2" fontId="3" numFmtId="4" xfId="0" applyAlignment="1" applyBorder="1" applyFont="1" applyNumberFormat="1">
      <alignment horizontal="center" readingOrder="0" shrinkToFit="1" vertical="center" wrapText="0"/>
    </xf>
    <xf borderId="34" fillId="0" fontId="3" numFmtId="0" xfId="0" applyAlignment="1" applyBorder="1" applyFont="1">
      <alignment horizontal="left" readingOrder="0" vertical="bottom"/>
    </xf>
    <xf borderId="0" fillId="0" fontId="11" numFmtId="0" xfId="0" applyAlignment="1" applyFont="1">
      <alignment horizontal="center" readingOrder="0"/>
    </xf>
    <xf borderId="28" fillId="0" fontId="3" numFmtId="49" xfId="0" applyAlignment="1" applyBorder="1" applyFont="1" applyNumberFormat="1">
      <alignment horizontal="left" readingOrder="0" vertical="center"/>
    </xf>
    <xf borderId="34" fillId="7" fontId="3" numFmtId="0" xfId="0" applyAlignment="1" applyBorder="1" applyFont="1">
      <alignment horizontal="left" readingOrder="0" vertical="center"/>
    </xf>
    <xf borderId="38" fillId="7" fontId="9" numFmtId="4" xfId="0" applyAlignment="1" applyBorder="1" applyFont="1" applyNumberFormat="1">
      <alignment horizontal="center" readingOrder="0" shrinkToFit="1" vertical="center" wrapText="0"/>
    </xf>
    <xf borderId="20" fillId="7" fontId="9" numFmtId="4" xfId="0" applyAlignment="1" applyBorder="1" applyFont="1" applyNumberFormat="1">
      <alignment horizontal="center" readingOrder="0" shrinkToFit="1" vertical="center" wrapText="0"/>
    </xf>
    <xf borderId="34" fillId="0" fontId="3" numFmtId="0" xfId="0" applyAlignment="1" applyBorder="1" applyFont="1">
      <alignment horizontal="left" readingOrder="0" shrinkToFit="0" vertical="center" wrapText="1"/>
    </xf>
    <xf borderId="33" fillId="0" fontId="9" numFmtId="4" xfId="0" applyAlignment="1" applyBorder="1" applyFont="1" applyNumberFormat="1">
      <alignment horizontal="center" readingOrder="0" shrinkToFit="1" vertical="center" wrapText="0"/>
    </xf>
    <xf borderId="0" fillId="0" fontId="11" numFmtId="0" xfId="0" applyAlignment="1" applyFont="1">
      <alignment readingOrder="0"/>
    </xf>
    <xf borderId="29" fillId="0" fontId="3" numFmtId="166" xfId="0" applyAlignment="1" applyBorder="1" applyFont="1" applyNumberFormat="1">
      <alignment horizontal="center" readingOrder="0" vertical="center"/>
    </xf>
    <xf borderId="34" fillId="0" fontId="3" numFmtId="4" xfId="0" applyAlignment="1" applyBorder="1" applyFont="1" applyNumberFormat="1">
      <alignment horizontal="left" readingOrder="0" vertical="center"/>
    </xf>
    <xf borderId="39" fillId="0" fontId="9" numFmtId="4" xfId="0" applyAlignment="1" applyBorder="1" applyFont="1" applyNumberFormat="1">
      <alignment horizontal="center" readingOrder="0" shrinkToFit="1" vertical="center" wrapText="0"/>
    </xf>
    <xf borderId="28" fillId="0" fontId="3" numFmtId="164" xfId="0" applyAlignment="1" applyBorder="1" applyFont="1" applyNumberFormat="1">
      <alignment horizontal="center" readingOrder="0" vertical="center"/>
    </xf>
    <xf borderId="28" fillId="2" fontId="3" numFmtId="164" xfId="0" applyAlignment="1" applyBorder="1" applyFont="1" applyNumberFormat="1">
      <alignment horizontal="center" readingOrder="0" vertical="center"/>
    </xf>
    <xf borderId="0" fillId="8" fontId="3" numFmtId="0" xfId="0" applyAlignment="1" applyFont="1">
      <alignment vertical="center"/>
    </xf>
    <xf borderId="28" fillId="0" fontId="3" numFmtId="0" xfId="0" applyAlignment="1" applyBorder="1" applyFont="1">
      <alignment horizontal="left" readingOrder="0" shrinkToFit="1" vertical="center" wrapText="0"/>
    </xf>
    <xf borderId="20" fillId="0" fontId="3" numFmtId="0" xfId="0" applyAlignment="1" applyBorder="1" applyFont="1">
      <alignment horizontal="left" readingOrder="0" vertical="center"/>
    </xf>
    <xf borderId="20" fillId="3" fontId="3" numFmtId="0" xfId="0" applyAlignment="1" applyBorder="1" applyFont="1">
      <alignment horizontal="center" readingOrder="0" vertical="center"/>
    </xf>
    <xf borderId="20" fillId="3" fontId="3" numFmtId="0" xfId="0" applyAlignment="1" applyBorder="1" applyFont="1">
      <alignment horizontal="left" readingOrder="0" vertical="center"/>
    </xf>
    <xf borderId="28" fillId="3" fontId="3" numFmtId="164" xfId="0" applyAlignment="1" applyBorder="1" applyFont="1" applyNumberFormat="1">
      <alignment horizontal="center" vertical="center"/>
    </xf>
    <xf borderId="20" fillId="10" fontId="3" numFmtId="0" xfId="0" applyAlignment="1" applyBorder="1" applyFill="1" applyFont="1">
      <alignment horizontal="center" readingOrder="0" vertical="center"/>
    </xf>
    <xf borderId="20" fillId="0" fontId="11" numFmtId="0" xfId="0" applyAlignment="1" applyBorder="1" applyFont="1">
      <alignment horizontal="center" readingOrder="0"/>
    </xf>
    <xf borderId="34" fillId="10" fontId="3" numFmtId="0" xfId="0" applyAlignment="1" applyBorder="1" applyFont="1">
      <alignment horizontal="left" readingOrder="0" vertical="center"/>
    </xf>
    <xf borderId="20" fillId="0" fontId="9" numFmtId="4" xfId="0" applyAlignment="1" applyBorder="1" applyFont="1" applyNumberFormat="1">
      <alignment horizontal="right" readingOrder="0" shrinkToFit="1" vertical="center" wrapText="0"/>
    </xf>
    <xf borderId="28" fillId="0" fontId="3" numFmtId="1" xfId="0" applyAlignment="1" applyBorder="1" applyFont="1" applyNumberFormat="1">
      <alignment horizontal="center" readingOrder="0" vertical="center"/>
    </xf>
    <xf borderId="20" fillId="0" fontId="3" numFmtId="4" xfId="0" applyAlignment="1" applyBorder="1" applyFont="1" applyNumberFormat="1">
      <alignment horizontal="right" readingOrder="0" shrinkToFit="1" vertical="center" wrapText="0"/>
    </xf>
    <xf borderId="20" fillId="0" fontId="3" numFmtId="1" xfId="0" applyAlignment="1" applyBorder="1" applyFont="1" applyNumberFormat="1">
      <alignment horizontal="left" readingOrder="0" vertical="center"/>
    </xf>
    <xf borderId="20" fillId="10" fontId="9" numFmtId="4" xfId="0" applyAlignment="1" applyBorder="1" applyFont="1" applyNumberFormat="1">
      <alignment horizontal="center" readingOrder="0" shrinkToFit="1" vertical="center" wrapText="0"/>
    </xf>
    <xf borderId="35" fillId="10" fontId="9" numFmtId="4" xfId="0" applyAlignment="1" applyBorder="1" applyFont="1" applyNumberFormat="1">
      <alignment horizontal="center" readingOrder="0" shrinkToFit="1" vertical="center" wrapText="0"/>
    </xf>
    <xf borderId="29" fillId="0" fontId="3" numFmtId="1" xfId="0" applyAlignment="1" applyBorder="1" applyFont="1" applyNumberFormat="1">
      <alignment horizontal="left" readingOrder="0" vertical="center"/>
    </xf>
    <xf borderId="20" fillId="10" fontId="3" numFmtId="4" xfId="0" applyAlignment="1" applyBorder="1" applyFont="1" applyNumberFormat="1">
      <alignment horizontal="center" readingOrder="0" vertical="center"/>
    </xf>
    <xf borderId="20" fillId="0" fontId="3" numFmtId="4" xfId="0" applyAlignment="1" applyBorder="1" applyFont="1" applyNumberFormat="1">
      <alignment horizontal="center" readingOrder="0" vertical="center"/>
    </xf>
    <xf borderId="20" fillId="0" fontId="3" numFmtId="4" xfId="0" applyAlignment="1" applyBorder="1" applyFont="1" applyNumberFormat="1">
      <alignment horizontal="center"/>
    </xf>
    <xf borderId="40" fillId="0" fontId="3" numFmtId="1" xfId="0" applyAlignment="1" applyBorder="1" applyFont="1" applyNumberFormat="1">
      <alignment horizontal="left" readingOrder="0" vertical="center"/>
    </xf>
    <xf borderId="41" fillId="0" fontId="3" numFmtId="164" xfId="0" applyAlignment="1" applyBorder="1" applyFont="1" applyNumberFormat="1">
      <alignment horizontal="center" vertical="center"/>
    </xf>
    <xf borderId="20" fillId="0" fontId="3" numFmtId="164" xfId="0" applyAlignment="1" applyBorder="1" applyFont="1" applyNumberFormat="1">
      <alignment horizontal="center" vertical="center"/>
    </xf>
    <xf borderId="42" fillId="0" fontId="3" numFmtId="164" xfId="0" applyAlignment="1" applyBorder="1" applyFont="1" applyNumberFormat="1">
      <alignment horizontal="center" vertical="center"/>
    </xf>
    <xf borderId="43" fillId="0" fontId="3" numFmtId="164" xfId="0" applyAlignment="1" applyBorder="1" applyFont="1" applyNumberFormat="1">
      <alignment horizontal="center" vertical="center"/>
    </xf>
    <xf borderId="44" fillId="0" fontId="3" numFmtId="10" xfId="0" applyAlignment="1" applyBorder="1" applyFont="1" applyNumberFormat="1">
      <alignment horizontal="center" vertical="center"/>
    </xf>
    <xf borderId="12" fillId="0" fontId="3" numFmtId="164" xfId="0" applyAlignment="1" applyBorder="1" applyFont="1" applyNumberFormat="1">
      <alignment horizontal="center" vertical="center"/>
    </xf>
    <xf borderId="45" fillId="0" fontId="3" numFmtId="164" xfId="0" applyAlignment="1" applyBorder="1" applyFont="1" applyNumberFormat="1">
      <alignment horizontal="center" readingOrder="0" vertical="center"/>
    </xf>
    <xf borderId="45" fillId="0" fontId="3" numFmtId="164" xfId="0" applyAlignment="1" applyBorder="1" applyFont="1" applyNumberFormat="1">
      <alignment horizontal="center" vertical="center"/>
    </xf>
    <xf borderId="0" fillId="10" fontId="3" numFmtId="0" xfId="0" applyAlignment="1" applyFont="1">
      <alignment vertical="center"/>
    </xf>
    <xf borderId="28" fillId="10" fontId="3" numFmtId="1" xfId="0" applyAlignment="1" applyBorder="1" applyFont="1" applyNumberFormat="1">
      <alignment horizontal="left" readingOrder="0" vertical="center"/>
    </xf>
    <xf borderId="20" fillId="10" fontId="3" numFmtId="4" xfId="0" applyAlignment="1" applyBorder="1" applyFont="1" applyNumberFormat="1">
      <alignment horizontal="center" readingOrder="0" shrinkToFit="1" vertical="center" wrapText="0"/>
    </xf>
    <xf borderId="38" fillId="10" fontId="3" numFmtId="4" xfId="0" applyAlignment="1" applyBorder="1" applyFont="1" applyNumberFormat="1">
      <alignment horizontal="center" readingOrder="0" shrinkToFit="1" vertical="center" wrapText="0"/>
    </xf>
    <xf borderId="20" fillId="10" fontId="3" numFmtId="4" xfId="0" applyAlignment="1" applyBorder="1" applyFont="1" applyNumberFormat="1">
      <alignment horizontal="right" vertical="center"/>
    </xf>
    <xf borderId="30" fillId="10" fontId="3" numFmtId="10" xfId="0" applyAlignment="1" applyBorder="1" applyFont="1" applyNumberFormat="1">
      <alignment horizontal="center" vertical="center"/>
    </xf>
    <xf borderId="25" fillId="10" fontId="3" numFmtId="10" xfId="0" applyAlignment="1" applyBorder="1" applyFont="1" applyNumberFormat="1">
      <alignment horizontal="center" vertical="center"/>
    </xf>
    <xf borderId="29" fillId="10" fontId="3" numFmtId="164" xfId="0" applyAlignment="1" applyBorder="1" applyFont="1" applyNumberFormat="1">
      <alignment horizontal="center" readingOrder="0" vertical="center"/>
    </xf>
    <xf borderId="28" fillId="10" fontId="3" numFmtId="164" xfId="0" applyAlignment="1" applyBorder="1" applyFont="1" applyNumberFormat="1">
      <alignment horizontal="center" vertical="center"/>
    </xf>
    <xf borderId="28" fillId="0" fontId="3" numFmtId="49" xfId="0" applyAlignment="1" applyBorder="1" applyFont="1" applyNumberFormat="1">
      <alignment horizontal="left" vertical="center"/>
    </xf>
    <xf borderId="33" fillId="0" fontId="3" numFmtId="4" xfId="0" applyAlignment="1" applyBorder="1" applyFont="1" applyNumberFormat="1">
      <alignment horizontal="center" shrinkToFit="1" vertical="center" wrapText="0"/>
    </xf>
    <xf borderId="35" fillId="0" fontId="3" numFmtId="10" xfId="0" applyAlignment="1" applyBorder="1" applyFont="1" applyNumberFormat="1">
      <alignment horizontal="center" vertical="center"/>
    </xf>
    <xf borderId="33" fillId="0" fontId="9" numFmtId="4" xfId="0" applyAlignment="1" applyBorder="1" applyFont="1" applyNumberFormat="1">
      <alignment horizontal="center" shrinkToFit="1" vertical="center" wrapText="0"/>
    </xf>
    <xf borderId="28" fillId="0" fontId="3" numFmtId="0" xfId="0" applyAlignment="1" applyBorder="1" applyFont="1">
      <alignment horizontal="center" vertical="center"/>
    </xf>
    <xf borderId="45" fillId="0" fontId="3" numFmtId="0" xfId="0" applyAlignment="1" applyBorder="1" applyFont="1">
      <alignment horizontal="center" vertical="center"/>
    </xf>
    <xf borderId="46" fillId="0" fontId="3" numFmtId="0" xfId="0" applyAlignment="1" applyBorder="1" applyFont="1">
      <alignment horizontal="left" vertical="center"/>
    </xf>
    <xf borderId="45" fillId="0" fontId="3" numFmtId="1" xfId="0" applyAlignment="1" applyBorder="1" applyFont="1" applyNumberFormat="1">
      <alignment horizontal="left" vertical="center"/>
    </xf>
    <xf borderId="47" fillId="0" fontId="9" numFmtId="4" xfId="0" applyAlignment="1" applyBorder="1" applyFont="1" applyNumberFormat="1">
      <alignment horizontal="center" shrinkToFit="1" vertical="center" wrapText="0"/>
    </xf>
    <xf borderId="48" fillId="0" fontId="9" numFmtId="4" xfId="0" applyAlignment="1" applyBorder="1" applyFont="1" applyNumberFormat="1">
      <alignment horizontal="center" shrinkToFit="1" vertical="center" wrapText="0"/>
    </xf>
    <xf borderId="48" fillId="0" fontId="3" numFmtId="4" xfId="0" applyAlignment="1" applyBorder="1" applyFont="1" applyNumberFormat="1">
      <alignment horizontal="right" vertical="center"/>
    </xf>
    <xf borderId="49" fillId="0" fontId="3" numFmtId="10" xfId="0" applyAlignment="1" applyBorder="1" applyFont="1" applyNumberFormat="1">
      <alignment horizontal="center" vertical="center"/>
    </xf>
    <xf borderId="46" fillId="0" fontId="3" numFmtId="164" xfId="0" applyAlignment="1" applyBorder="1" applyFont="1" applyNumberFormat="1">
      <alignment horizontal="center" vertical="center"/>
    </xf>
    <xf borderId="50" fillId="5" fontId="3" numFmtId="0" xfId="0" applyAlignment="1" applyBorder="1" applyFont="1">
      <alignment horizontal="center" readingOrder="0" vertical="center"/>
    </xf>
    <xf borderId="20" fillId="0" fontId="3" numFmtId="0" xfId="0" applyAlignment="1" applyBorder="1" applyFont="1">
      <alignment vertical="center"/>
    </xf>
    <xf borderId="26" fillId="2" fontId="3" numFmtId="164" xfId="0" applyAlignment="1" applyBorder="1" applyFont="1" applyNumberFormat="1">
      <alignment horizontal="center" vertical="center"/>
    </xf>
    <xf borderId="34" fillId="3" fontId="3" numFmtId="0" xfId="0" applyAlignment="1" applyBorder="1" applyFont="1">
      <alignment horizontal="left" readingOrder="0" vertical="center"/>
    </xf>
    <xf borderId="29" fillId="3" fontId="3" numFmtId="164" xfId="0" applyAlignment="1" applyBorder="1" applyFont="1" applyNumberFormat="1">
      <alignment horizontal="center" readingOrder="0" vertical="center"/>
    </xf>
    <xf borderId="20" fillId="0" fontId="3" numFmtId="0" xfId="0" applyAlignment="1" applyBorder="1" applyFont="1">
      <alignment readingOrder="0" vertical="center"/>
    </xf>
    <xf borderId="20" fillId="0" fontId="11" numFmtId="0" xfId="0" applyAlignment="1" applyBorder="1" applyFont="1">
      <alignment readingOrder="0"/>
    </xf>
    <xf borderId="20" fillId="0" fontId="3" numFmtId="0" xfId="0" applyAlignment="1" applyBorder="1" applyFont="1">
      <alignment horizontal="center"/>
    </xf>
    <xf borderId="20" fillId="11" fontId="3" numFmtId="0" xfId="0" applyBorder="1" applyFill="1" applyFont="1"/>
    <xf borderId="20" fillId="0" fontId="3" numFmtId="4" xfId="0" applyAlignment="1" applyBorder="1" applyFont="1" applyNumberFormat="1">
      <alignment horizontal="right"/>
    </xf>
    <xf borderId="20" fillId="11" fontId="3" numFmtId="0" xfId="0" applyBorder="1" applyFont="1"/>
    <xf borderId="20" fillId="0" fontId="3" numFmtId="4" xfId="0" applyAlignment="1" applyBorder="1" applyFont="1" applyNumberFormat="1">
      <alignment horizontal="right" vertical="bottom"/>
    </xf>
    <xf borderId="20" fillId="0" fontId="3" numFmtId="0" xfId="0" applyBorder="1" applyFont="1"/>
    <xf borderId="20" fillId="0" fontId="3" numFmtId="0" xfId="0" applyAlignment="1" applyBorder="1" applyFont="1">
      <alignment readingOrder="0"/>
    </xf>
    <xf borderId="34" fillId="11" fontId="3" numFmtId="0" xfId="0" applyBorder="1" applyFont="1"/>
    <xf borderId="0" fillId="0" fontId="3" numFmtId="0" xfId="0" applyAlignment="1" applyFont="1">
      <alignment horizontal="center" readingOrder="0" vertical="center"/>
    </xf>
    <xf borderId="0" fillId="0" fontId="3" numFmtId="0" xfId="0" applyAlignment="1" applyFont="1">
      <alignment horizontal="left" readingOrder="0" vertical="center"/>
    </xf>
    <xf borderId="0" fillId="0" fontId="3" numFmtId="1" xfId="0" applyAlignment="1" applyFont="1" applyNumberFormat="1">
      <alignment horizontal="left" readingOrder="0" vertical="center"/>
    </xf>
    <xf borderId="0" fillId="0" fontId="3" numFmtId="4" xfId="0" applyAlignment="1" applyFont="1" applyNumberFormat="1">
      <alignment horizontal="center" readingOrder="0" shrinkToFit="1" vertical="center" wrapText="0"/>
    </xf>
    <xf borderId="0" fillId="0" fontId="3" numFmtId="4" xfId="0" applyAlignment="1" applyFont="1" applyNumberFormat="1">
      <alignment horizontal="right" vertical="center"/>
    </xf>
    <xf borderId="0" fillId="0" fontId="3" numFmtId="10" xfId="0" applyAlignment="1" applyFont="1" applyNumberFormat="1">
      <alignment horizontal="center" vertical="center"/>
    </xf>
    <xf borderId="0" fillId="0" fontId="3" numFmtId="164" xfId="0" applyAlignment="1" applyFont="1" applyNumberFormat="1">
      <alignment horizontal="center" vertical="center"/>
    </xf>
    <xf borderId="0" fillId="0" fontId="12" numFmtId="0" xfId="0" applyAlignment="1" applyFont="1">
      <alignment readingOrder="0" vertical="center"/>
    </xf>
    <xf borderId="51" fillId="0" fontId="13" numFmtId="0" xfId="0" applyAlignment="1" applyBorder="1" applyFont="1">
      <alignment horizontal="left" vertical="center"/>
    </xf>
    <xf borderId="0" fillId="0" fontId="13" numFmtId="0" xfId="0" applyAlignment="1" applyFont="1">
      <alignment horizontal="left" vertical="center"/>
    </xf>
    <xf borderId="20" fillId="2" fontId="3" numFmtId="0" xfId="0" applyAlignment="1" applyBorder="1" applyFont="1">
      <alignment horizontal="center" vertical="center"/>
    </xf>
    <xf borderId="34" fillId="2" fontId="3" numFmtId="0" xfId="0" applyAlignment="1" applyBorder="1" applyFont="1">
      <alignment horizontal="left" vertical="center"/>
    </xf>
    <xf borderId="35" fillId="2" fontId="3" numFmtId="4" xfId="0" applyAlignment="1" applyBorder="1" applyFont="1" applyNumberFormat="1">
      <alignment horizontal="center" readingOrder="0" shrinkToFit="1" vertical="center" wrapText="0"/>
    </xf>
    <xf borderId="28" fillId="2" fontId="3" numFmtId="0" xfId="0" applyAlignment="1" applyBorder="1" applyFont="1">
      <alignment horizontal="left" shrinkToFit="1" vertical="center" wrapText="0"/>
    </xf>
    <xf borderId="28" fillId="2" fontId="9" numFmtId="0" xfId="0" applyAlignment="1" applyBorder="1" applyFont="1">
      <alignment horizontal="left" readingOrder="0" shrinkToFit="1" vertical="center" wrapText="0"/>
    </xf>
    <xf borderId="29" fillId="2" fontId="3" numFmtId="4" xfId="0" applyAlignment="1" applyBorder="1" applyFont="1" applyNumberFormat="1">
      <alignment horizontal="center" shrinkToFit="1" vertical="center" wrapText="0"/>
    </xf>
    <xf borderId="35" fillId="2" fontId="9" numFmtId="4" xfId="0" applyAlignment="1" applyBorder="1" applyFont="1" applyNumberFormat="1">
      <alignment horizontal="center" shrinkToFit="1" vertical="center" wrapText="0"/>
    </xf>
    <xf borderId="38" fillId="2" fontId="9" numFmtId="4" xfId="0" applyAlignment="1" applyBorder="1" applyFont="1" applyNumberFormat="1">
      <alignment horizontal="center" shrinkToFit="1" vertical="center" wrapText="0"/>
    </xf>
    <xf borderId="20" fillId="2" fontId="3" numFmtId="0" xfId="0" applyAlignment="1" applyBorder="1" applyFont="1">
      <alignment horizontal="left" readingOrder="0" vertical="center"/>
    </xf>
    <xf borderId="52" fillId="0" fontId="3" numFmtId="164" xfId="0" applyAlignment="1" applyBorder="1" applyFont="1" applyNumberFormat="1">
      <alignment horizontal="center" vertical="center"/>
    </xf>
    <xf borderId="26" fillId="0" fontId="3" numFmtId="164" xfId="0" applyAlignment="1" applyBorder="1" applyFont="1" applyNumberFormat="1">
      <alignment horizontal="center" vertical="center"/>
    </xf>
  </cellXfs>
  <cellStyles count="1">
    <cellStyle xfId="0" name="Normal" builtinId="0"/>
  </cellStyles>
  <dxfs count="5">
    <dxf>
      <font>
        <color rgb="FF000000"/>
      </font>
      <fill>
        <patternFill patternType="solid">
          <fgColor rgb="FFFFFF00"/>
          <bgColor rgb="FFFFFF00"/>
        </patternFill>
      </fill>
      <border/>
    </dxf>
    <dxf>
      <font>
        <color rgb="FFFFFFFF"/>
      </font>
      <fill>
        <patternFill patternType="none"/>
      </fill>
      <border/>
    </dxf>
    <dxf>
      <font>
        <sz val="11.0"/>
        <color rgb="FF000000"/>
        <name val="Calibri"/>
      </font>
      <fill>
        <patternFill patternType="none"/>
      </fill>
      <border/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3352800</xdr:colOff>
      <xdr:row>1</xdr:row>
      <xdr:rowOff>114300</xdr:rowOff>
    </xdr:from>
    <xdr:ext cx="723900" cy="5715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142875</xdr:colOff>
      <xdr:row>2</xdr:row>
      <xdr:rowOff>0</xdr:rowOff>
    </xdr:from>
    <xdr:ext cx="1019175" cy="4095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3352800</xdr:colOff>
      <xdr:row>2</xdr:row>
      <xdr:rowOff>114300</xdr:rowOff>
    </xdr:from>
    <xdr:ext cx="723900" cy="57150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142875</xdr:colOff>
      <xdr:row>3</xdr:row>
      <xdr:rowOff>0</xdr:rowOff>
    </xdr:from>
    <xdr:ext cx="1019175" cy="4095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7.0" topLeftCell="A8" activePane="bottomLeft" state="frozen"/>
      <selection activeCell="B9" sqref="B9" pane="bottomLeft"/>
    </sheetView>
  </sheetViews>
  <sheetFormatPr customHeight="1" defaultColWidth="14.43" defaultRowHeight="15.0"/>
  <cols>
    <col customWidth="1" min="1" max="1" width="1.43"/>
    <col customWidth="1" min="2" max="2" width="17.57"/>
    <col customWidth="1" min="3" max="3" width="60.57"/>
    <col customWidth="1" min="4" max="4" width="52.86"/>
    <col customWidth="1" min="5" max="5" width="14.29"/>
    <col customWidth="1" min="6" max="6" width="11.57"/>
    <col customWidth="1" min="7" max="7" width="10.71"/>
    <col customWidth="1" min="8" max="8" width="11.43"/>
    <col customWidth="1" min="9" max="9" width="13.43"/>
    <col customWidth="1" hidden="1" min="10" max="10" width="11.57"/>
    <col customWidth="1" min="11" max="11" width="17.29"/>
    <col customWidth="1" min="12" max="12" width="17.71"/>
    <col customWidth="1" min="13" max="26" width="9.14"/>
  </cols>
  <sheetData>
    <row r="1">
      <c r="A1" s="1" t="s">
        <v>0</v>
      </c>
      <c r="B1" s="2" t="s">
        <v>1</v>
      </c>
      <c r="C1" s="3" t="s">
        <v>2</v>
      </c>
      <c r="D1" s="4"/>
      <c r="E1" s="5"/>
      <c r="F1" s="6"/>
      <c r="G1" s="6"/>
      <c r="H1" s="7"/>
      <c r="I1" s="8" t="s">
        <v>3</v>
      </c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>
      <c r="A2" s="9"/>
      <c r="B2" s="10"/>
      <c r="C2" s="11"/>
      <c r="D2" s="12"/>
      <c r="E2" s="5"/>
      <c r="F2" s="6"/>
      <c r="G2" s="6"/>
      <c r="H2" s="7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9"/>
      <c r="B3" s="13"/>
      <c r="C3" s="11"/>
      <c r="D3" s="12"/>
      <c r="E3" s="5"/>
      <c r="F3" s="6"/>
      <c r="G3" s="6"/>
      <c r="H3" s="7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>
      <c r="A4" s="9"/>
      <c r="B4" s="14"/>
      <c r="C4" s="15"/>
      <c r="D4" s="16"/>
      <c r="E4" s="5"/>
      <c r="F4" s="6"/>
      <c r="G4" s="6"/>
      <c r="H4" s="7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>
      <c r="A5" s="9"/>
      <c r="B5" s="17"/>
      <c r="C5" s="18"/>
      <c r="D5" s="19"/>
      <c r="E5" s="20"/>
      <c r="F5" s="21"/>
      <c r="G5" s="21"/>
      <c r="H5" s="22"/>
      <c r="I5" s="23"/>
      <c r="J5" s="23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>
      <c r="A6" s="9"/>
      <c r="B6" s="24" t="s">
        <v>4</v>
      </c>
      <c r="C6" s="25"/>
      <c r="D6" s="26" t="s">
        <v>5</v>
      </c>
      <c r="E6" s="27" t="s">
        <v>6</v>
      </c>
      <c r="F6" s="28"/>
      <c r="G6" s="28"/>
      <c r="H6" s="28"/>
      <c r="I6" s="28"/>
      <c r="J6" s="29"/>
      <c r="K6" s="27" t="s">
        <v>7</v>
      </c>
      <c r="L6" s="2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>
      <c r="A7" s="9"/>
      <c r="B7" s="30" t="s">
        <v>1</v>
      </c>
      <c r="C7" s="31" t="s">
        <v>2</v>
      </c>
      <c r="D7" s="30" t="s">
        <v>8</v>
      </c>
      <c r="E7" s="32" t="s">
        <v>9</v>
      </c>
      <c r="F7" s="33" t="s">
        <v>10</v>
      </c>
      <c r="G7" s="33" t="s">
        <v>11</v>
      </c>
      <c r="H7" s="33" t="s">
        <v>12</v>
      </c>
      <c r="I7" s="33" t="s">
        <v>13</v>
      </c>
      <c r="J7" s="34" t="s">
        <v>14</v>
      </c>
      <c r="K7" s="35" t="s">
        <v>15</v>
      </c>
      <c r="L7" s="35" t="s">
        <v>16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>
      <c r="A8" s="9"/>
      <c r="B8" s="36">
        <v>1.00011968E8</v>
      </c>
      <c r="C8" s="37" t="s">
        <v>17</v>
      </c>
      <c r="D8" s="38" t="s">
        <v>18</v>
      </c>
      <c r="E8" s="39">
        <v>49813.0</v>
      </c>
      <c r="F8" s="40">
        <v>49813.0</v>
      </c>
      <c r="G8" s="40">
        <v>49813.0</v>
      </c>
      <c r="H8" s="41">
        <f t="shared" ref="H8:H121" si="1">SUM(E8:G8)/3</f>
        <v>49813</v>
      </c>
      <c r="I8" s="42">
        <f t="shared" ref="I8:I723" si="2">IF(ISERROR(MAX(E8:G8)/MIN(E8:G8)-1),"",(MAX(E8:G8)/MIN(E8:G8)-1))</f>
        <v>0</v>
      </c>
      <c r="J8" s="43">
        <f t="shared" ref="J8:J12" si="3">IF(ISERROR(MAX(E8:G8)/H8-1),"",(MAX(E8:G8)/H8-1))</f>
        <v>0</v>
      </c>
      <c r="K8" s="44">
        <v>45932.0</v>
      </c>
      <c r="L8" s="45">
        <f t="shared" ref="L8:L32" si="4">EDATE(K8,6)</f>
        <v>46114</v>
      </c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>
      <c r="A9" s="9"/>
      <c r="B9" s="36">
        <v>1.00011968E8</v>
      </c>
      <c r="C9" s="37" t="s">
        <v>17</v>
      </c>
      <c r="D9" s="46" t="s">
        <v>19</v>
      </c>
      <c r="E9" s="47">
        <v>79518.0</v>
      </c>
      <c r="F9" s="48">
        <v>76197.0</v>
      </c>
      <c r="G9" s="48">
        <v>74353.0</v>
      </c>
      <c r="H9" s="41">
        <f t="shared" si="1"/>
        <v>76689.33333</v>
      </c>
      <c r="I9" s="49">
        <f t="shared" si="2"/>
        <v>0.06946592606</v>
      </c>
      <c r="J9" s="43">
        <f t="shared" si="3"/>
        <v>0.03688474712</v>
      </c>
      <c r="K9" s="44">
        <v>45932.0</v>
      </c>
      <c r="L9" s="50">
        <f t="shared" si="4"/>
        <v>46114</v>
      </c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>
      <c r="A10" s="9"/>
      <c r="B10" s="36">
        <v>1.00011968E8</v>
      </c>
      <c r="C10" s="37" t="s">
        <v>17</v>
      </c>
      <c r="D10" s="51" t="s">
        <v>20</v>
      </c>
      <c r="E10" s="47">
        <v>111862.0</v>
      </c>
      <c r="F10" s="48">
        <v>111862.0</v>
      </c>
      <c r="G10" s="48">
        <v>111862.0</v>
      </c>
      <c r="H10" s="41">
        <f t="shared" si="1"/>
        <v>111862</v>
      </c>
      <c r="I10" s="49">
        <f t="shared" si="2"/>
        <v>0</v>
      </c>
      <c r="J10" s="43">
        <f t="shared" si="3"/>
        <v>0</v>
      </c>
      <c r="K10" s="44">
        <v>45932.0</v>
      </c>
      <c r="L10" s="50">
        <f t="shared" si="4"/>
        <v>46114</v>
      </c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>
      <c r="A11" s="9"/>
      <c r="B11" s="36">
        <v>1.00011966E8</v>
      </c>
      <c r="C11" s="37" t="s">
        <v>21</v>
      </c>
      <c r="D11" s="52" t="s">
        <v>22</v>
      </c>
      <c r="E11" s="53">
        <v>23338.0</v>
      </c>
      <c r="F11" s="54">
        <v>22550.0</v>
      </c>
      <c r="G11" s="55">
        <v>22550.0</v>
      </c>
      <c r="H11" s="41">
        <f t="shared" si="1"/>
        <v>22812.66667</v>
      </c>
      <c r="I11" s="49">
        <f t="shared" si="2"/>
        <v>0.03494456763</v>
      </c>
      <c r="J11" s="43">
        <f t="shared" si="3"/>
        <v>0.02302814226</v>
      </c>
      <c r="K11" s="44">
        <v>45931.0</v>
      </c>
      <c r="L11" s="50">
        <f t="shared" si="4"/>
        <v>46113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>
      <c r="A12" s="9"/>
      <c r="B12" s="36">
        <v>1.00011966E8</v>
      </c>
      <c r="C12" s="37" t="s">
        <v>21</v>
      </c>
      <c r="D12" s="46" t="s">
        <v>23</v>
      </c>
      <c r="E12" s="56">
        <v>102680.0</v>
      </c>
      <c r="F12" s="56">
        <v>102680.0</v>
      </c>
      <c r="G12" s="57">
        <v>102708.8</v>
      </c>
      <c r="H12" s="41">
        <f t="shared" si="1"/>
        <v>102689.6</v>
      </c>
      <c r="I12" s="49">
        <f t="shared" si="2"/>
        <v>0.0002804830541</v>
      </c>
      <c r="J12" s="43">
        <f t="shared" si="3"/>
        <v>0.000186971222</v>
      </c>
      <c r="K12" s="44">
        <v>45931.0</v>
      </c>
      <c r="L12" s="50">
        <f t="shared" si="4"/>
        <v>46113</v>
      </c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>
      <c r="A13" s="9"/>
      <c r="B13" s="36">
        <v>1.00011966E8</v>
      </c>
      <c r="C13" s="37" t="s">
        <v>21</v>
      </c>
      <c r="D13" s="51" t="s">
        <v>24</v>
      </c>
      <c r="E13" s="56">
        <v>102656.0</v>
      </c>
      <c r="F13" s="57">
        <v>102656.0</v>
      </c>
      <c r="G13" s="57">
        <v>103154.0</v>
      </c>
      <c r="H13" s="41">
        <f t="shared" si="1"/>
        <v>102822</v>
      </c>
      <c r="I13" s="49">
        <f t="shared" si="2"/>
        <v>0.004851153367</v>
      </c>
      <c r="J13" s="43"/>
      <c r="K13" s="44">
        <v>45932.0</v>
      </c>
      <c r="L13" s="50">
        <f t="shared" si="4"/>
        <v>46114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>
      <c r="A14" s="9"/>
      <c r="B14" s="36">
        <v>1.00011966E8</v>
      </c>
      <c r="C14" s="37" t="s">
        <v>21</v>
      </c>
      <c r="D14" s="46" t="s">
        <v>25</v>
      </c>
      <c r="E14" s="56">
        <v>31725.0</v>
      </c>
      <c r="F14" s="57">
        <v>29900.0</v>
      </c>
      <c r="G14" s="57">
        <v>31725.0</v>
      </c>
      <c r="H14" s="41">
        <f t="shared" si="1"/>
        <v>31116.66667</v>
      </c>
      <c r="I14" s="49">
        <f t="shared" si="2"/>
        <v>0.0610367893</v>
      </c>
      <c r="J14" s="43">
        <f t="shared" ref="J14:J15" si="5">IF(ISERROR(MAX(E14:G14)/H14-1),"",(MAX(E14:G14)/H14-1))</f>
        <v>0.01955008034</v>
      </c>
      <c r="K14" s="58">
        <v>45932.0</v>
      </c>
      <c r="L14" s="50">
        <f t="shared" si="4"/>
        <v>46114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>
      <c r="A15" s="9"/>
      <c r="B15" s="36">
        <v>1.00011966E8</v>
      </c>
      <c r="C15" s="37" t="s">
        <v>21</v>
      </c>
      <c r="D15" s="59" t="s">
        <v>26</v>
      </c>
      <c r="E15" s="60">
        <v>93938.0</v>
      </c>
      <c r="F15" s="54">
        <v>93591.11</v>
      </c>
      <c r="G15" s="61">
        <v>93938.0</v>
      </c>
      <c r="H15" s="41">
        <f t="shared" si="1"/>
        <v>93822.37</v>
      </c>
      <c r="I15" s="49">
        <f t="shared" si="2"/>
        <v>0.003706441776</v>
      </c>
      <c r="J15" s="43">
        <f t="shared" si="5"/>
        <v>0.001232435292</v>
      </c>
      <c r="K15" s="58">
        <v>45932.0</v>
      </c>
      <c r="L15" s="45">
        <f t="shared" si="4"/>
        <v>46114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>
      <c r="A16" s="9"/>
      <c r="B16" s="36">
        <v>1.00011966E8</v>
      </c>
      <c r="C16" s="37" t="s">
        <v>21</v>
      </c>
      <c r="D16" s="59" t="s">
        <v>27</v>
      </c>
      <c r="E16" s="60">
        <v>38030.0</v>
      </c>
      <c r="F16" s="54">
        <v>39722.86</v>
      </c>
      <c r="G16" s="62">
        <v>37980.0</v>
      </c>
      <c r="H16" s="41">
        <f t="shared" si="1"/>
        <v>38577.62</v>
      </c>
      <c r="I16" s="49">
        <f t="shared" si="2"/>
        <v>0.04588888889</v>
      </c>
      <c r="J16" s="43"/>
      <c r="K16" s="58">
        <v>45931.0</v>
      </c>
      <c r="L16" s="45">
        <f t="shared" si="4"/>
        <v>46113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>
      <c r="A17" s="9"/>
      <c r="B17" s="36">
        <v>1.00011966E8</v>
      </c>
      <c r="C17" s="37" t="s">
        <v>21</v>
      </c>
      <c r="D17" s="59" t="s">
        <v>28</v>
      </c>
      <c r="E17" s="60">
        <v>37122.0</v>
      </c>
      <c r="F17" s="54">
        <v>33133.33</v>
      </c>
      <c r="G17" s="61">
        <v>37122.0</v>
      </c>
      <c r="H17" s="41">
        <f t="shared" si="1"/>
        <v>35792.44333</v>
      </c>
      <c r="I17" s="49">
        <f t="shared" si="2"/>
        <v>0.1203824065</v>
      </c>
      <c r="J17" s="43"/>
      <c r="K17" s="58">
        <v>45932.0</v>
      </c>
      <c r="L17" s="45">
        <f t="shared" si="4"/>
        <v>46114</v>
      </c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>
      <c r="A18" s="9"/>
      <c r="B18" s="36">
        <v>1.00011966E8</v>
      </c>
      <c r="C18" s="37" t="s">
        <v>21</v>
      </c>
      <c r="D18" s="59" t="s">
        <v>29</v>
      </c>
      <c r="E18" s="60">
        <v>39663.0</v>
      </c>
      <c r="F18" s="54">
        <v>40539.92</v>
      </c>
      <c r="G18" s="54">
        <v>37000.0</v>
      </c>
      <c r="H18" s="41">
        <f t="shared" si="1"/>
        <v>39067.64</v>
      </c>
      <c r="I18" s="49">
        <f t="shared" si="2"/>
        <v>0.09567351351</v>
      </c>
      <c r="J18" s="43">
        <f>IF(ISERROR(MAX(E18:G18)/H18-1),"",(MAX(E18:G18)/H18-1))</f>
        <v>0.0376854092</v>
      </c>
      <c r="K18" s="58">
        <v>45932.0</v>
      </c>
      <c r="L18" s="45">
        <f t="shared" si="4"/>
        <v>46114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>
      <c r="A19" s="9"/>
      <c r="B19" s="36">
        <v>1.00011966E8</v>
      </c>
      <c r="C19" s="37" t="s">
        <v>21</v>
      </c>
      <c r="D19" s="59" t="s">
        <v>30</v>
      </c>
      <c r="E19" s="60">
        <v>67299.0</v>
      </c>
      <c r="F19" s="54">
        <v>67299.0</v>
      </c>
      <c r="G19" s="54">
        <v>66262.0</v>
      </c>
      <c r="H19" s="41">
        <f t="shared" si="1"/>
        <v>66953.33333</v>
      </c>
      <c r="I19" s="49">
        <f t="shared" si="2"/>
        <v>0.01564999547</v>
      </c>
      <c r="J19" s="43"/>
      <c r="K19" s="58">
        <v>45931.0</v>
      </c>
      <c r="L19" s="45">
        <f t="shared" si="4"/>
        <v>46113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15.75" customHeight="1">
      <c r="A20" s="9"/>
      <c r="B20" s="36">
        <v>1.00011973E8</v>
      </c>
      <c r="C20" s="37" t="s">
        <v>31</v>
      </c>
      <c r="D20" s="59" t="s">
        <v>32</v>
      </c>
      <c r="E20" s="60">
        <v>44651.0</v>
      </c>
      <c r="F20" s="54">
        <v>44651.0</v>
      </c>
      <c r="G20" s="54">
        <v>44651.0</v>
      </c>
      <c r="H20" s="41">
        <f t="shared" si="1"/>
        <v>44651</v>
      </c>
      <c r="I20" s="49">
        <f t="shared" si="2"/>
        <v>0</v>
      </c>
      <c r="J20" s="43">
        <f t="shared" ref="J20:J23" si="6">IF(ISERROR(MAX(E20:G20)/H20-1),"",(MAX(E20:G20)/H20-1))</f>
        <v>0</v>
      </c>
      <c r="K20" s="58">
        <v>45932.0</v>
      </c>
      <c r="L20" s="50">
        <f t="shared" si="4"/>
        <v>46114</v>
      </c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5.75" customHeight="1">
      <c r="A21" s="9"/>
      <c r="B21" s="36">
        <v>1.00011972E8</v>
      </c>
      <c r="C21" s="37" t="s">
        <v>33</v>
      </c>
      <c r="D21" s="51" t="s">
        <v>34</v>
      </c>
      <c r="E21" s="63">
        <v>39278.0</v>
      </c>
      <c r="F21" s="54">
        <v>38992.0</v>
      </c>
      <c r="G21" s="54">
        <v>39278.0</v>
      </c>
      <c r="H21" s="41">
        <f t="shared" si="1"/>
        <v>39182.66667</v>
      </c>
      <c r="I21" s="49">
        <f t="shared" si="2"/>
        <v>0.007334837915</v>
      </c>
      <c r="J21" s="43">
        <f t="shared" si="6"/>
        <v>0.002433048627</v>
      </c>
      <c r="K21" s="58">
        <v>45932.0</v>
      </c>
      <c r="L21" s="50">
        <f t="shared" si="4"/>
        <v>46114</v>
      </c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5.75" customHeight="1">
      <c r="A22" s="9"/>
      <c r="B22" s="36">
        <v>1.00012246E8</v>
      </c>
      <c r="C22" s="37" t="s">
        <v>35</v>
      </c>
      <c r="D22" s="46" t="s">
        <v>36</v>
      </c>
      <c r="E22" s="64">
        <v>418.0</v>
      </c>
      <c r="F22" s="65">
        <v>430.2</v>
      </c>
      <c r="G22" s="65">
        <v>436.0</v>
      </c>
      <c r="H22" s="41">
        <f t="shared" si="1"/>
        <v>428.0666667</v>
      </c>
      <c r="I22" s="49">
        <f t="shared" si="2"/>
        <v>0.04306220096</v>
      </c>
      <c r="J22" s="43">
        <f t="shared" si="6"/>
        <v>0.01853293879</v>
      </c>
      <c r="K22" s="58">
        <v>45799.0</v>
      </c>
      <c r="L22" s="50">
        <f t="shared" si="4"/>
        <v>45983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5.75" customHeight="1">
      <c r="A23" s="9"/>
      <c r="B23" s="36">
        <v>1.00012804E8</v>
      </c>
      <c r="C23" s="66" t="s">
        <v>37</v>
      </c>
      <c r="D23" s="67" t="s">
        <v>38</v>
      </c>
      <c r="E23" s="64">
        <v>733.22</v>
      </c>
      <c r="F23" s="54">
        <v>919.0</v>
      </c>
      <c r="G23" s="54">
        <v>999.9</v>
      </c>
      <c r="H23" s="41">
        <f t="shared" si="1"/>
        <v>884.04</v>
      </c>
      <c r="I23" s="49">
        <f t="shared" si="2"/>
        <v>0.3637107553</v>
      </c>
      <c r="J23" s="43">
        <f t="shared" si="6"/>
        <v>0.1310574182</v>
      </c>
      <c r="K23" s="58">
        <v>45938.0</v>
      </c>
      <c r="L23" s="50">
        <f t="shared" si="4"/>
        <v>46120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5.75" customHeight="1">
      <c r="A24" s="9"/>
      <c r="B24" s="68">
        <v>1.00010436E8</v>
      </c>
      <c r="C24" s="69" t="s">
        <v>39</v>
      </c>
      <c r="D24" s="70" t="s">
        <v>40</v>
      </c>
      <c r="E24" s="71">
        <v>1568.64</v>
      </c>
      <c r="F24" s="72">
        <v>1951.58</v>
      </c>
      <c r="G24" s="72">
        <v>1650.0</v>
      </c>
      <c r="H24" s="73">
        <f t="shared" si="1"/>
        <v>1723.406667</v>
      </c>
      <c r="I24" s="74">
        <f t="shared" si="2"/>
        <v>0.244122297</v>
      </c>
      <c r="J24" s="75"/>
      <c r="K24" s="76">
        <v>45938.0</v>
      </c>
      <c r="L24" s="77">
        <f t="shared" si="4"/>
        <v>46120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5.75" customHeight="1">
      <c r="A25" s="9"/>
      <c r="B25" s="36">
        <v>1.00010439E8</v>
      </c>
      <c r="C25" s="37" t="s">
        <v>41</v>
      </c>
      <c r="D25" s="46" t="s">
        <v>42</v>
      </c>
      <c r="E25" s="64">
        <v>1370.0</v>
      </c>
      <c r="F25" s="65">
        <v>1659.9</v>
      </c>
      <c r="G25" s="65">
        <v>1399.0</v>
      </c>
      <c r="H25" s="41">
        <f t="shared" si="1"/>
        <v>1476.3</v>
      </c>
      <c r="I25" s="49">
        <f t="shared" si="2"/>
        <v>0.2116058394</v>
      </c>
      <c r="J25" s="43"/>
      <c r="K25" s="78"/>
      <c r="L25" s="50">
        <f t="shared" si="4"/>
        <v>182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5.75" customHeight="1">
      <c r="A26" s="9"/>
      <c r="B26" s="79">
        <v>1.00010435E8</v>
      </c>
      <c r="C26" s="80" t="s">
        <v>43</v>
      </c>
      <c r="D26" s="70" t="s">
        <v>42</v>
      </c>
      <c r="E26" s="71">
        <v>1128.29</v>
      </c>
      <c r="F26" s="72">
        <v>1129.5</v>
      </c>
      <c r="G26" s="72">
        <v>1288.0</v>
      </c>
      <c r="H26" s="73">
        <f t="shared" si="1"/>
        <v>1181.93</v>
      </c>
      <c r="I26" s="74">
        <f t="shared" si="2"/>
        <v>0.1415504879</v>
      </c>
      <c r="J26" s="75"/>
      <c r="K26" s="76">
        <v>45938.0</v>
      </c>
      <c r="L26" s="77">
        <f t="shared" si="4"/>
        <v>46120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5.75" customHeight="1">
      <c r="A27" s="9"/>
      <c r="B27" s="79">
        <v>1.00010435E8</v>
      </c>
      <c r="C27" s="80" t="s">
        <v>43</v>
      </c>
      <c r="D27" s="70" t="s">
        <v>44</v>
      </c>
      <c r="E27" s="71">
        <v>1509.3</v>
      </c>
      <c r="F27" s="72">
        <v>1648.0</v>
      </c>
      <c r="G27" s="72">
        <v>1669.72</v>
      </c>
      <c r="H27" s="73">
        <f t="shared" si="1"/>
        <v>1609.006667</v>
      </c>
      <c r="I27" s="74">
        <f t="shared" si="2"/>
        <v>0.106287683</v>
      </c>
      <c r="J27" s="75"/>
      <c r="K27" s="76">
        <v>45938.0</v>
      </c>
      <c r="L27" s="77">
        <f t="shared" si="4"/>
        <v>46120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5.75" customHeight="1">
      <c r="A28" s="9"/>
      <c r="B28" s="81">
        <v>1.00011373E8</v>
      </c>
      <c r="C28" s="82" t="s">
        <v>45</v>
      </c>
      <c r="D28" s="83"/>
      <c r="E28" s="64">
        <v>1297.0</v>
      </c>
      <c r="F28" s="65">
        <v>1468.5</v>
      </c>
      <c r="G28" s="65">
        <v>1590.0</v>
      </c>
      <c r="H28" s="41">
        <f t="shared" si="1"/>
        <v>1451.833333</v>
      </c>
      <c r="I28" s="49">
        <f t="shared" si="2"/>
        <v>0.2259059368</v>
      </c>
      <c r="J28" s="43">
        <f t="shared" ref="J28:J32" si="7">IF(ISERROR(MAX(E28:G28)/H28-1),"",(MAX(E28:G28)/H28-1))</f>
        <v>0.09516703019</v>
      </c>
      <c r="K28" s="78"/>
      <c r="L28" s="50">
        <f t="shared" si="4"/>
        <v>182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5.75" customHeight="1">
      <c r="A29" s="9"/>
      <c r="B29" s="79">
        <v>1.00002346E8</v>
      </c>
      <c r="C29" s="80" t="s">
        <v>46</v>
      </c>
      <c r="D29" s="84"/>
      <c r="E29" s="85">
        <v>307.67</v>
      </c>
      <c r="F29" s="86">
        <v>276.55</v>
      </c>
      <c r="G29" s="86">
        <v>285.0</v>
      </c>
      <c r="H29" s="73">
        <f t="shared" si="1"/>
        <v>289.74</v>
      </c>
      <c r="I29" s="74">
        <f t="shared" si="2"/>
        <v>0.1125293799</v>
      </c>
      <c r="J29" s="75">
        <f t="shared" si="7"/>
        <v>0.06188306758</v>
      </c>
      <c r="K29" s="76">
        <v>45938.0</v>
      </c>
      <c r="L29" s="77">
        <f t="shared" si="4"/>
        <v>46120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5.75" customHeight="1">
      <c r="A30" s="9"/>
      <c r="B30" s="79">
        <v>1.00002356E8</v>
      </c>
      <c r="C30" s="80" t="s">
        <v>47</v>
      </c>
      <c r="D30" s="84"/>
      <c r="E30" s="85">
        <v>3780.0</v>
      </c>
      <c r="F30" s="86">
        <v>3780.0</v>
      </c>
      <c r="G30" s="86">
        <v>4751.05</v>
      </c>
      <c r="H30" s="73">
        <f t="shared" si="1"/>
        <v>4103.683333</v>
      </c>
      <c r="I30" s="74">
        <f t="shared" si="2"/>
        <v>0.2568915344</v>
      </c>
      <c r="J30" s="75">
        <f t="shared" si="7"/>
        <v>0.1577525881</v>
      </c>
      <c r="K30" s="76">
        <v>45938.0</v>
      </c>
      <c r="L30" s="77">
        <f t="shared" si="4"/>
        <v>46120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5.75" customHeight="1">
      <c r="A31" s="9"/>
      <c r="B31" s="36">
        <v>1.00010489E8</v>
      </c>
      <c r="C31" s="37" t="s">
        <v>48</v>
      </c>
      <c r="D31" s="46" t="s">
        <v>49</v>
      </c>
      <c r="E31" s="87">
        <v>172.0</v>
      </c>
      <c r="F31" s="88">
        <v>179.9</v>
      </c>
      <c r="G31" s="88">
        <v>173.87</v>
      </c>
      <c r="H31" s="41">
        <f t="shared" si="1"/>
        <v>175.2566667</v>
      </c>
      <c r="I31" s="49">
        <f t="shared" si="2"/>
        <v>0.04593023256</v>
      </c>
      <c r="J31" s="43">
        <f t="shared" si="7"/>
        <v>0.02649447477</v>
      </c>
      <c r="K31" s="58">
        <v>45814.0</v>
      </c>
      <c r="L31" s="50">
        <f t="shared" si="4"/>
        <v>45997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5.75" customHeight="1">
      <c r="A32" s="9"/>
      <c r="B32" s="36">
        <v>1.00012795E8</v>
      </c>
      <c r="C32" s="37" t="s">
        <v>50</v>
      </c>
      <c r="D32" s="46"/>
      <c r="E32" s="87">
        <v>3399.0</v>
      </c>
      <c r="F32" s="88">
        <v>3632.59</v>
      </c>
      <c r="G32" s="88">
        <v>3420.48</v>
      </c>
      <c r="H32" s="41">
        <f t="shared" si="1"/>
        <v>3484.023333</v>
      </c>
      <c r="I32" s="49">
        <f t="shared" si="2"/>
        <v>0.06872315387</v>
      </c>
      <c r="J32" s="43">
        <f t="shared" si="7"/>
        <v>0.04264227086</v>
      </c>
      <c r="K32" s="58">
        <v>45814.0</v>
      </c>
      <c r="L32" s="50">
        <f t="shared" si="4"/>
        <v>45997</v>
      </c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5.75" customHeight="1">
      <c r="A33" s="9"/>
      <c r="B33" s="81">
        <v>1.00002305E8</v>
      </c>
      <c r="C33" s="89" t="s">
        <v>51</v>
      </c>
      <c r="D33" s="90"/>
      <c r="E33" s="91">
        <v>4693.9</v>
      </c>
      <c r="F33" s="88">
        <v>4618.58</v>
      </c>
      <c r="G33" s="88">
        <v>4999.99</v>
      </c>
      <c r="H33" s="41">
        <f t="shared" si="1"/>
        <v>4770.823333</v>
      </c>
      <c r="I33" s="92">
        <f t="shared" si="2"/>
        <v>0.0825816593</v>
      </c>
      <c r="J33" s="93">
        <v>25092.35</v>
      </c>
      <c r="K33" s="78"/>
      <c r="L33" s="50">
        <v>44680.0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5.75" customHeight="1">
      <c r="A34" s="9"/>
      <c r="B34" s="81">
        <v>1.00012598E8</v>
      </c>
      <c r="C34" s="94" t="s">
        <v>52</v>
      </c>
      <c r="D34" s="83"/>
      <c r="E34" s="91">
        <v>357.28</v>
      </c>
      <c r="F34" s="88">
        <v>299.9</v>
      </c>
      <c r="G34" s="88">
        <v>363.0</v>
      </c>
      <c r="H34" s="41">
        <f t="shared" si="1"/>
        <v>340.06</v>
      </c>
      <c r="I34" s="49">
        <f t="shared" si="2"/>
        <v>0.2104034678</v>
      </c>
      <c r="J34" s="43">
        <f t="shared" ref="J34:J35" si="8">IF(ISERROR(MAX(E34:G34)/H34-1),"",(MAX(E34:G34)/H34-1))</f>
        <v>0.06745868376</v>
      </c>
      <c r="K34" s="78"/>
      <c r="L34" s="50">
        <f t="shared" ref="L34:L83" si="9">EDATE(K34,6)</f>
        <v>182</v>
      </c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5.75" customHeight="1">
      <c r="A35" s="9"/>
      <c r="B35" s="81">
        <v>1.00012911E8</v>
      </c>
      <c r="C35" s="89" t="s">
        <v>53</v>
      </c>
      <c r="D35" s="90"/>
      <c r="E35" s="95">
        <v>539.9</v>
      </c>
      <c r="F35" s="65">
        <v>589.0</v>
      </c>
      <c r="G35" s="96">
        <v>515.0</v>
      </c>
      <c r="H35" s="41">
        <f t="shared" si="1"/>
        <v>547.9666667</v>
      </c>
      <c r="I35" s="92">
        <f t="shared" si="2"/>
        <v>0.1436893204</v>
      </c>
      <c r="J35" s="43">
        <f t="shared" si="8"/>
        <v>0.07488290042</v>
      </c>
      <c r="K35" s="78"/>
      <c r="L35" s="50">
        <f t="shared" si="9"/>
        <v>182</v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5.75" customHeight="1">
      <c r="A36" s="9"/>
      <c r="B36" s="81">
        <v>1.00010595E8</v>
      </c>
      <c r="C36" s="89" t="s">
        <v>54</v>
      </c>
      <c r="D36" s="83"/>
      <c r="E36" s="95">
        <v>5239.7</v>
      </c>
      <c r="F36" s="65">
        <v>5599.0</v>
      </c>
      <c r="G36" s="96">
        <v>4319.0</v>
      </c>
      <c r="H36" s="41">
        <f t="shared" si="1"/>
        <v>5052.566667</v>
      </c>
      <c r="I36" s="92">
        <f t="shared" si="2"/>
        <v>0.2963648993</v>
      </c>
      <c r="J36" s="43"/>
      <c r="K36" s="78"/>
      <c r="L36" s="50">
        <f t="shared" si="9"/>
        <v>182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5.75" customHeight="1">
      <c r="A37" s="9"/>
      <c r="B37" s="81">
        <v>1.00012592E8</v>
      </c>
      <c r="C37" s="89" t="s">
        <v>55</v>
      </c>
      <c r="D37" s="83"/>
      <c r="E37" s="95">
        <v>7990.0</v>
      </c>
      <c r="F37" s="65">
        <v>7479.06</v>
      </c>
      <c r="G37" s="96">
        <v>7973.0</v>
      </c>
      <c r="H37" s="41">
        <f t="shared" si="1"/>
        <v>7814.02</v>
      </c>
      <c r="I37" s="92">
        <f t="shared" si="2"/>
        <v>0.06831607181</v>
      </c>
      <c r="J37" s="43"/>
      <c r="K37" s="78"/>
      <c r="L37" s="50">
        <f t="shared" si="9"/>
        <v>182</v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5.75" customHeight="1">
      <c r="A38" s="9"/>
      <c r="B38" s="97">
        <v>1.00012607E8</v>
      </c>
      <c r="C38" s="98" t="s">
        <v>56</v>
      </c>
      <c r="D38" s="83"/>
      <c r="E38" s="95">
        <v>984.87</v>
      </c>
      <c r="F38" s="65">
        <v>1012.77</v>
      </c>
      <c r="G38" s="96">
        <v>1136.75</v>
      </c>
      <c r="H38" s="41">
        <f t="shared" si="1"/>
        <v>1044.796667</v>
      </c>
      <c r="I38" s="49">
        <f t="shared" si="2"/>
        <v>0.1542132464</v>
      </c>
      <c r="J38" s="43"/>
      <c r="K38" s="78"/>
      <c r="L38" s="50">
        <f t="shared" si="9"/>
        <v>182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5.75" customHeight="1">
      <c r="A39" s="9"/>
      <c r="B39" s="81">
        <v>1.00012917E8</v>
      </c>
      <c r="C39" s="89" t="s">
        <v>57</v>
      </c>
      <c r="D39" s="83"/>
      <c r="E39" s="95">
        <v>21428.56</v>
      </c>
      <c r="F39" s="65">
        <v>18720.0</v>
      </c>
      <c r="G39" s="96">
        <v>18997.95</v>
      </c>
      <c r="H39" s="41">
        <f t="shared" si="1"/>
        <v>19715.50333</v>
      </c>
      <c r="I39" s="49">
        <f t="shared" si="2"/>
        <v>0.1446880342</v>
      </c>
      <c r="J39" s="43"/>
      <c r="K39" s="78"/>
      <c r="L39" s="50">
        <f t="shared" si="9"/>
        <v>182</v>
      </c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5.75" customHeight="1">
      <c r="A40" s="9"/>
      <c r="B40" s="81">
        <v>1.00010474E8</v>
      </c>
      <c r="C40" s="89" t="s">
        <v>58</v>
      </c>
      <c r="D40" s="83"/>
      <c r="E40" s="95">
        <v>1771.54</v>
      </c>
      <c r="F40" s="65">
        <v>2045.0</v>
      </c>
      <c r="G40" s="96">
        <v>2065.5</v>
      </c>
      <c r="H40" s="41">
        <f t="shared" si="1"/>
        <v>1960.68</v>
      </c>
      <c r="I40" s="49">
        <f t="shared" si="2"/>
        <v>0.1659347235</v>
      </c>
      <c r="J40" s="43"/>
      <c r="K40" s="78"/>
      <c r="L40" s="50">
        <f t="shared" si="9"/>
        <v>182</v>
      </c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5.75" customHeight="1">
      <c r="A41" s="9"/>
      <c r="B41" s="81">
        <v>1.00012268E8</v>
      </c>
      <c r="C41" s="89" t="s">
        <v>59</v>
      </c>
      <c r="D41" s="83"/>
      <c r="E41" s="95">
        <v>1834.2</v>
      </c>
      <c r="F41" s="65">
        <v>1834.2</v>
      </c>
      <c r="G41" s="96">
        <v>2119.11</v>
      </c>
      <c r="H41" s="41">
        <f t="shared" si="1"/>
        <v>1929.17</v>
      </c>
      <c r="I41" s="49">
        <f t="shared" si="2"/>
        <v>0.1553320249</v>
      </c>
      <c r="J41" s="43"/>
      <c r="K41" s="78"/>
      <c r="L41" s="50">
        <f t="shared" si="9"/>
        <v>182</v>
      </c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5.75" customHeight="1">
      <c r="A42" s="9"/>
      <c r="B42" s="81">
        <v>1.00012882E8</v>
      </c>
      <c r="C42" s="89" t="s">
        <v>60</v>
      </c>
      <c r="D42" s="83"/>
      <c r="E42" s="95">
        <v>8300.0</v>
      </c>
      <c r="F42" s="65">
        <v>8065.5</v>
      </c>
      <c r="G42" s="96">
        <v>8490.0</v>
      </c>
      <c r="H42" s="41">
        <f t="shared" si="1"/>
        <v>8285.166667</v>
      </c>
      <c r="I42" s="49">
        <f t="shared" si="2"/>
        <v>0.05263157895</v>
      </c>
      <c r="J42" s="43"/>
      <c r="K42" s="78"/>
      <c r="L42" s="50">
        <f t="shared" si="9"/>
        <v>182</v>
      </c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5.75" customHeight="1">
      <c r="A43" s="9"/>
      <c r="B43" s="81">
        <v>1.00012582E8</v>
      </c>
      <c r="C43" s="89" t="s">
        <v>61</v>
      </c>
      <c r="D43" s="83"/>
      <c r="E43" s="95">
        <v>6168.0</v>
      </c>
      <c r="F43" s="65">
        <v>7473.63</v>
      </c>
      <c r="G43" s="96">
        <v>7978.05</v>
      </c>
      <c r="H43" s="41">
        <f t="shared" si="1"/>
        <v>7206.56</v>
      </c>
      <c r="I43" s="49">
        <f t="shared" si="2"/>
        <v>0.2934581712</v>
      </c>
      <c r="J43" s="43"/>
      <c r="K43" s="78"/>
      <c r="L43" s="50">
        <f t="shared" si="9"/>
        <v>182</v>
      </c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5.75" customHeight="1">
      <c r="A44" s="9"/>
      <c r="B44" s="81">
        <v>1.0001286E8</v>
      </c>
      <c r="C44" s="89" t="s">
        <v>62</v>
      </c>
      <c r="D44" s="83"/>
      <c r="E44" s="95">
        <v>8300.0</v>
      </c>
      <c r="F44" s="65">
        <v>8500.0</v>
      </c>
      <c r="G44" s="96">
        <v>9135.0</v>
      </c>
      <c r="H44" s="41">
        <f t="shared" si="1"/>
        <v>8645</v>
      </c>
      <c r="I44" s="49">
        <f t="shared" si="2"/>
        <v>0.1006024096</v>
      </c>
      <c r="J44" s="43"/>
      <c r="K44" s="78"/>
      <c r="L44" s="50">
        <f t="shared" si="9"/>
        <v>182</v>
      </c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5.75" customHeight="1">
      <c r="A45" s="9"/>
      <c r="B45" s="81">
        <v>1.00012595E8</v>
      </c>
      <c r="C45" s="89" t="s">
        <v>63</v>
      </c>
      <c r="D45" s="83"/>
      <c r="E45" s="95">
        <v>230.41</v>
      </c>
      <c r="F45" s="65">
        <v>298.43</v>
      </c>
      <c r="G45" s="96">
        <v>231.66</v>
      </c>
      <c r="H45" s="41">
        <f t="shared" si="1"/>
        <v>253.5</v>
      </c>
      <c r="I45" s="49">
        <f t="shared" si="2"/>
        <v>0.2952128814</v>
      </c>
      <c r="J45" s="43"/>
      <c r="K45" s="78"/>
      <c r="L45" s="50">
        <f t="shared" si="9"/>
        <v>182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5.75" customHeight="1">
      <c r="A46" s="9"/>
      <c r="B46" s="81">
        <v>1.00010473E8</v>
      </c>
      <c r="C46" s="89" t="s">
        <v>64</v>
      </c>
      <c r="D46" s="83"/>
      <c r="E46" s="95">
        <v>339.9</v>
      </c>
      <c r="F46" s="65">
        <v>300.0</v>
      </c>
      <c r="G46" s="96">
        <v>364.1</v>
      </c>
      <c r="H46" s="41">
        <f t="shared" si="1"/>
        <v>334.6666667</v>
      </c>
      <c r="I46" s="49">
        <f t="shared" si="2"/>
        <v>0.2136666667</v>
      </c>
      <c r="J46" s="43"/>
      <c r="K46" s="58">
        <v>45855.0</v>
      </c>
      <c r="L46" s="50">
        <f t="shared" si="9"/>
        <v>46039</v>
      </c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5.75" customHeight="1">
      <c r="A47" s="9"/>
      <c r="B47" s="36">
        <v>1.00012601E8</v>
      </c>
      <c r="C47" s="99" t="s">
        <v>65</v>
      </c>
      <c r="D47" s="46" t="s">
        <v>66</v>
      </c>
      <c r="E47" s="95">
        <v>2690.9</v>
      </c>
      <c r="F47" s="65">
        <v>2690.0</v>
      </c>
      <c r="G47" s="96">
        <v>2600.0</v>
      </c>
      <c r="H47" s="41">
        <f t="shared" si="1"/>
        <v>2660.3</v>
      </c>
      <c r="I47" s="49">
        <f t="shared" si="2"/>
        <v>0.03496153846</v>
      </c>
      <c r="J47" s="43"/>
      <c r="K47" s="78"/>
      <c r="L47" s="50">
        <f t="shared" si="9"/>
        <v>182</v>
      </c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5.75" customHeight="1">
      <c r="A48" s="9"/>
      <c r="B48" s="36">
        <v>1.00012601E8</v>
      </c>
      <c r="C48" s="99" t="s">
        <v>65</v>
      </c>
      <c r="D48" s="46" t="s">
        <v>67</v>
      </c>
      <c r="E48" s="95">
        <v>664.05</v>
      </c>
      <c r="F48" s="65">
        <v>790.0</v>
      </c>
      <c r="G48" s="96">
        <v>652.17</v>
      </c>
      <c r="H48" s="41">
        <f t="shared" si="1"/>
        <v>702.0733333</v>
      </c>
      <c r="I48" s="49">
        <f t="shared" si="2"/>
        <v>0.2113406014</v>
      </c>
      <c r="J48" s="43"/>
      <c r="K48" s="78"/>
      <c r="L48" s="50">
        <f t="shared" si="9"/>
        <v>182</v>
      </c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5.75" customHeight="1">
      <c r="A49" s="9"/>
      <c r="B49" s="81">
        <v>1.00012861E8</v>
      </c>
      <c r="C49" s="89" t="s">
        <v>68</v>
      </c>
      <c r="D49" s="83" t="s">
        <v>69</v>
      </c>
      <c r="E49" s="100">
        <v>562.37</v>
      </c>
      <c r="F49" s="54">
        <v>520.0</v>
      </c>
      <c r="G49" s="101">
        <v>599.0</v>
      </c>
      <c r="H49" s="41">
        <f t="shared" si="1"/>
        <v>560.4566667</v>
      </c>
      <c r="I49" s="49">
        <f t="shared" si="2"/>
        <v>0.1519230769</v>
      </c>
      <c r="J49" s="43"/>
      <c r="K49" s="78"/>
      <c r="L49" s="50">
        <f t="shared" si="9"/>
        <v>182</v>
      </c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5.75" customHeight="1">
      <c r="A50" s="9"/>
      <c r="B50" s="81">
        <v>1.00012861E8</v>
      </c>
      <c r="C50" s="89" t="s">
        <v>68</v>
      </c>
      <c r="D50" s="83" t="s">
        <v>70</v>
      </c>
      <c r="E50" s="95">
        <v>1165.56</v>
      </c>
      <c r="F50" s="65">
        <v>1296.09</v>
      </c>
      <c r="G50" s="96">
        <v>1359.15</v>
      </c>
      <c r="H50" s="41">
        <f t="shared" si="1"/>
        <v>1273.6</v>
      </c>
      <c r="I50" s="49">
        <f t="shared" si="2"/>
        <v>0.1660918357</v>
      </c>
      <c r="J50" s="43"/>
      <c r="K50" s="78"/>
      <c r="L50" s="50">
        <f t="shared" si="9"/>
        <v>182</v>
      </c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9"/>
      <c r="B51" s="81">
        <v>1.00012861E8</v>
      </c>
      <c r="C51" s="89" t="s">
        <v>68</v>
      </c>
      <c r="D51" s="83" t="s">
        <v>71</v>
      </c>
      <c r="E51" s="95">
        <v>4663.33</v>
      </c>
      <c r="F51" s="65">
        <v>5099.15</v>
      </c>
      <c r="G51" s="96">
        <v>5319.91</v>
      </c>
      <c r="H51" s="41">
        <f t="shared" si="1"/>
        <v>5027.463333</v>
      </c>
      <c r="I51" s="49">
        <f t="shared" si="2"/>
        <v>0.1407963837</v>
      </c>
      <c r="J51" s="43"/>
      <c r="K51" s="78"/>
      <c r="L51" s="50">
        <f t="shared" si="9"/>
        <v>182</v>
      </c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9"/>
      <c r="B52" s="102">
        <v>1.00012861E8</v>
      </c>
      <c r="C52" s="103" t="s">
        <v>68</v>
      </c>
      <c r="D52" s="104" t="s">
        <v>72</v>
      </c>
      <c r="E52" s="105">
        <v>5938.65</v>
      </c>
      <c r="F52" s="106">
        <v>6165.7</v>
      </c>
      <c r="G52" s="107">
        <v>7573.92</v>
      </c>
      <c r="H52" s="108">
        <f t="shared" si="1"/>
        <v>6559.423333</v>
      </c>
      <c r="I52" s="109">
        <f t="shared" si="2"/>
        <v>0.2753605617</v>
      </c>
      <c r="J52" s="110"/>
      <c r="K52" s="111"/>
      <c r="L52" s="50">
        <f t="shared" si="9"/>
        <v>182</v>
      </c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9"/>
      <c r="B53" s="81">
        <v>1.00012861E8</v>
      </c>
      <c r="C53" s="89" t="s">
        <v>68</v>
      </c>
      <c r="D53" s="83" t="s">
        <v>73</v>
      </c>
      <c r="E53" s="95">
        <v>2178.99</v>
      </c>
      <c r="F53" s="65">
        <v>2449.0</v>
      </c>
      <c r="G53" s="96">
        <v>2984.0</v>
      </c>
      <c r="H53" s="41">
        <f t="shared" si="1"/>
        <v>2537.33</v>
      </c>
      <c r="I53" s="49">
        <f t="shared" si="2"/>
        <v>0.3694418056</v>
      </c>
      <c r="J53" s="43"/>
      <c r="K53" s="78"/>
      <c r="L53" s="50">
        <f t="shared" si="9"/>
        <v>182</v>
      </c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9"/>
      <c r="B54" s="81">
        <v>1.00010686E8</v>
      </c>
      <c r="C54" s="89" t="s">
        <v>74</v>
      </c>
      <c r="D54" s="83" t="s">
        <v>75</v>
      </c>
      <c r="E54" s="95">
        <v>3465.51</v>
      </c>
      <c r="F54" s="65">
        <v>3999.0</v>
      </c>
      <c r="G54" s="96">
        <v>3156.7</v>
      </c>
      <c r="H54" s="41">
        <f t="shared" si="1"/>
        <v>3540.403333</v>
      </c>
      <c r="I54" s="49">
        <f t="shared" si="2"/>
        <v>0.2668292837</v>
      </c>
      <c r="J54" s="43"/>
      <c r="K54" s="78"/>
      <c r="L54" s="50">
        <f t="shared" si="9"/>
        <v>182</v>
      </c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9"/>
      <c r="B55" s="81">
        <v>1.00012342E8</v>
      </c>
      <c r="C55" s="89" t="s">
        <v>76</v>
      </c>
      <c r="D55" s="83"/>
      <c r="E55" s="95">
        <v>2381.1</v>
      </c>
      <c r="F55" s="65">
        <v>2480.5</v>
      </c>
      <c r="G55" s="96">
        <v>2373.84</v>
      </c>
      <c r="H55" s="41">
        <f t="shared" si="1"/>
        <v>2411.813333</v>
      </c>
      <c r="I55" s="49">
        <f t="shared" si="2"/>
        <v>0.04493141914</v>
      </c>
      <c r="J55" s="43"/>
      <c r="K55" s="78"/>
      <c r="L55" s="50">
        <f t="shared" si="9"/>
        <v>182</v>
      </c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9"/>
      <c r="B56" s="81">
        <v>1.00012838E8</v>
      </c>
      <c r="C56" s="89" t="s">
        <v>77</v>
      </c>
      <c r="D56" s="83"/>
      <c r="E56" s="95">
        <v>219.9</v>
      </c>
      <c r="F56" s="65">
        <v>228.22</v>
      </c>
      <c r="G56" s="96">
        <v>267.74</v>
      </c>
      <c r="H56" s="41">
        <f t="shared" si="1"/>
        <v>238.62</v>
      </c>
      <c r="I56" s="49">
        <f t="shared" si="2"/>
        <v>0.2175534334</v>
      </c>
      <c r="J56" s="43"/>
      <c r="K56" s="78"/>
      <c r="L56" s="50">
        <f t="shared" si="9"/>
        <v>182</v>
      </c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9"/>
      <c r="B57" s="81">
        <v>1.00012881E8</v>
      </c>
      <c r="C57" s="89" t="s">
        <v>78</v>
      </c>
      <c r="D57" s="83"/>
      <c r="E57" s="95">
        <v>4355.66</v>
      </c>
      <c r="F57" s="65">
        <v>4381.9</v>
      </c>
      <c r="G57" s="96">
        <v>4360.27</v>
      </c>
      <c r="H57" s="41">
        <f t="shared" si="1"/>
        <v>4365.943333</v>
      </c>
      <c r="I57" s="49">
        <f t="shared" si="2"/>
        <v>0.006024345335</v>
      </c>
      <c r="J57" s="43"/>
      <c r="K57" s="78"/>
      <c r="L57" s="50">
        <f t="shared" si="9"/>
        <v>182</v>
      </c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9"/>
      <c r="B58" s="81">
        <v>1.00012849E8</v>
      </c>
      <c r="C58" s="89" t="s">
        <v>79</v>
      </c>
      <c r="D58" s="83"/>
      <c r="E58" s="100">
        <v>15791.67</v>
      </c>
      <c r="F58" s="54">
        <v>15791.67</v>
      </c>
      <c r="G58" s="101">
        <v>15791.67</v>
      </c>
      <c r="H58" s="41">
        <f t="shared" si="1"/>
        <v>15791.67</v>
      </c>
      <c r="I58" s="49">
        <f t="shared" si="2"/>
        <v>0</v>
      </c>
      <c r="J58" s="43"/>
      <c r="K58" s="78"/>
      <c r="L58" s="50">
        <f t="shared" si="9"/>
        <v>182</v>
      </c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9"/>
      <c r="B59" s="81">
        <v>1.0001285E8</v>
      </c>
      <c r="C59" s="89" t="s">
        <v>80</v>
      </c>
      <c r="D59" s="83" t="s">
        <v>81</v>
      </c>
      <c r="E59" s="95">
        <v>135692.04</v>
      </c>
      <c r="F59" s="54">
        <v>135692.04</v>
      </c>
      <c r="G59" s="101">
        <v>135692.04</v>
      </c>
      <c r="H59" s="41">
        <f t="shared" si="1"/>
        <v>135692.04</v>
      </c>
      <c r="I59" s="49">
        <f t="shared" si="2"/>
        <v>0</v>
      </c>
      <c r="J59" s="43"/>
      <c r="K59" s="78"/>
      <c r="L59" s="50">
        <f t="shared" si="9"/>
        <v>182</v>
      </c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9"/>
      <c r="B60" s="81">
        <v>1.0001007E8</v>
      </c>
      <c r="C60" s="89" t="s">
        <v>82</v>
      </c>
      <c r="D60" s="83" t="s">
        <v>83</v>
      </c>
      <c r="E60" s="112">
        <v>905.0</v>
      </c>
      <c r="F60" s="57">
        <v>699.0</v>
      </c>
      <c r="G60" s="57">
        <v>746.22</v>
      </c>
      <c r="H60" s="41">
        <f t="shared" si="1"/>
        <v>783.4066667</v>
      </c>
      <c r="I60" s="49">
        <f t="shared" si="2"/>
        <v>0.2947067239</v>
      </c>
      <c r="J60" s="43">
        <f>IF(ISERROR(MAX(E60:G60)/H60-1),"",(MAX(E60:G60)/H60-1))</f>
        <v>0.1552110015</v>
      </c>
      <c r="K60" s="78"/>
      <c r="L60" s="50">
        <f t="shared" si="9"/>
        <v>182</v>
      </c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9"/>
      <c r="B61" s="81">
        <v>1.00010124E8</v>
      </c>
      <c r="C61" s="89" t="s">
        <v>84</v>
      </c>
      <c r="D61" s="113" t="s">
        <v>85</v>
      </c>
      <c r="E61" s="100">
        <v>969.9</v>
      </c>
      <c r="F61" s="54">
        <v>885.97</v>
      </c>
      <c r="G61" s="101">
        <v>885.97</v>
      </c>
      <c r="H61" s="41">
        <f t="shared" si="1"/>
        <v>913.9466667</v>
      </c>
      <c r="I61" s="49">
        <f t="shared" si="2"/>
        <v>0.09473232728</v>
      </c>
      <c r="J61" s="43"/>
      <c r="K61" s="78"/>
      <c r="L61" s="50">
        <f t="shared" si="9"/>
        <v>182</v>
      </c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9"/>
      <c r="B62" s="81">
        <v>1.00010124E8</v>
      </c>
      <c r="C62" s="89" t="s">
        <v>84</v>
      </c>
      <c r="D62" s="83" t="s">
        <v>86</v>
      </c>
      <c r="E62" s="95">
        <v>2690.1</v>
      </c>
      <c r="F62" s="65">
        <v>2154.59</v>
      </c>
      <c r="G62" s="96">
        <v>2385.0</v>
      </c>
      <c r="H62" s="41">
        <f t="shared" si="1"/>
        <v>2409.896667</v>
      </c>
      <c r="I62" s="49">
        <f t="shared" si="2"/>
        <v>0.2485438065</v>
      </c>
      <c r="J62" s="43">
        <f t="shared" ref="J62:J72" si="10">IF(ISERROR(MAX(E62:G62)/H62-1),"",(MAX(E62:G62)/H62-1))</f>
        <v>0.1162719287</v>
      </c>
      <c r="K62" s="78"/>
      <c r="L62" s="50">
        <f t="shared" si="9"/>
        <v>182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9"/>
      <c r="B63" s="81">
        <v>1.00002334E8</v>
      </c>
      <c r="C63" s="89" t="s">
        <v>87</v>
      </c>
      <c r="D63" s="83"/>
      <c r="E63" s="95">
        <v>16898.7</v>
      </c>
      <c r="F63" s="65">
        <v>13981.15</v>
      </c>
      <c r="G63" s="65">
        <v>14855.99</v>
      </c>
      <c r="H63" s="41">
        <f t="shared" si="1"/>
        <v>15245.28</v>
      </c>
      <c r="I63" s="49">
        <f t="shared" si="2"/>
        <v>0.2086773978</v>
      </c>
      <c r="J63" s="43">
        <f t="shared" si="10"/>
        <v>0.1084545512</v>
      </c>
      <c r="K63" s="78"/>
      <c r="L63" s="50">
        <f t="shared" si="9"/>
        <v>182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9"/>
      <c r="B64" s="81">
        <v>1.00010073E8</v>
      </c>
      <c r="C64" s="94" t="s">
        <v>88</v>
      </c>
      <c r="D64" s="83" t="s">
        <v>89</v>
      </c>
      <c r="E64" s="95">
        <v>699.9</v>
      </c>
      <c r="F64" s="65">
        <v>715.0</v>
      </c>
      <c r="G64" s="65">
        <v>718.0</v>
      </c>
      <c r="H64" s="41">
        <f t="shared" si="1"/>
        <v>710.9666667</v>
      </c>
      <c r="I64" s="49">
        <f t="shared" si="2"/>
        <v>0.02586083726</v>
      </c>
      <c r="J64" s="43">
        <f t="shared" si="10"/>
        <v>0.009892634441</v>
      </c>
      <c r="K64" s="78"/>
      <c r="L64" s="45">
        <f t="shared" si="9"/>
        <v>182</v>
      </c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9"/>
      <c r="B65" s="114">
        <v>1.0001068E8</v>
      </c>
      <c r="C65" s="89" t="s">
        <v>90</v>
      </c>
      <c r="D65" s="83" t="s">
        <v>91</v>
      </c>
      <c r="E65" s="100">
        <v>9655.11</v>
      </c>
      <c r="F65" s="54">
        <v>11179.25</v>
      </c>
      <c r="G65" s="54">
        <v>9718.0</v>
      </c>
      <c r="H65" s="41">
        <f t="shared" si="1"/>
        <v>10184.12</v>
      </c>
      <c r="I65" s="49">
        <f t="shared" si="2"/>
        <v>0.1578583776</v>
      </c>
      <c r="J65" s="43">
        <f t="shared" si="10"/>
        <v>0.09771389182</v>
      </c>
      <c r="K65" s="78"/>
      <c r="L65" s="50">
        <f t="shared" si="9"/>
        <v>182</v>
      </c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9"/>
      <c r="B66" s="81">
        <v>1.00012746E8</v>
      </c>
      <c r="C66" s="89" t="s">
        <v>92</v>
      </c>
      <c r="D66" s="115" t="s">
        <v>93</v>
      </c>
      <c r="E66" s="116">
        <v>285.0</v>
      </c>
      <c r="F66" s="117">
        <v>325.0</v>
      </c>
      <c r="G66" s="117">
        <v>345.0</v>
      </c>
      <c r="H66" s="41">
        <f t="shared" si="1"/>
        <v>318.3333333</v>
      </c>
      <c r="I66" s="49">
        <f t="shared" si="2"/>
        <v>0.2105263158</v>
      </c>
      <c r="J66" s="43">
        <f t="shared" si="10"/>
        <v>0.08376963351</v>
      </c>
      <c r="K66" s="78"/>
      <c r="L66" s="45">
        <f t="shared" si="9"/>
        <v>182</v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9"/>
      <c r="B67" s="81">
        <v>1.00002274E8</v>
      </c>
      <c r="C67" s="89" t="s">
        <v>94</v>
      </c>
      <c r="D67" s="83"/>
      <c r="E67" s="95">
        <v>1430.1</v>
      </c>
      <c r="F67" s="65">
        <v>1369.9</v>
      </c>
      <c r="G67" s="65">
        <v>1519.0</v>
      </c>
      <c r="H67" s="41">
        <f t="shared" si="1"/>
        <v>1439.666667</v>
      </c>
      <c r="I67" s="49">
        <f t="shared" si="2"/>
        <v>0.1088400613</v>
      </c>
      <c r="J67" s="43">
        <f t="shared" si="10"/>
        <v>0.05510534846</v>
      </c>
      <c r="K67" s="78"/>
      <c r="L67" s="50">
        <f t="shared" si="9"/>
        <v>182</v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9"/>
      <c r="B68" s="81">
        <v>1.00010073E8</v>
      </c>
      <c r="C68" s="94" t="s">
        <v>88</v>
      </c>
      <c r="D68" s="83" t="s">
        <v>95</v>
      </c>
      <c r="E68" s="95">
        <v>159.99</v>
      </c>
      <c r="F68" s="65">
        <v>177.21</v>
      </c>
      <c r="G68" s="65">
        <v>180.41</v>
      </c>
      <c r="H68" s="41">
        <f t="shared" si="1"/>
        <v>172.5366667</v>
      </c>
      <c r="I68" s="49">
        <f t="shared" si="2"/>
        <v>0.1276329771</v>
      </c>
      <c r="J68" s="43">
        <f t="shared" si="10"/>
        <v>0.04563281235</v>
      </c>
      <c r="K68" s="58">
        <v>45855.0</v>
      </c>
      <c r="L68" s="45">
        <f t="shared" si="9"/>
        <v>46039</v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9"/>
      <c r="B69" s="81">
        <v>1.00010123E8</v>
      </c>
      <c r="C69" s="89" t="s">
        <v>96</v>
      </c>
      <c r="D69" s="83"/>
      <c r="E69" s="91">
        <v>1076.67</v>
      </c>
      <c r="F69" s="88">
        <v>1032.22</v>
      </c>
      <c r="G69" s="88">
        <v>1055.68</v>
      </c>
      <c r="H69" s="41">
        <f t="shared" si="1"/>
        <v>1054.856667</v>
      </c>
      <c r="I69" s="49">
        <f t="shared" si="2"/>
        <v>0.04306252543</v>
      </c>
      <c r="J69" s="43">
        <f t="shared" si="10"/>
        <v>0.0206789548</v>
      </c>
      <c r="K69" s="78"/>
      <c r="L69" s="50">
        <f t="shared" si="9"/>
        <v>182</v>
      </c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118"/>
      <c r="B70" s="81">
        <v>1.00012554E8</v>
      </c>
      <c r="C70" s="89" t="s">
        <v>97</v>
      </c>
      <c r="D70" s="119" t="s">
        <v>98</v>
      </c>
      <c r="E70" s="120">
        <v>512.91</v>
      </c>
      <c r="F70" s="121">
        <v>549.0</v>
      </c>
      <c r="G70" s="120">
        <v>526.0</v>
      </c>
      <c r="H70" s="122">
        <f t="shared" si="1"/>
        <v>529.3033333</v>
      </c>
      <c r="I70" s="123">
        <f t="shared" si="2"/>
        <v>0.07036322162</v>
      </c>
      <c r="J70" s="124">
        <f t="shared" si="10"/>
        <v>0.03721243647</v>
      </c>
      <c r="K70" s="78"/>
      <c r="L70" s="50">
        <f t="shared" si="9"/>
        <v>182</v>
      </c>
      <c r="M70" s="118"/>
      <c r="N70" s="118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</row>
    <row r="71" ht="15.75" customHeight="1">
      <c r="A71" s="9"/>
      <c r="B71" s="81">
        <v>1.00012554E8</v>
      </c>
      <c r="C71" s="89" t="s">
        <v>97</v>
      </c>
      <c r="D71" s="83" t="s">
        <v>99</v>
      </c>
      <c r="E71" s="95">
        <v>584.97</v>
      </c>
      <c r="F71" s="65">
        <v>597.55</v>
      </c>
      <c r="G71" s="65">
        <v>628.9</v>
      </c>
      <c r="H71" s="41">
        <f t="shared" si="1"/>
        <v>603.8066667</v>
      </c>
      <c r="I71" s="49">
        <f t="shared" si="2"/>
        <v>0.07509786827</v>
      </c>
      <c r="J71" s="43">
        <f t="shared" si="10"/>
        <v>0.04155855627</v>
      </c>
      <c r="K71" s="78"/>
      <c r="L71" s="50">
        <f t="shared" si="9"/>
        <v>182</v>
      </c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9"/>
      <c r="B72" s="81">
        <v>1.00010127E8</v>
      </c>
      <c r="C72" s="89" t="s">
        <v>100</v>
      </c>
      <c r="D72" s="83" t="s">
        <v>101</v>
      </c>
      <c r="E72" s="95">
        <v>761.75</v>
      </c>
      <c r="F72" s="65">
        <v>735.81</v>
      </c>
      <c r="G72" s="65">
        <v>729.0</v>
      </c>
      <c r="H72" s="41">
        <f t="shared" si="1"/>
        <v>742.1866667</v>
      </c>
      <c r="I72" s="49">
        <f t="shared" si="2"/>
        <v>0.04492455418</v>
      </c>
      <c r="J72" s="43">
        <f t="shared" si="10"/>
        <v>0.02635904714</v>
      </c>
      <c r="K72" s="78"/>
      <c r="L72" s="50">
        <f t="shared" si="9"/>
        <v>182</v>
      </c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5.75" customHeight="1">
      <c r="A73" s="9"/>
      <c r="B73" s="81">
        <v>1.00010127E8</v>
      </c>
      <c r="C73" s="89" t="s">
        <v>100</v>
      </c>
      <c r="D73" s="83" t="s">
        <v>102</v>
      </c>
      <c r="E73" s="95">
        <v>785.7</v>
      </c>
      <c r="F73" s="65">
        <v>764.03</v>
      </c>
      <c r="G73" s="65">
        <v>845.57</v>
      </c>
      <c r="H73" s="41">
        <f t="shared" si="1"/>
        <v>798.4333333</v>
      </c>
      <c r="I73" s="49">
        <f t="shared" si="2"/>
        <v>0.106723558</v>
      </c>
      <c r="J73" s="125"/>
      <c r="K73" s="50"/>
      <c r="L73" s="50">
        <f t="shared" si="9"/>
        <v>182</v>
      </c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9"/>
      <c r="B74" s="81">
        <v>1.00010125E8</v>
      </c>
      <c r="C74" s="89" t="s">
        <v>103</v>
      </c>
      <c r="D74" s="83" t="s">
        <v>104</v>
      </c>
      <c r="E74" s="95">
        <v>4011.53</v>
      </c>
      <c r="F74" s="65">
        <v>3760.77</v>
      </c>
      <c r="G74" s="65">
        <v>3393.0</v>
      </c>
      <c r="H74" s="41">
        <f t="shared" si="1"/>
        <v>3721.766667</v>
      </c>
      <c r="I74" s="49">
        <f t="shared" si="2"/>
        <v>0.1822959033</v>
      </c>
      <c r="J74" s="43">
        <f t="shared" ref="J74:J80" si="11">IF(ISERROR(MAX(E74:G74)/H74-1),"",(MAX(E74:G74)/H74-1))</f>
        <v>0.07785639436</v>
      </c>
      <c r="K74" s="78"/>
      <c r="L74" s="50">
        <f t="shared" si="9"/>
        <v>182</v>
      </c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9"/>
      <c r="B75" s="81">
        <v>1.00002248E8</v>
      </c>
      <c r="C75" s="89" t="s">
        <v>105</v>
      </c>
      <c r="D75" s="83"/>
      <c r="E75" s="95">
        <v>23521.32</v>
      </c>
      <c r="F75" s="65">
        <v>19999.99</v>
      </c>
      <c r="G75" s="65">
        <v>21991.08</v>
      </c>
      <c r="H75" s="41">
        <f t="shared" si="1"/>
        <v>21837.46333</v>
      </c>
      <c r="I75" s="49">
        <f t="shared" si="2"/>
        <v>0.176066588</v>
      </c>
      <c r="J75" s="43">
        <f t="shared" si="11"/>
        <v>0.07710862022</v>
      </c>
      <c r="K75" s="78"/>
      <c r="L75" s="50">
        <f t="shared" si="9"/>
        <v>182</v>
      </c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9"/>
      <c r="B76" s="81">
        <v>1.00013111E8</v>
      </c>
      <c r="C76" s="89" t="s">
        <v>106</v>
      </c>
      <c r="D76" s="83"/>
      <c r="E76" s="95">
        <v>319.0</v>
      </c>
      <c r="F76" s="65">
        <v>349.0</v>
      </c>
      <c r="G76" s="65">
        <v>282.32</v>
      </c>
      <c r="H76" s="41">
        <f t="shared" si="1"/>
        <v>316.7733333</v>
      </c>
      <c r="I76" s="49">
        <f t="shared" si="2"/>
        <v>0.2361858884</v>
      </c>
      <c r="J76" s="43">
        <f t="shared" si="11"/>
        <v>0.1017341527</v>
      </c>
      <c r="K76" s="78"/>
      <c r="L76" s="50">
        <f t="shared" si="9"/>
        <v>182</v>
      </c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9"/>
      <c r="B77" s="81">
        <v>1.00010773E8</v>
      </c>
      <c r="C77" s="89" t="s">
        <v>107</v>
      </c>
      <c r="D77" s="83"/>
      <c r="E77" s="91">
        <v>404.1</v>
      </c>
      <c r="F77" s="88">
        <v>449.0</v>
      </c>
      <c r="G77" s="88">
        <v>494.1</v>
      </c>
      <c r="H77" s="41">
        <f t="shared" si="1"/>
        <v>449.0666667</v>
      </c>
      <c r="I77" s="49">
        <f t="shared" si="2"/>
        <v>0.2227171492</v>
      </c>
      <c r="J77" s="43">
        <f t="shared" si="11"/>
        <v>0.1002820665</v>
      </c>
      <c r="K77" s="78"/>
      <c r="L77" s="50">
        <f t="shared" si="9"/>
        <v>182</v>
      </c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9"/>
      <c r="B78" s="81">
        <v>1.00010788E8</v>
      </c>
      <c r="C78" s="89" t="s">
        <v>108</v>
      </c>
      <c r="D78" s="126"/>
      <c r="E78" s="95" t="s">
        <v>109</v>
      </c>
      <c r="F78" s="65">
        <v>17999.99</v>
      </c>
      <c r="G78" s="65">
        <v>21799.9</v>
      </c>
      <c r="H78" s="41">
        <f t="shared" si="1"/>
        <v>13266.63</v>
      </c>
      <c r="I78" s="49">
        <f t="shared" si="2"/>
        <v>0.2111062284</v>
      </c>
      <c r="J78" s="43">
        <f t="shared" si="11"/>
        <v>0.6432130843</v>
      </c>
      <c r="K78" s="78"/>
      <c r="L78" s="50">
        <f t="shared" si="9"/>
        <v>182</v>
      </c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9"/>
      <c r="B79" s="81">
        <v>1.00010828E8</v>
      </c>
      <c r="C79" s="89" t="s">
        <v>110</v>
      </c>
      <c r="D79" s="83"/>
      <c r="E79" s="95">
        <v>999.0</v>
      </c>
      <c r="F79" s="65">
        <v>1149.98</v>
      </c>
      <c r="G79" s="65">
        <v>1129.99</v>
      </c>
      <c r="H79" s="41">
        <f t="shared" si="1"/>
        <v>1092.99</v>
      </c>
      <c r="I79" s="49">
        <f t="shared" si="2"/>
        <v>0.1511311311</v>
      </c>
      <c r="J79" s="43">
        <f t="shared" si="11"/>
        <v>0.05214137366</v>
      </c>
      <c r="K79" s="78"/>
      <c r="L79" s="50">
        <f t="shared" si="9"/>
        <v>182</v>
      </c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9"/>
      <c r="B80" s="81">
        <v>1.00010813E8</v>
      </c>
      <c r="C80" s="89" t="s">
        <v>111</v>
      </c>
      <c r="D80" s="83" t="s">
        <v>112</v>
      </c>
      <c r="E80" s="91">
        <v>11543.9</v>
      </c>
      <c r="F80" s="88">
        <v>12083.91</v>
      </c>
      <c r="G80" s="88">
        <v>15232.99</v>
      </c>
      <c r="H80" s="41">
        <f t="shared" si="1"/>
        <v>12953.6</v>
      </c>
      <c r="I80" s="49">
        <f t="shared" si="2"/>
        <v>0.3195705091</v>
      </c>
      <c r="J80" s="43">
        <f t="shared" si="11"/>
        <v>0.1759657547</v>
      </c>
      <c r="K80" s="78"/>
      <c r="L80" s="50">
        <f t="shared" si="9"/>
        <v>182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9"/>
      <c r="B81" s="81">
        <v>1.00010813E8</v>
      </c>
      <c r="C81" s="89" t="s">
        <v>111</v>
      </c>
      <c r="D81" s="83" t="s">
        <v>113</v>
      </c>
      <c r="E81" s="91">
        <v>6598.24</v>
      </c>
      <c r="F81" s="88">
        <v>6119.9</v>
      </c>
      <c r="G81" s="88">
        <v>6198.0</v>
      </c>
      <c r="H81" s="41">
        <f t="shared" si="1"/>
        <v>6305.38</v>
      </c>
      <c r="I81" s="49">
        <f t="shared" si="2"/>
        <v>0.07816140787</v>
      </c>
      <c r="J81" s="43"/>
      <c r="K81" s="78"/>
      <c r="L81" s="50">
        <f t="shared" si="9"/>
        <v>182</v>
      </c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9"/>
      <c r="B82" s="81">
        <v>1.00010813E8</v>
      </c>
      <c r="C82" s="89" t="s">
        <v>111</v>
      </c>
      <c r="D82" s="83" t="s">
        <v>114</v>
      </c>
      <c r="E82" s="91">
        <v>1133.09</v>
      </c>
      <c r="F82" s="88">
        <v>1099.99</v>
      </c>
      <c r="G82" s="88">
        <v>1198.99</v>
      </c>
      <c r="H82" s="41">
        <f t="shared" si="1"/>
        <v>1144.023333</v>
      </c>
      <c r="I82" s="49">
        <f t="shared" si="2"/>
        <v>0.09000081819</v>
      </c>
      <c r="J82" s="43">
        <f t="shared" ref="J82:J83" si="12">IF(ISERROR(MAX(E82:G82)/H82-1),"",(MAX(E82:G82)/H82-1))</f>
        <v>0.04804680557</v>
      </c>
      <c r="K82" s="78"/>
      <c r="L82" s="50">
        <f t="shared" si="9"/>
        <v>182</v>
      </c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9"/>
      <c r="B83" s="81">
        <v>1.00010829E8</v>
      </c>
      <c r="C83" s="89" t="s">
        <v>115</v>
      </c>
      <c r="D83" s="83"/>
      <c r="E83" s="91">
        <v>10404.05</v>
      </c>
      <c r="F83" s="88">
        <v>10167.32</v>
      </c>
      <c r="G83" s="88">
        <v>10400.0</v>
      </c>
      <c r="H83" s="41">
        <f t="shared" si="1"/>
        <v>10323.79</v>
      </c>
      <c r="I83" s="49">
        <f t="shared" si="2"/>
        <v>0.02328342179</v>
      </c>
      <c r="J83" s="43">
        <f t="shared" si="12"/>
        <v>0.007774276695</v>
      </c>
      <c r="K83" s="78"/>
      <c r="L83" s="50">
        <f t="shared" si="9"/>
        <v>182</v>
      </c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9"/>
      <c r="B84" s="81">
        <v>1.00012776E8</v>
      </c>
      <c r="C84" s="89" t="s">
        <v>116</v>
      </c>
      <c r="D84" s="83"/>
      <c r="E84" s="95">
        <v>6584.07</v>
      </c>
      <c r="F84" s="65">
        <v>7883.53</v>
      </c>
      <c r="G84" s="65">
        <v>6383.22</v>
      </c>
      <c r="H84" s="41">
        <f t="shared" si="1"/>
        <v>6950.273333</v>
      </c>
      <c r="I84" s="49">
        <f t="shared" si="2"/>
        <v>0.2350396822</v>
      </c>
      <c r="J84" s="93">
        <v>19494.0</v>
      </c>
      <c r="K84" s="78"/>
      <c r="L84" s="50">
        <v>44680.0</v>
      </c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9"/>
      <c r="B85" s="81">
        <v>1.00012003E8</v>
      </c>
      <c r="C85" s="89" t="s">
        <v>117</v>
      </c>
      <c r="D85" s="83"/>
      <c r="E85" s="95">
        <v>393.95</v>
      </c>
      <c r="F85" s="65">
        <v>396.9</v>
      </c>
      <c r="G85" s="65">
        <v>449.99</v>
      </c>
      <c r="H85" s="41">
        <f t="shared" si="1"/>
        <v>413.6133333</v>
      </c>
      <c r="I85" s="49">
        <f t="shared" si="2"/>
        <v>0.1422515548</v>
      </c>
      <c r="J85" s="93"/>
      <c r="K85" s="78"/>
      <c r="L85" s="50">
        <v>44681.0</v>
      </c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9"/>
      <c r="B86" s="81">
        <v>1.0001249E8</v>
      </c>
      <c r="C86" s="89" t="s">
        <v>118</v>
      </c>
      <c r="D86" s="83"/>
      <c r="E86" s="95">
        <v>949.52</v>
      </c>
      <c r="F86" s="65">
        <v>972.0</v>
      </c>
      <c r="G86" s="65">
        <v>971.72</v>
      </c>
      <c r="H86" s="41">
        <f t="shared" si="1"/>
        <v>964.4133333</v>
      </c>
      <c r="I86" s="49">
        <f t="shared" si="2"/>
        <v>0.02367512006</v>
      </c>
      <c r="J86" s="93"/>
      <c r="K86" s="78"/>
      <c r="L86" s="50">
        <v>44682.0</v>
      </c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9"/>
      <c r="B87" s="81">
        <v>1.00012796E8</v>
      </c>
      <c r="C87" s="89" t="s">
        <v>119</v>
      </c>
      <c r="D87" s="83" t="s">
        <v>120</v>
      </c>
      <c r="E87" s="95">
        <v>10599.9</v>
      </c>
      <c r="F87" s="65">
        <v>10743.55</v>
      </c>
      <c r="G87" s="65">
        <v>10439.1</v>
      </c>
      <c r="H87" s="41">
        <f t="shared" si="1"/>
        <v>10594.18333</v>
      </c>
      <c r="I87" s="49">
        <f t="shared" si="2"/>
        <v>0.02916439157</v>
      </c>
      <c r="J87" s="93"/>
      <c r="K87" s="78"/>
      <c r="L87" s="50">
        <v>44683.0</v>
      </c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9"/>
      <c r="B88" s="81">
        <v>1.00012796E8</v>
      </c>
      <c r="C88" s="89" t="s">
        <v>119</v>
      </c>
      <c r="D88" s="83" t="s">
        <v>121</v>
      </c>
      <c r="E88" s="95">
        <v>498.65</v>
      </c>
      <c r="F88" s="65">
        <v>566.68</v>
      </c>
      <c r="G88" s="65">
        <v>599.0</v>
      </c>
      <c r="H88" s="41">
        <f t="shared" si="1"/>
        <v>554.7766667</v>
      </c>
      <c r="I88" s="49">
        <f t="shared" si="2"/>
        <v>0.2012433571</v>
      </c>
      <c r="J88" s="93"/>
      <c r="K88" s="78"/>
      <c r="L88" s="50">
        <v>44684.0</v>
      </c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9"/>
      <c r="B89" s="81">
        <v>1.00011988E8</v>
      </c>
      <c r="C89" s="89" t="s">
        <v>122</v>
      </c>
      <c r="D89" s="83" t="s">
        <v>123</v>
      </c>
      <c r="E89" s="95">
        <v>615.9</v>
      </c>
      <c r="F89" s="65">
        <v>668.99</v>
      </c>
      <c r="G89" s="65">
        <v>664.99</v>
      </c>
      <c r="H89" s="41">
        <f t="shared" si="1"/>
        <v>649.96</v>
      </c>
      <c r="I89" s="49">
        <f t="shared" si="2"/>
        <v>0.08619905829</v>
      </c>
      <c r="J89" s="93"/>
      <c r="K89" s="78"/>
      <c r="L89" s="50">
        <v>44685.0</v>
      </c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9"/>
      <c r="B90" s="81">
        <v>1.00012896E8</v>
      </c>
      <c r="C90" s="89" t="s">
        <v>124</v>
      </c>
      <c r="D90" s="83"/>
      <c r="E90" s="95">
        <v>169.99</v>
      </c>
      <c r="F90" s="65">
        <v>165.9</v>
      </c>
      <c r="G90" s="65">
        <v>179.89</v>
      </c>
      <c r="H90" s="41">
        <f t="shared" si="1"/>
        <v>171.9266667</v>
      </c>
      <c r="I90" s="49">
        <f t="shared" si="2"/>
        <v>0.08432790838</v>
      </c>
      <c r="J90" s="93"/>
      <c r="K90" s="78"/>
      <c r="L90" s="50">
        <v>44686.0</v>
      </c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9"/>
      <c r="B91" s="81">
        <v>1.0001277E8</v>
      </c>
      <c r="C91" s="89" t="s">
        <v>125</v>
      </c>
      <c r="D91" s="83" t="s">
        <v>126</v>
      </c>
      <c r="E91" s="95">
        <v>997.99</v>
      </c>
      <c r="F91" s="65">
        <v>1048.62</v>
      </c>
      <c r="G91" s="65">
        <v>928.8</v>
      </c>
      <c r="H91" s="41">
        <f t="shared" si="1"/>
        <v>991.8033333</v>
      </c>
      <c r="I91" s="49">
        <f t="shared" si="2"/>
        <v>0.129005168</v>
      </c>
      <c r="J91" s="93"/>
      <c r="K91" s="78"/>
      <c r="L91" s="50">
        <v>44687.0</v>
      </c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9"/>
      <c r="B92" s="81">
        <v>1.00012798E8</v>
      </c>
      <c r="C92" s="89" t="s">
        <v>127</v>
      </c>
      <c r="D92" s="83" t="s">
        <v>128</v>
      </c>
      <c r="E92" s="95">
        <v>484.99</v>
      </c>
      <c r="F92" s="65">
        <v>560.9</v>
      </c>
      <c r="G92" s="65">
        <v>669.3</v>
      </c>
      <c r="H92" s="41">
        <f t="shared" si="1"/>
        <v>571.73</v>
      </c>
      <c r="I92" s="49">
        <f t="shared" si="2"/>
        <v>0.3800284542</v>
      </c>
      <c r="J92" s="93"/>
      <c r="K92" s="78"/>
      <c r="L92" s="50">
        <v>44688.0</v>
      </c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9"/>
      <c r="B93" s="81">
        <v>1.00012798E8</v>
      </c>
      <c r="C93" s="89" t="s">
        <v>127</v>
      </c>
      <c r="D93" s="83" t="s">
        <v>129</v>
      </c>
      <c r="E93" s="95">
        <v>12738.7</v>
      </c>
      <c r="F93" s="65">
        <v>13156.55</v>
      </c>
      <c r="G93" s="65">
        <v>12998.7</v>
      </c>
      <c r="H93" s="41">
        <f t="shared" si="1"/>
        <v>12964.65</v>
      </c>
      <c r="I93" s="49">
        <f t="shared" si="2"/>
        <v>0.03280162026</v>
      </c>
      <c r="J93" s="93"/>
      <c r="K93" s="78"/>
      <c r="L93" s="50">
        <v>44689.0</v>
      </c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9"/>
      <c r="B94" s="81">
        <v>1.0001078E8</v>
      </c>
      <c r="C94" s="89" t="s">
        <v>130</v>
      </c>
      <c r="D94" s="83" t="s">
        <v>131</v>
      </c>
      <c r="E94" s="95">
        <v>1099.0</v>
      </c>
      <c r="F94" s="65">
        <v>1199.9</v>
      </c>
      <c r="G94" s="65">
        <v>1299.99</v>
      </c>
      <c r="H94" s="41">
        <f t="shared" si="1"/>
        <v>1199.63</v>
      </c>
      <c r="I94" s="49">
        <f t="shared" si="2"/>
        <v>0.1828844404</v>
      </c>
      <c r="J94" s="93"/>
      <c r="K94" s="78"/>
      <c r="L94" s="50">
        <v>44690.0</v>
      </c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9"/>
      <c r="B95" s="81">
        <v>1.00010849E8</v>
      </c>
      <c r="C95" s="89" t="s">
        <v>132</v>
      </c>
      <c r="D95" s="113" t="s">
        <v>133</v>
      </c>
      <c r="E95" s="112">
        <v>599.0</v>
      </c>
      <c r="F95" s="57">
        <v>599.0</v>
      </c>
      <c r="G95" s="57">
        <v>728.78</v>
      </c>
      <c r="H95" s="41">
        <f t="shared" si="1"/>
        <v>642.26</v>
      </c>
      <c r="I95" s="49">
        <f t="shared" si="2"/>
        <v>0.2166611018</v>
      </c>
      <c r="J95" s="43">
        <f>IF(ISERROR(MAX(E95:G95)/H95-1),"",(MAX(E95:G95)/H95-1))</f>
        <v>0.134711799</v>
      </c>
      <c r="K95" s="58">
        <v>45974.0</v>
      </c>
      <c r="L95" s="50">
        <f t="shared" ref="L95:L223" si="13">EDATE(K95,6)</f>
        <v>46155</v>
      </c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9"/>
      <c r="B96" s="81">
        <v>1.00010849E8</v>
      </c>
      <c r="C96" s="89" t="s">
        <v>132</v>
      </c>
      <c r="D96" s="113" t="s">
        <v>134</v>
      </c>
      <c r="E96" s="112">
        <v>499.0</v>
      </c>
      <c r="F96" s="57">
        <v>399.89</v>
      </c>
      <c r="G96" s="57">
        <v>420.95</v>
      </c>
      <c r="H96" s="41">
        <f t="shared" si="1"/>
        <v>439.9466667</v>
      </c>
      <c r="I96" s="49">
        <f t="shared" si="2"/>
        <v>0.2478431569</v>
      </c>
      <c r="J96" s="43"/>
      <c r="K96" s="58">
        <v>45975.0</v>
      </c>
      <c r="L96" s="50">
        <f t="shared" si="13"/>
        <v>46156</v>
      </c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9"/>
      <c r="B97" s="81">
        <v>1.00010849E8</v>
      </c>
      <c r="C97" s="89" t="s">
        <v>132</v>
      </c>
      <c r="D97" s="113" t="s">
        <v>135</v>
      </c>
      <c r="E97" s="112">
        <v>499.0</v>
      </c>
      <c r="F97" s="57">
        <v>492.78</v>
      </c>
      <c r="G97" s="57"/>
      <c r="H97" s="41">
        <f t="shared" si="1"/>
        <v>330.5933333</v>
      </c>
      <c r="I97" s="49">
        <f t="shared" si="2"/>
        <v>0.01262226551</v>
      </c>
      <c r="J97" s="43"/>
      <c r="K97" s="58">
        <v>45975.0</v>
      </c>
      <c r="L97" s="50">
        <f t="shared" si="13"/>
        <v>46156</v>
      </c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9"/>
      <c r="B98" s="81">
        <v>1.00010849E8</v>
      </c>
      <c r="C98" s="89" t="s">
        <v>132</v>
      </c>
      <c r="D98" s="83" t="s">
        <v>136</v>
      </c>
      <c r="E98" s="91">
        <v>2099.0</v>
      </c>
      <c r="F98" s="88">
        <v>2490.0</v>
      </c>
      <c r="G98" s="88">
        <v>2622.68</v>
      </c>
      <c r="H98" s="41">
        <f t="shared" si="1"/>
        <v>2403.893333</v>
      </c>
      <c r="I98" s="49">
        <f t="shared" si="2"/>
        <v>0.2494902334</v>
      </c>
      <c r="J98" s="43">
        <f t="shared" ref="J98:J102" si="14">IF(ISERROR(MAX(E98:G98)/H98-1),"",(MAX(E98:G98)/H98-1))</f>
        <v>0.09101346704</v>
      </c>
      <c r="K98" s="58">
        <v>45849.0</v>
      </c>
      <c r="L98" s="50">
        <f t="shared" si="13"/>
        <v>46033</v>
      </c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9"/>
      <c r="B99" s="81">
        <v>1.00010849E8</v>
      </c>
      <c r="C99" s="89" t="s">
        <v>132</v>
      </c>
      <c r="D99" s="83" t="s">
        <v>137</v>
      </c>
      <c r="E99" s="100">
        <v>6900.0</v>
      </c>
      <c r="F99" s="54">
        <v>6900.0</v>
      </c>
      <c r="G99" s="65">
        <v>4792.5</v>
      </c>
      <c r="H99" s="41">
        <f t="shared" si="1"/>
        <v>6197.5</v>
      </c>
      <c r="I99" s="49">
        <f t="shared" si="2"/>
        <v>0.4397496088</v>
      </c>
      <c r="J99" s="43">
        <f t="shared" si="14"/>
        <v>0.1133521581</v>
      </c>
      <c r="K99" s="58">
        <v>45848.0</v>
      </c>
      <c r="L99" s="50">
        <f t="shared" si="13"/>
        <v>46032</v>
      </c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9"/>
      <c r="B100" s="81">
        <v>1.00010851E8</v>
      </c>
      <c r="C100" s="89" t="s">
        <v>138</v>
      </c>
      <c r="D100" s="83"/>
      <c r="E100" s="100">
        <v>899.0</v>
      </c>
      <c r="F100" s="54">
        <v>744.57</v>
      </c>
      <c r="G100" s="54">
        <v>749.0</v>
      </c>
      <c r="H100" s="41">
        <f t="shared" si="1"/>
        <v>797.5233333</v>
      </c>
      <c r="I100" s="49">
        <f t="shared" si="2"/>
        <v>0.2074083028</v>
      </c>
      <c r="J100" s="43">
        <f t="shared" si="14"/>
        <v>0.1272397464</v>
      </c>
      <c r="K100" s="58">
        <v>45971.0</v>
      </c>
      <c r="L100" s="50">
        <f t="shared" si="13"/>
        <v>46152</v>
      </c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9"/>
      <c r="B101" s="81">
        <v>1.00010865E8</v>
      </c>
      <c r="C101" s="89" t="s">
        <v>139</v>
      </c>
      <c r="D101" s="83" t="s">
        <v>140</v>
      </c>
      <c r="E101" s="95">
        <v>499.9</v>
      </c>
      <c r="F101" s="65">
        <v>424.0</v>
      </c>
      <c r="G101" s="65">
        <v>499.0</v>
      </c>
      <c r="H101" s="41">
        <f t="shared" si="1"/>
        <v>474.3</v>
      </c>
      <c r="I101" s="49">
        <f t="shared" si="2"/>
        <v>0.179009434</v>
      </c>
      <c r="J101" s="43">
        <f t="shared" si="14"/>
        <v>0.05397427788</v>
      </c>
      <c r="K101" s="58">
        <v>45848.0</v>
      </c>
      <c r="L101" s="50">
        <f t="shared" si="13"/>
        <v>46032</v>
      </c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9"/>
      <c r="B102" s="81">
        <v>1.00011316E8</v>
      </c>
      <c r="C102" s="89" t="s">
        <v>141</v>
      </c>
      <c r="D102" s="83"/>
      <c r="E102" s="95">
        <v>1073.0</v>
      </c>
      <c r="F102" s="63">
        <v>1244.91</v>
      </c>
      <c r="G102" s="54">
        <v>1634.99</v>
      </c>
      <c r="H102" s="41">
        <f t="shared" si="1"/>
        <v>1317.633333</v>
      </c>
      <c r="I102" s="49">
        <f t="shared" si="2"/>
        <v>0.5237558248</v>
      </c>
      <c r="J102" s="43">
        <f t="shared" si="14"/>
        <v>0.2408535506</v>
      </c>
      <c r="K102" s="58">
        <v>45882.0</v>
      </c>
      <c r="L102" s="50">
        <f t="shared" si="13"/>
        <v>46066</v>
      </c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9"/>
      <c r="B103" s="81">
        <v>1.00011324E8</v>
      </c>
      <c r="C103" s="89" t="s">
        <v>142</v>
      </c>
      <c r="D103" s="83"/>
      <c r="E103" s="95">
        <v>356.4</v>
      </c>
      <c r="F103" s="64">
        <v>396.21</v>
      </c>
      <c r="G103" s="65">
        <v>347.23</v>
      </c>
      <c r="H103" s="41">
        <f t="shared" si="1"/>
        <v>366.6133333</v>
      </c>
      <c r="I103" s="49">
        <f t="shared" si="2"/>
        <v>0.1410592403</v>
      </c>
      <c r="J103" s="43"/>
      <c r="K103" s="58">
        <v>45849.0</v>
      </c>
      <c r="L103" s="50">
        <f t="shared" si="13"/>
        <v>46033</v>
      </c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9"/>
      <c r="B104" s="97">
        <v>1.00013122E8</v>
      </c>
      <c r="C104" s="98" t="s">
        <v>143</v>
      </c>
      <c r="D104" s="83"/>
      <c r="E104" s="100">
        <v>15768.26</v>
      </c>
      <c r="F104" s="63">
        <v>15768.26</v>
      </c>
      <c r="G104" s="54">
        <v>17520.29</v>
      </c>
      <c r="H104" s="41">
        <f t="shared" si="1"/>
        <v>16352.27</v>
      </c>
      <c r="I104" s="49">
        <f t="shared" si="2"/>
        <v>0.1111111816</v>
      </c>
      <c r="J104" s="43">
        <f t="shared" ref="J104:J146" si="15">IF(ISERROR(MAX(E104:G104)/H104-1),"",(MAX(E104:G104)/H104-1))</f>
        <v>0.07142861511</v>
      </c>
      <c r="K104" s="58">
        <v>45849.0</v>
      </c>
      <c r="L104" s="50">
        <f t="shared" si="13"/>
        <v>46033</v>
      </c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9"/>
      <c r="B105" s="81">
        <v>1.00011731E8</v>
      </c>
      <c r="C105" s="89" t="s">
        <v>144</v>
      </c>
      <c r="D105" s="83"/>
      <c r="E105" s="91">
        <v>3549.0</v>
      </c>
      <c r="F105" s="88">
        <v>3999.0</v>
      </c>
      <c r="G105" s="88">
        <v>3499.0</v>
      </c>
      <c r="H105" s="41">
        <f t="shared" si="1"/>
        <v>3682.333333</v>
      </c>
      <c r="I105" s="49">
        <f t="shared" si="2"/>
        <v>0.1428979708</v>
      </c>
      <c r="J105" s="43">
        <f t="shared" si="15"/>
        <v>0.08599619806</v>
      </c>
      <c r="K105" s="58">
        <v>45848.0</v>
      </c>
      <c r="L105" s="50">
        <f t="shared" si="13"/>
        <v>46032</v>
      </c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9"/>
      <c r="B106" s="81">
        <v>1.00011995E8</v>
      </c>
      <c r="C106" s="89" t="s">
        <v>145</v>
      </c>
      <c r="D106" s="83"/>
      <c r="E106" s="95">
        <v>3758.87</v>
      </c>
      <c r="F106" s="65">
        <v>3757.9</v>
      </c>
      <c r="G106" s="65">
        <v>4100.0</v>
      </c>
      <c r="H106" s="41">
        <f t="shared" si="1"/>
        <v>3872.256667</v>
      </c>
      <c r="I106" s="49">
        <f t="shared" si="2"/>
        <v>0.09103488651</v>
      </c>
      <c r="J106" s="43">
        <f t="shared" si="15"/>
        <v>0.05881411098</v>
      </c>
      <c r="K106" s="58">
        <v>45861.0</v>
      </c>
      <c r="L106" s="50">
        <f t="shared" si="13"/>
        <v>46045</v>
      </c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9"/>
      <c r="B107" s="81">
        <v>1.00012058E8</v>
      </c>
      <c r="C107" s="89" t="s">
        <v>146</v>
      </c>
      <c r="D107" s="83"/>
      <c r="E107" s="100">
        <v>246.74</v>
      </c>
      <c r="F107" s="54">
        <v>284.86</v>
      </c>
      <c r="G107" s="54">
        <v>246.44</v>
      </c>
      <c r="H107" s="41">
        <f t="shared" si="1"/>
        <v>259.3466667</v>
      </c>
      <c r="I107" s="49">
        <f t="shared" si="2"/>
        <v>0.1559000162</v>
      </c>
      <c r="J107" s="43">
        <f t="shared" si="15"/>
        <v>0.09837540486</v>
      </c>
      <c r="K107" s="58">
        <v>45848.0</v>
      </c>
      <c r="L107" s="50">
        <f t="shared" si="13"/>
        <v>46032</v>
      </c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9"/>
      <c r="B108" s="81">
        <v>1.00012258E8</v>
      </c>
      <c r="C108" s="89" t="s">
        <v>147</v>
      </c>
      <c r="D108" s="83"/>
      <c r="E108" s="91">
        <v>3586.16</v>
      </c>
      <c r="F108" s="88">
        <v>3842.43</v>
      </c>
      <c r="G108" s="88">
        <v>3936.98</v>
      </c>
      <c r="H108" s="41">
        <f t="shared" si="1"/>
        <v>3788.523333</v>
      </c>
      <c r="I108" s="49">
        <f t="shared" si="2"/>
        <v>0.09782608696</v>
      </c>
      <c r="J108" s="43">
        <f t="shared" si="15"/>
        <v>0.03918589213</v>
      </c>
      <c r="K108" s="58">
        <v>45849.0</v>
      </c>
      <c r="L108" s="50">
        <f t="shared" si="13"/>
        <v>46033</v>
      </c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9"/>
      <c r="B109" s="81">
        <v>1.00012268E8</v>
      </c>
      <c r="C109" s="89" t="s">
        <v>59</v>
      </c>
      <c r="D109" s="127"/>
      <c r="E109" s="95">
        <v>970.0</v>
      </c>
      <c r="F109" s="65">
        <v>990.0</v>
      </c>
      <c r="G109" s="65">
        <v>1059.25</v>
      </c>
      <c r="H109" s="41">
        <f t="shared" si="1"/>
        <v>1006.416667</v>
      </c>
      <c r="I109" s="49">
        <f t="shared" si="2"/>
        <v>0.09201030928</v>
      </c>
      <c r="J109" s="43">
        <f t="shared" si="15"/>
        <v>0.05249648091</v>
      </c>
      <c r="K109" s="58">
        <v>45852.0</v>
      </c>
      <c r="L109" s="50">
        <f t="shared" si="13"/>
        <v>46036</v>
      </c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9"/>
      <c r="B110" s="81">
        <v>1.00012305E8</v>
      </c>
      <c r="C110" s="89" t="s">
        <v>148</v>
      </c>
      <c r="D110" s="83" t="s">
        <v>149</v>
      </c>
      <c r="E110" s="95">
        <v>2359.0</v>
      </c>
      <c r="F110" s="65">
        <v>2349.0</v>
      </c>
      <c r="G110" s="65">
        <v>2499.0</v>
      </c>
      <c r="H110" s="41">
        <f t="shared" si="1"/>
        <v>2402.333333</v>
      </c>
      <c r="I110" s="49">
        <f t="shared" si="2"/>
        <v>0.06385696041</v>
      </c>
      <c r="J110" s="43">
        <f t="shared" si="15"/>
        <v>0.04023865686</v>
      </c>
      <c r="K110" s="58">
        <v>45852.0</v>
      </c>
      <c r="L110" s="50">
        <f t="shared" si="13"/>
        <v>46036</v>
      </c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9"/>
      <c r="B111" s="81">
        <v>1.00012305E8</v>
      </c>
      <c r="C111" s="89" t="s">
        <v>148</v>
      </c>
      <c r="D111" s="83" t="s">
        <v>150</v>
      </c>
      <c r="E111" s="95">
        <v>3389.9</v>
      </c>
      <c r="F111" s="65">
        <v>3887.78</v>
      </c>
      <c r="G111" s="65">
        <v>3630.6</v>
      </c>
      <c r="H111" s="41">
        <f t="shared" si="1"/>
        <v>3636.093333</v>
      </c>
      <c r="I111" s="49">
        <f t="shared" si="2"/>
        <v>0.1468715891</v>
      </c>
      <c r="J111" s="43">
        <f t="shared" si="15"/>
        <v>0.06921897861</v>
      </c>
      <c r="K111" s="58">
        <v>45853.0</v>
      </c>
      <c r="L111" s="50">
        <f t="shared" si="13"/>
        <v>46037</v>
      </c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9"/>
      <c r="B112" s="81">
        <v>1.00012476E8</v>
      </c>
      <c r="C112" s="89" t="s">
        <v>151</v>
      </c>
      <c r="D112" s="83"/>
      <c r="E112" s="95">
        <v>651.9</v>
      </c>
      <c r="F112" s="65">
        <v>799.0</v>
      </c>
      <c r="G112" s="65">
        <v>721.65</v>
      </c>
      <c r="H112" s="41">
        <f t="shared" si="1"/>
        <v>724.1833333</v>
      </c>
      <c r="I112" s="49">
        <f t="shared" si="2"/>
        <v>0.2256481055</v>
      </c>
      <c r="J112" s="43">
        <f t="shared" si="15"/>
        <v>0.1033117765</v>
      </c>
      <c r="K112" s="58">
        <v>45852.0</v>
      </c>
      <c r="L112" s="50">
        <f t="shared" si="13"/>
        <v>46036</v>
      </c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9"/>
      <c r="B113" s="81">
        <v>1.00012533E8</v>
      </c>
      <c r="C113" s="89" t="s">
        <v>132</v>
      </c>
      <c r="D113" s="83" t="s">
        <v>152</v>
      </c>
      <c r="E113" s="112">
        <v>1799.0</v>
      </c>
      <c r="F113" s="57">
        <v>1499.0</v>
      </c>
      <c r="G113" s="57">
        <v>1841.0</v>
      </c>
      <c r="H113" s="41">
        <f t="shared" si="1"/>
        <v>1713</v>
      </c>
      <c r="I113" s="49">
        <f t="shared" si="2"/>
        <v>0.2281521014</v>
      </c>
      <c r="J113" s="43">
        <f t="shared" si="15"/>
        <v>0.0747227087</v>
      </c>
      <c r="K113" s="58">
        <v>45975.0</v>
      </c>
      <c r="L113" s="50">
        <f t="shared" si="13"/>
        <v>46156</v>
      </c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9"/>
      <c r="B114" s="81">
        <v>1.00012534E8</v>
      </c>
      <c r="C114" s="89" t="s">
        <v>153</v>
      </c>
      <c r="D114" s="83" t="s">
        <v>154</v>
      </c>
      <c r="E114" s="112">
        <v>999.0</v>
      </c>
      <c r="F114" s="57">
        <v>871.5</v>
      </c>
      <c r="G114" s="57">
        <v>990.0</v>
      </c>
      <c r="H114" s="41">
        <f t="shared" si="1"/>
        <v>953.5</v>
      </c>
      <c r="I114" s="49">
        <f t="shared" si="2"/>
        <v>0.1462994836</v>
      </c>
      <c r="J114" s="43">
        <f t="shared" si="15"/>
        <v>0.04771893026</v>
      </c>
      <c r="K114" s="58">
        <v>45975.0</v>
      </c>
      <c r="L114" s="50">
        <f t="shared" si="13"/>
        <v>46156</v>
      </c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9"/>
      <c r="B115" s="81">
        <v>1.00012539E8</v>
      </c>
      <c r="C115" s="89" t="s">
        <v>155</v>
      </c>
      <c r="D115" s="83"/>
      <c r="E115" s="91">
        <v>1498.0</v>
      </c>
      <c r="F115" s="88">
        <v>1516.9</v>
      </c>
      <c r="G115" s="88">
        <v>1397.91</v>
      </c>
      <c r="H115" s="41">
        <f t="shared" si="1"/>
        <v>1470.936667</v>
      </c>
      <c r="I115" s="49">
        <f t="shared" si="2"/>
        <v>0.08511992904</v>
      </c>
      <c r="J115" s="43">
        <f t="shared" si="15"/>
        <v>0.03124766305</v>
      </c>
      <c r="K115" s="58">
        <v>45852.0</v>
      </c>
      <c r="L115" s="50">
        <f t="shared" si="13"/>
        <v>46036</v>
      </c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9"/>
      <c r="B116" s="81">
        <v>1.00012544E8</v>
      </c>
      <c r="C116" s="89" t="s">
        <v>156</v>
      </c>
      <c r="D116" s="128"/>
      <c r="E116" s="95">
        <v>16851.44</v>
      </c>
      <c r="F116" s="64">
        <v>15749.0</v>
      </c>
      <c r="G116" s="64">
        <v>18371.03</v>
      </c>
      <c r="H116" s="41">
        <f t="shared" si="1"/>
        <v>16990.49</v>
      </c>
      <c r="I116" s="49">
        <f t="shared" si="2"/>
        <v>0.1664886659</v>
      </c>
      <c r="J116" s="43">
        <f t="shared" si="15"/>
        <v>0.08125368956</v>
      </c>
      <c r="K116" s="58">
        <v>45852.0</v>
      </c>
      <c r="L116" s="50">
        <f t="shared" si="13"/>
        <v>46036</v>
      </c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9"/>
      <c r="B117" s="81">
        <v>1.00012545E8</v>
      </c>
      <c r="C117" s="89" t="s">
        <v>157</v>
      </c>
      <c r="D117" s="128" t="s">
        <v>158</v>
      </c>
      <c r="E117" s="95">
        <v>1823.81</v>
      </c>
      <c r="F117" s="64">
        <v>1938.79</v>
      </c>
      <c r="G117" s="64">
        <v>2233.3</v>
      </c>
      <c r="H117" s="41">
        <f t="shared" si="1"/>
        <v>1998.633333</v>
      </c>
      <c r="I117" s="49">
        <f t="shared" si="2"/>
        <v>0.2245244845</v>
      </c>
      <c r="J117" s="43">
        <f t="shared" si="15"/>
        <v>0.1174135659</v>
      </c>
      <c r="K117" s="58">
        <v>45852.0</v>
      </c>
      <c r="L117" s="50">
        <f t="shared" si="13"/>
        <v>46036</v>
      </c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9"/>
      <c r="B118" s="81">
        <v>1.00012545E8</v>
      </c>
      <c r="C118" s="89" t="s">
        <v>157</v>
      </c>
      <c r="D118" s="128" t="s">
        <v>159</v>
      </c>
      <c r="E118" s="95">
        <v>2009.57</v>
      </c>
      <c r="F118" s="64">
        <v>1899.9</v>
      </c>
      <c r="G118" s="64">
        <v>1777.77</v>
      </c>
      <c r="H118" s="41">
        <f t="shared" si="1"/>
        <v>1895.746667</v>
      </c>
      <c r="I118" s="49">
        <f t="shared" si="2"/>
        <v>0.1303880704</v>
      </c>
      <c r="J118" s="43">
        <f t="shared" si="15"/>
        <v>0.06004142607</v>
      </c>
      <c r="K118" s="58">
        <v>45852.0</v>
      </c>
      <c r="L118" s="50">
        <f t="shared" si="13"/>
        <v>46036</v>
      </c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9"/>
      <c r="B119" s="81">
        <v>1.00012551E8</v>
      </c>
      <c r="C119" s="89" t="s">
        <v>160</v>
      </c>
      <c r="D119" s="128" t="s">
        <v>161</v>
      </c>
      <c r="E119" s="95">
        <v>1510.9</v>
      </c>
      <c r="F119" s="64">
        <v>1854.9</v>
      </c>
      <c r="G119" s="64">
        <v>1563.09</v>
      </c>
      <c r="H119" s="41">
        <f t="shared" si="1"/>
        <v>1642.963333</v>
      </c>
      <c r="I119" s="49">
        <f t="shared" si="2"/>
        <v>0.2276788669</v>
      </c>
      <c r="J119" s="43">
        <f t="shared" si="15"/>
        <v>0.1289965895</v>
      </c>
      <c r="K119" s="58">
        <v>45852.0</v>
      </c>
      <c r="L119" s="50">
        <f t="shared" si="13"/>
        <v>46036</v>
      </c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9"/>
      <c r="B120" s="81">
        <v>1.00012551E8</v>
      </c>
      <c r="C120" s="89" t="s">
        <v>160</v>
      </c>
      <c r="D120" s="83" t="s">
        <v>162</v>
      </c>
      <c r="E120" s="95">
        <v>1349.0</v>
      </c>
      <c r="F120" s="65">
        <v>1498.89</v>
      </c>
      <c r="G120" s="65">
        <v>1282.41</v>
      </c>
      <c r="H120" s="41">
        <f t="shared" si="1"/>
        <v>1376.766667</v>
      </c>
      <c r="I120" s="49">
        <f t="shared" si="2"/>
        <v>0.1688071678</v>
      </c>
      <c r="J120" s="43">
        <f t="shared" si="15"/>
        <v>0.08870299978</v>
      </c>
      <c r="K120" s="58">
        <v>45852.0</v>
      </c>
      <c r="L120" s="50">
        <f t="shared" si="13"/>
        <v>46036</v>
      </c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9"/>
      <c r="B121" s="81">
        <v>1.00012907E8</v>
      </c>
      <c r="C121" s="89" t="s">
        <v>163</v>
      </c>
      <c r="D121" s="83"/>
      <c r="E121" s="91">
        <v>659.65</v>
      </c>
      <c r="F121" s="88">
        <v>647.94</v>
      </c>
      <c r="G121" s="88">
        <v>595.09</v>
      </c>
      <c r="H121" s="41">
        <f t="shared" si="1"/>
        <v>634.2266667</v>
      </c>
      <c r="I121" s="49">
        <f t="shared" si="2"/>
        <v>0.1084877918</v>
      </c>
      <c r="J121" s="43">
        <f t="shared" si="15"/>
        <v>0.04008556352</v>
      </c>
      <c r="K121" s="58">
        <v>45852.0</v>
      </c>
      <c r="L121" s="50">
        <f t="shared" si="13"/>
        <v>46036</v>
      </c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129"/>
      <c r="B122" s="81">
        <v>1.00012915E8</v>
      </c>
      <c r="C122" s="89" t="s">
        <v>164</v>
      </c>
      <c r="D122" s="83"/>
      <c r="E122" s="95">
        <v>1494.53</v>
      </c>
      <c r="F122" s="65">
        <v>1401.34</v>
      </c>
      <c r="G122" s="65">
        <v>1265.0</v>
      </c>
      <c r="H122" s="130">
        <v>1250.0</v>
      </c>
      <c r="I122" s="49">
        <f t="shared" si="2"/>
        <v>0.1814466403</v>
      </c>
      <c r="J122" s="43">
        <f t="shared" si="15"/>
        <v>0.195624</v>
      </c>
      <c r="K122" s="58">
        <v>45975.0</v>
      </c>
      <c r="L122" s="50">
        <f t="shared" si="13"/>
        <v>46156</v>
      </c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9"/>
      <c r="B123" s="81">
        <v>1.00012923E8</v>
      </c>
      <c r="C123" s="89" t="s">
        <v>165</v>
      </c>
      <c r="D123" s="128"/>
      <c r="E123" s="95">
        <v>3449.9</v>
      </c>
      <c r="F123" s="65">
        <v>3529.0</v>
      </c>
      <c r="G123" s="65">
        <v>4054.96</v>
      </c>
      <c r="H123" s="41">
        <f t="shared" ref="H123:H179" si="16">SUM(E123:G123)/3</f>
        <v>3677.953333</v>
      </c>
      <c r="I123" s="49">
        <f t="shared" si="2"/>
        <v>0.1753847938</v>
      </c>
      <c r="J123" s="43">
        <f t="shared" si="15"/>
        <v>0.1025044726</v>
      </c>
      <c r="K123" s="58">
        <v>45852.0</v>
      </c>
      <c r="L123" s="50">
        <f t="shared" si="13"/>
        <v>46036</v>
      </c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9"/>
      <c r="B124" s="81">
        <v>1.00013107E8</v>
      </c>
      <c r="C124" s="89" t="s">
        <v>166</v>
      </c>
      <c r="D124" s="83"/>
      <c r="E124" s="91">
        <v>3625.27</v>
      </c>
      <c r="F124" s="88">
        <v>3876.33</v>
      </c>
      <c r="G124" s="88">
        <v>3869.9</v>
      </c>
      <c r="H124" s="41">
        <f t="shared" si="16"/>
        <v>3790.5</v>
      </c>
      <c r="I124" s="49">
        <f t="shared" si="2"/>
        <v>0.0692527729</v>
      </c>
      <c r="J124" s="43">
        <f t="shared" si="15"/>
        <v>0.02264345073</v>
      </c>
      <c r="K124" s="58">
        <v>45852.0</v>
      </c>
      <c r="L124" s="50">
        <f t="shared" si="13"/>
        <v>46036</v>
      </c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9"/>
      <c r="B125" s="81">
        <v>1.00012529E8</v>
      </c>
      <c r="C125" s="89" t="s">
        <v>167</v>
      </c>
      <c r="D125" s="83" t="s">
        <v>168</v>
      </c>
      <c r="E125" s="91">
        <v>671.31</v>
      </c>
      <c r="F125" s="88">
        <v>709.9</v>
      </c>
      <c r="G125" s="88">
        <v>703.33</v>
      </c>
      <c r="H125" s="41">
        <f t="shared" si="16"/>
        <v>694.8466667</v>
      </c>
      <c r="I125" s="49">
        <f t="shared" si="2"/>
        <v>0.05748461962</v>
      </c>
      <c r="J125" s="43">
        <f t="shared" si="15"/>
        <v>0.02166425207</v>
      </c>
      <c r="K125" s="78"/>
      <c r="L125" s="50">
        <f t="shared" si="13"/>
        <v>182</v>
      </c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9"/>
      <c r="B126" s="81">
        <v>1.00012529E8</v>
      </c>
      <c r="C126" s="89" t="s">
        <v>167</v>
      </c>
      <c r="D126" s="127" t="s">
        <v>169</v>
      </c>
      <c r="E126" s="95">
        <v>1569.0</v>
      </c>
      <c r="F126" s="65">
        <v>1666.64</v>
      </c>
      <c r="G126" s="65">
        <v>1681.0</v>
      </c>
      <c r="H126" s="41">
        <f t="shared" si="16"/>
        <v>1638.88</v>
      </c>
      <c r="I126" s="49">
        <f t="shared" si="2"/>
        <v>0.07138304653</v>
      </c>
      <c r="J126" s="43">
        <f t="shared" si="15"/>
        <v>0.02570047838</v>
      </c>
      <c r="K126" s="78"/>
      <c r="L126" s="50">
        <f t="shared" si="13"/>
        <v>182</v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9"/>
      <c r="B127" s="81">
        <v>1.00012307E8</v>
      </c>
      <c r="C127" s="89" t="s">
        <v>170</v>
      </c>
      <c r="D127" s="83" t="s">
        <v>171</v>
      </c>
      <c r="E127" s="131">
        <v>455.91</v>
      </c>
      <c r="F127" s="88">
        <v>414.99</v>
      </c>
      <c r="G127" s="88">
        <v>495.0</v>
      </c>
      <c r="H127" s="41">
        <f t="shared" si="16"/>
        <v>455.3</v>
      </c>
      <c r="I127" s="49">
        <f t="shared" si="2"/>
        <v>0.1927998265</v>
      </c>
      <c r="J127" s="43">
        <f t="shared" si="15"/>
        <v>0.08719525588</v>
      </c>
      <c r="K127" s="58">
        <v>45853.0</v>
      </c>
      <c r="L127" s="50">
        <f t="shared" si="13"/>
        <v>46037</v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9"/>
      <c r="B128" s="81">
        <v>1.00012307E8</v>
      </c>
      <c r="C128" s="89" t="s">
        <v>170</v>
      </c>
      <c r="D128" s="83" t="s">
        <v>172</v>
      </c>
      <c r="E128" s="131">
        <v>399.0</v>
      </c>
      <c r="F128" s="88">
        <v>345.0</v>
      </c>
      <c r="G128" s="88">
        <v>387.48</v>
      </c>
      <c r="H128" s="41">
        <f t="shared" si="16"/>
        <v>377.16</v>
      </c>
      <c r="I128" s="49">
        <f t="shared" si="2"/>
        <v>0.1565217391</v>
      </c>
      <c r="J128" s="43">
        <f t="shared" si="15"/>
        <v>0.0579064588</v>
      </c>
      <c r="K128" s="58">
        <v>45853.0</v>
      </c>
      <c r="L128" s="50">
        <f t="shared" si="13"/>
        <v>46037</v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9"/>
      <c r="B129" s="81">
        <v>1.00012307E8</v>
      </c>
      <c r="C129" s="89" t="s">
        <v>170</v>
      </c>
      <c r="D129" s="83" t="s">
        <v>173</v>
      </c>
      <c r="E129" s="131">
        <v>1533.45</v>
      </c>
      <c r="F129" s="88">
        <v>1349.44</v>
      </c>
      <c r="G129" s="88">
        <v>1614.16</v>
      </c>
      <c r="H129" s="41">
        <f t="shared" si="16"/>
        <v>1499.016667</v>
      </c>
      <c r="I129" s="49">
        <f t="shared" si="2"/>
        <v>0.1961702632</v>
      </c>
      <c r="J129" s="43">
        <f t="shared" si="15"/>
        <v>0.07681257713</v>
      </c>
      <c r="K129" s="58">
        <v>45853.0</v>
      </c>
      <c r="L129" s="50">
        <f t="shared" si="13"/>
        <v>46037</v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9"/>
      <c r="B130" s="81">
        <v>1.00012307E8</v>
      </c>
      <c r="C130" s="89" t="s">
        <v>170</v>
      </c>
      <c r="D130" s="83" t="s">
        <v>174</v>
      </c>
      <c r="E130" s="131">
        <v>362.98</v>
      </c>
      <c r="F130" s="88">
        <v>370.44</v>
      </c>
      <c r="G130" s="88">
        <v>450.9</v>
      </c>
      <c r="H130" s="41">
        <f t="shared" si="16"/>
        <v>394.7733333</v>
      </c>
      <c r="I130" s="49">
        <f t="shared" si="2"/>
        <v>0.242217202</v>
      </c>
      <c r="J130" s="43">
        <f t="shared" si="15"/>
        <v>0.1421744123</v>
      </c>
      <c r="K130" s="58">
        <v>45882.0</v>
      </c>
      <c r="L130" s="50">
        <f t="shared" si="13"/>
        <v>46066</v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9"/>
      <c r="B131" s="81">
        <v>1.00012307E8</v>
      </c>
      <c r="C131" s="89" t="s">
        <v>170</v>
      </c>
      <c r="D131" s="83" t="s">
        <v>175</v>
      </c>
      <c r="E131" s="131">
        <v>815.64</v>
      </c>
      <c r="F131" s="88">
        <v>780.92</v>
      </c>
      <c r="G131" s="88">
        <v>815.64</v>
      </c>
      <c r="H131" s="41">
        <f t="shared" si="16"/>
        <v>804.0666667</v>
      </c>
      <c r="I131" s="49">
        <f t="shared" si="2"/>
        <v>0.04446038006</v>
      </c>
      <c r="J131" s="43">
        <f t="shared" si="15"/>
        <v>0.01439349971</v>
      </c>
      <c r="K131" s="58">
        <v>45853.0</v>
      </c>
      <c r="L131" s="50">
        <f t="shared" si="13"/>
        <v>46037</v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9"/>
      <c r="B132" s="81">
        <v>1.00012525E8</v>
      </c>
      <c r="C132" s="89" t="s">
        <v>176</v>
      </c>
      <c r="D132" s="83"/>
      <c r="E132" s="95">
        <v>2699.9</v>
      </c>
      <c r="F132" s="65">
        <v>2699.0</v>
      </c>
      <c r="G132" s="65">
        <v>2239.0</v>
      </c>
      <c r="H132" s="41">
        <f t="shared" si="16"/>
        <v>2545.966667</v>
      </c>
      <c r="I132" s="49">
        <f t="shared" si="2"/>
        <v>0.2058508263</v>
      </c>
      <c r="J132" s="43">
        <f t="shared" si="15"/>
        <v>0.06046164522</v>
      </c>
      <c r="K132" s="78"/>
      <c r="L132" s="50">
        <f t="shared" si="13"/>
        <v>182</v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9"/>
      <c r="B133" s="81">
        <v>1.00012548E8</v>
      </c>
      <c r="C133" s="89" t="s">
        <v>177</v>
      </c>
      <c r="D133" s="83"/>
      <c r="E133" s="95">
        <v>15931.09</v>
      </c>
      <c r="F133" s="64">
        <v>13200.0</v>
      </c>
      <c r="G133" s="64">
        <v>14056.7</v>
      </c>
      <c r="H133" s="41">
        <f t="shared" si="16"/>
        <v>14395.93</v>
      </c>
      <c r="I133" s="49">
        <f t="shared" si="2"/>
        <v>0.2069007576</v>
      </c>
      <c r="J133" s="43">
        <f t="shared" si="15"/>
        <v>0.1066384735</v>
      </c>
      <c r="K133" s="58">
        <v>45853.0</v>
      </c>
      <c r="L133" s="50">
        <f t="shared" si="13"/>
        <v>46037</v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9"/>
      <c r="B134" s="81">
        <v>1.00012553E8</v>
      </c>
      <c r="C134" s="89" t="s">
        <v>178</v>
      </c>
      <c r="D134" s="83"/>
      <c r="E134" s="132">
        <v>1089.0</v>
      </c>
      <c r="F134" s="91">
        <v>899.0</v>
      </c>
      <c r="G134" s="57">
        <v>999.0</v>
      </c>
      <c r="H134" s="41">
        <f t="shared" si="16"/>
        <v>995.6666667</v>
      </c>
      <c r="I134" s="49">
        <f t="shared" si="2"/>
        <v>0.2113459399</v>
      </c>
      <c r="J134" s="43">
        <f t="shared" si="15"/>
        <v>0.093739538</v>
      </c>
      <c r="K134" s="58">
        <v>45975.0</v>
      </c>
      <c r="L134" s="50">
        <f t="shared" si="13"/>
        <v>46156</v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9"/>
      <c r="B135" s="81">
        <v>1.00012583E8</v>
      </c>
      <c r="C135" s="89" t="s">
        <v>179</v>
      </c>
      <c r="D135" s="83"/>
      <c r="E135" s="95">
        <v>155.29</v>
      </c>
      <c r="F135" s="65">
        <v>169.88</v>
      </c>
      <c r="G135" s="65">
        <v>169.9</v>
      </c>
      <c r="H135" s="41">
        <f t="shared" si="16"/>
        <v>165.0233333</v>
      </c>
      <c r="I135" s="49">
        <f t="shared" si="2"/>
        <v>0.09408204005</v>
      </c>
      <c r="J135" s="43">
        <f t="shared" si="15"/>
        <v>0.02955137657</v>
      </c>
      <c r="K135" s="58">
        <v>45853.0</v>
      </c>
      <c r="L135" s="50">
        <f t="shared" si="13"/>
        <v>46037</v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9"/>
      <c r="B136" s="81">
        <v>1.00012595E8</v>
      </c>
      <c r="C136" s="89" t="s">
        <v>63</v>
      </c>
      <c r="D136" s="83"/>
      <c r="E136" s="131">
        <v>230.41</v>
      </c>
      <c r="F136" s="88">
        <v>298.43</v>
      </c>
      <c r="G136" s="88">
        <v>286.2</v>
      </c>
      <c r="H136" s="41">
        <f t="shared" si="16"/>
        <v>271.68</v>
      </c>
      <c r="I136" s="49">
        <f t="shared" si="2"/>
        <v>0.2952128814</v>
      </c>
      <c r="J136" s="43">
        <f t="shared" si="15"/>
        <v>0.09846142521</v>
      </c>
      <c r="K136" s="58">
        <v>45853.0</v>
      </c>
      <c r="L136" s="50">
        <f t="shared" si="13"/>
        <v>46037</v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9"/>
      <c r="B137" s="81">
        <v>1.00012637E8</v>
      </c>
      <c r="C137" s="89" t="s">
        <v>180</v>
      </c>
      <c r="D137" s="83"/>
      <c r="E137" s="132">
        <v>404.64</v>
      </c>
      <c r="F137" s="57">
        <v>399.89</v>
      </c>
      <c r="G137" s="57">
        <v>393.51</v>
      </c>
      <c r="H137" s="41">
        <f t="shared" si="16"/>
        <v>399.3466667</v>
      </c>
      <c r="I137" s="49">
        <f t="shared" si="2"/>
        <v>0.02828390638</v>
      </c>
      <c r="J137" s="43">
        <f t="shared" si="15"/>
        <v>0.01325498314</v>
      </c>
      <c r="K137" s="58">
        <v>45972.0</v>
      </c>
      <c r="L137" s="50">
        <f t="shared" si="13"/>
        <v>46153</v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9"/>
      <c r="B138" s="81">
        <v>1.00012599E8</v>
      </c>
      <c r="C138" s="89" t="s">
        <v>181</v>
      </c>
      <c r="D138" s="83"/>
      <c r="E138" s="131">
        <v>1140.0</v>
      </c>
      <c r="F138" s="88">
        <v>1200.0</v>
      </c>
      <c r="G138" s="88">
        <v>963.0</v>
      </c>
      <c r="H138" s="41">
        <f t="shared" si="16"/>
        <v>1101</v>
      </c>
      <c r="I138" s="49">
        <f t="shared" si="2"/>
        <v>0.246105919</v>
      </c>
      <c r="J138" s="43">
        <f t="shared" si="15"/>
        <v>0.08991825613</v>
      </c>
      <c r="K138" s="58">
        <v>45853.0</v>
      </c>
      <c r="L138" s="50">
        <f t="shared" si="13"/>
        <v>46037</v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9"/>
      <c r="B139" s="81">
        <v>1.00012638E8</v>
      </c>
      <c r="C139" s="89" t="s">
        <v>182</v>
      </c>
      <c r="D139" s="83"/>
      <c r="E139" s="132">
        <v>2001.0</v>
      </c>
      <c r="F139" s="88">
        <v>1599.9</v>
      </c>
      <c r="G139" s="88">
        <v>1698.9</v>
      </c>
      <c r="H139" s="41">
        <f t="shared" si="16"/>
        <v>1766.6</v>
      </c>
      <c r="I139" s="49">
        <f t="shared" si="2"/>
        <v>0.2507031689</v>
      </c>
      <c r="J139" s="43">
        <f t="shared" si="15"/>
        <v>0.1326842522</v>
      </c>
      <c r="K139" s="58">
        <v>45853.0</v>
      </c>
      <c r="L139" s="50">
        <f t="shared" si="13"/>
        <v>46037</v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9"/>
      <c r="B140" s="81">
        <v>1.0001264E8</v>
      </c>
      <c r="C140" s="89" t="s">
        <v>183</v>
      </c>
      <c r="D140" s="128"/>
      <c r="E140" s="100">
        <v>1702.89</v>
      </c>
      <c r="F140" s="65">
        <v>1599.99</v>
      </c>
      <c r="G140" s="54">
        <v>1643.3</v>
      </c>
      <c r="H140" s="41">
        <f t="shared" si="16"/>
        <v>1648.726667</v>
      </c>
      <c r="I140" s="49">
        <f t="shared" si="2"/>
        <v>0.06431290196</v>
      </c>
      <c r="J140" s="43">
        <f t="shared" si="15"/>
        <v>0.03285161478</v>
      </c>
      <c r="K140" s="58">
        <v>45849.0</v>
      </c>
      <c r="L140" s="50">
        <f t="shared" si="13"/>
        <v>46033</v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9"/>
      <c r="B141" s="81">
        <v>1.00012641E8</v>
      </c>
      <c r="C141" s="89" t="s">
        <v>184</v>
      </c>
      <c r="D141" s="83" t="s">
        <v>185</v>
      </c>
      <c r="E141" s="131">
        <v>849.0</v>
      </c>
      <c r="F141" s="88">
        <v>949.0</v>
      </c>
      <c r="G141" s="88">
        <v>998.85</v>
      </c>
      <c r="H141" s="41">
        <f t="shared" si="16"/>
        <v>932.2833333</v>
      </c>
      <c r="I141" s="49">
        <f t="shared" si="2"/>
        <v>0.1765017668</v>
      </c>
      <c r="J141" s="43">
        <f t="shared" si="15"/>
        <v>0.07140175555</v>
      </c>
      <c r="K141" s="58">
        <v>45854.0</v>
      </c>
      <c r="L141" s="50">
        <f t="shared" si="13"/>
        <v>46038</v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9"/>
      <c r="B142" s="81">
        <v>1.00012641E8</v>
      </c>
      <c r="C142" s="89" t="s">
        <v>184</v>
      </c>
      <c r="D142" s="83" t="s">
        <v>186</v>
      </c>
      <c r="E142" s="96">
        <v>1399.9</v>
      </c>
      <c r="F142" s="65">
        <v>1415.53</v>
      </c>
      <c r="G142" s="65">
        <v>1599.9</v>
      </c>
      <c r="H142" s="41">
        <f t="shared" si="16"/>
        <v>1471.776667</v>
      </c>
      <c r="I142" s="49">
        <f t="shared" si="2"/>
        <v>0.1428673477</v>
      </c>
      <c r="J142" s="43">
        <f t="shared" si="15"/>
        <v>0.08705351582</v>
      </c>
      <c r="K142" s="58">
        <v>45854.0</v>
      </c>
      <c r="L142" s="50">
        <f t="shared" si="13"/>
        <v>46038</v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9"/>
      <c r="B143" s="81">
        <v>1.00012641E8</v>
      </c>
      <c r="C143" s="89" t="s">
        <v>184</v>
      </c>
      <c r="D143" s="83" t="s">
        <v>187</v>
      </c>
      <c r="E143" s="96">
        <v>1420.0</v>
      </c>
      <c r="F143" s="65">
        <v>1481.72</v>
      </c>
      <c r="G143" s="65">
        <v>1598.89</v>
      </c>
      <c r="H143" s="41">
        <f t="shared" si="16"/>
        <v>1500.203333</v>
      </c>
      <c r="I143" s="49">
        <f t="shared" si="2"/>
        <v>0.1259788732</v>
      </c>
      <c r="J143" s="43">
        <f t="shared" si="15"/>
        <v>0.06578219397</v>
      </c>
      <c r="K143" s="58">
        <v>45854.0</v>
      </c>
      <c r="L143" s="50">
        <f t="shared" si="13"/>
        <v>46038</v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9"/>
      <c r="B144" s="81">
        <v>1.00012641E8</v>
      </c>
      <c r="C144" s="89" t="s">
        <v>184</v>
      </c>
      <c r="D144" s="83" t="s">
        <v>188</v>
      </c>
      <c r="E144" s="96">
        <v>2472.63</v>
      </c>
      <c r="F144" s="65">
        <v>2499.0</v>
      </c>
      <c r="G144" s="65">
        <v>2782.64</v>
      </c>
      <c r="H144" s="41">
        <f t="shared" si="16"/>
        <v>2584.756667</v>
      </c>
      <c r="I144" s="49">
        <f t="shared" si="2"/>
        <v>0.1253766233</v>
      </c>
      <c r="J144" s="43">
        <f t="shared" si="15"/>
        <v>0.07655781911</v>
      </c>
      <c r="K144" s="58">
        <v>45854.0</v>
      </c>
      <c r="L144" s="50">
        <f t="shared" si="13"/>
        <v>46038</v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81">
        <v>1.00012641E8</v>
      </c>
      <c r="C145" s="89" t="s">
        <v>184</v>
      </c>
      <c r="D145" s="127" t="s">
        <v>189</v>
      </c>
      <c r="E145" s="95">
        <v>2284.0</v>
      </c>
      <c r="F145" s="64">
        <v>2539.9</v>
      </c>
      <c r="G145" s="64">
        <v>2599.0</v>
      </c>
      <c r="H145" s="41">
        <f t="shared" si="16"/>
        <v>2474.3</v>
      </c>
      <c r="I145" s="49">
        <f t="shared" si="2"/>
        <v>0.137915937</v>
      </c>
      <c r="J145" s="43">
        <f t="shared" si="15"/>
        <v>0.05039809239</v>
      </c>
      <c r="K145" s="58">
        <v>45854.0</v>
      </c>
      <c r="L145" s="50">
        <f t="shared" si="13"/>
        <v>46038</v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81">
        <v>1.00012641E8</v>
      </c>
      <c r="C146" s="89" t="s">
        <v>184</v>
      </c>
      <c r="D146" s="83" t="s">
        <v>190</v>
      </c>
      <c r="E146" s="91">
        <v>2905.82</v>
      </c>
      <c r="F146" s="87">
        <v>3008.9</v>
      </c>
      <c r="G146" s="87">
        <v>3099.0</v>
      </c>
      <c r="H146" s="41">
        <f t="shared" si="16"/>
        <v>3004.573333</v>
      </c>
      <c r="I146" s="49">
        <f t="shared" si="2"/>
        <v>0.06648037387</v>
      </c>
      <c r="J146" s="43">
        <f t="shared" si="15"/>
        <v>0.03142764586</v>
      </c>
      <c r="K146" s="58">
        <v>45854.0</v>
      </c>
      <c r="L146" s="50">
        <f t="shared" si="13"/>
        <v>46038</v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81">
        <v>1.00012646E8</v>
      </c>
      <c r="C147" s="89" t="s">
        <v>191</v>
      </c>
      <c r="D147" s="83"/>
      <c r="E147" s="131">
        <v>2113.0</v>
      </c>
      <c r="F147" s="88">
        <v>2523.0</v>
      </c>
      <c r="G147" s="88">
        <v>2709.0</v>
      </c>
      <c r="H147" s="41">
        <f t="shared" si="16"/>
        <v>2448.333333</v>
      </c>
      <c r="I147" s="49">
        <f t="shared" si="2"/>
        <v>0.2820634169</v>
      </c>
      <c r="J147" s="43"/>
      <c r="K147" s="58">
        <v>45854.0</v>
      </c>
      <c r="L147" s="45">
        <f t="shared" si="13"/>
        <v>46038</v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81">
        <v>1.00012661E8</v>
      </c>
      <c r="C148" s="89" t="s">
        <v>192</v>
      </c>
      <c r="D148" s="83"/>
      <c r="E148" s="95">
        <v>9383.87</v>
      </c>
      <c r="F148" s="65">
        <v>9695.88</v>
      </c>
      <c r="G148" s="65">
        <v>8679.28</v>
      </c>
      <c r="H148" s="41">
        <f t="shared" si="16"/>
        <v>9253.01</v>
      </c>
      <c r="I148" s="49">
        <f t="shared" si="2"/>
        <v>0.1171295315</v>
      </c>
      <c r="J148" s="43"/>
      <c r="K148" s="58">
        <v>45854.0</v>
      </c>
      <c r="L148" s="45">
        <f t="shared" si="13"/>
        <v>46038</v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81">
        <v>1.00012788E8</v>
      </c>
      <c r="C149" s="89" t="s">
        <v>193</v>
      </c>
      <c r="D149" s="83"/>
      <c r="E149" s="95">
        <v>9989.0</v>
      </c>
      <c r="F149" s="64">
        <v>10108.96</v>
      </c>
      <c r="G149" s="64">
        <v>11663.1</v>
      </c>
      <c r="H149" s="41">
        <f t="shared" si="16"/>
        <v>10587.02</v>
      </c>
      <c r="I149" s="49">
        <f t="shared" si="2"/>
        <v>0.1675943538</v>
      </c>
      <c r="J149" s="43">
        <f t="shared" ref="J149:J155" si="17">IF(ISERROR(MAX(E149:G149)/H149-1),"",(MAX(E149:G149)/H149-1))</f>
        <v>0.101641444</v>
      </c>
      <c r="K149" s="58">
        <v>45854.0</v>
      </c>
      <c r="L149" s="50">
        <f t="shared" si="13"/>
        <v>46038</v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81">
        <v>1.00012811E8</v>
      </c>
      <c r="C150" s="89" t="s">
        <v>194</v>
      </c>
      <c r="D150" s="83"/>
      <c r="E150" s="101">
        <v>973.77</v>
      </c>
      <c r="F150" s="54">
        <v>945.0</v>
      </c>
      <c r="G150" s="54">
        <v>877.0</v>
      </c>
      <c r="H150" s="41">
        <f t="shared" si="16"/>
        <v>931.9233333</v>
      </c>
      <c r="I150" s="49">
        <f t="shared" si="2"/>
        <v>0.1103420753</v>
      </c>
      <c r="J150" s="43">
        <f t="shared" si="17"/>
        <v>0.04490355072</v>
      </c>
      <c r="K150" s="58">
        <v>45975.0</v>
      </c>
      <c r="L150" s="50">
        <f t="shared" si="13"/>
        <v>46156</v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133">
        <v>1.00010483E8</v>
      </c>
      <c r="C151" s="134" t="s">
        <v>195</v>
      </c>
      <c r="D151" s="67" t="s">
        <v>196</v>
      </c>
      <c r="E151" s="100">
        <v>368.99</v>
      </c>
      <c r="F151" s="63">
        <v>371.44</v>
      </c>
      <c r="G151" s="63">
        <v>384.9</v>
      </c>
      <c r="H151" s="41">
        <f t="shared" si="16"/>
        <v>375.11</v>
      </c>
      <c r="I151" s="49">
        <f t="shared" si="2"/>
        <v>0.04311769967</v>
      </c>
      <c r="J151" s="43">
        <f t="shared" si="17"/>
        <v>0.02609901096</v>
      </c>
      <c r="K151" s="58">
        <v>45874.0</v>
      </c>
      <c r="L151" s="50">
        <f t="shared" si="13"/>
        <v>46058</v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133">
        <v>1.00010485E8</v>
      </c>
      <c r="C152" s="134" t="s">
        <v>197</v>
      </c>
      <c r="D152" s="67" t="s">
        <v>198</v>
      </c>
      <c r="E152" s="100">
        <v>1869.01</v>
      </c>
      <c r="F152" s="54">
        <v>1898.0</v>
      </c>
      <c r="G152" s="54">
        <v>1571.96</v>
      </c>
      <c r="H152" s="41">
        <f t="shared" si="16"/>
        <v>1779.656667</v>
      </c>
      <c r="I152" s="49">
        <f t="shared" si="2"/>
        <v>0.2074098578</v>
      </c>
      <c r="J152" s="43">
        <f t="shared" si="17"/>
        <v>0.06649784509</v>
      </c>
      <c r="K152" s="58">
        <v>45875.0</v>
      </c>
      <c r="L152" s="50">
        <f t="shared" si="13"/>
        <v>46059</v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97">
        <v>1.00010771E8</v>
      </c>
      <c r="C153" s="98" t="s">
        <v>199</v>
      </c>
      <c r="D153" s="83"/>
      <c r="E153" s="100">
        <v>578.55</v>
      </c>
      <c r="F153" s="54">
        <v>564.56</v>
      </c>
      <c r="G153" s="54">
        <v>532.9</v>
      </c>
      <c r="H153" s="41">
        <f t="shared" si="16"/>
        <v>558.67</v>
      </c>
      <c r="I153" s="49">
        <f t="shared" si="2"/>
        <v>0.08566335147</v>
      </c>
      <c r="J153" s="43">
        <f t="shared" si="17"/>
        <v>0.03558451322</v>
      </c>
      <c r="K153" s="58">
        <v>45876.0</v>
      </c>
      <c r="L153" s="50">
        <f t="shared" si="13"/>
        <v>46060</v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97">
        <v>1.00002286E8</v>
      </c>
      <c r="C154" s="98" t="s">
        <v>200</v>
      </c>
      <c r="D154" s="83"/>
      <c r="E154" s="132">
        <v>1499.0</v>
      </c>
      <c r="F154" s="57">
        <v>1592.47</v>
      </c>
      <c r="G154" s="57">
        <v>1399.0</v>
      </c>
      <c r="H154" s="41">
        <f t="shared" si="16"/>
        <v>1496.823333</v>
      </c>
      <c r="I154" s="49">
        <f t="shared" si="2"/>
        <v>0.1382916369</v>
      </c>
      <c r="J154" s="43">
        <f t="shared" si="17"/>
        <v>0.06389976996</v>
      </c>
      <c r="K154" s="58">
        <v>45876.0</v>
      </c>
      <c r="L154" s="50">
        <f t="shared" si="13"/>
        <v>46060</v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97">
        <v>1.00010525E8</v>
      </c>
      <c r="C155" s="98" t="s">
        <v>201</v>
      </c>
      <c r="D155" s="83"/>
      <c r="E155" s="132">
        <v>403.75</v>
      </c>
      <c r="F155" s="57">
        <v>427.9</v>
      </c>
      <c r="G155" s="57">
        <v>412.6</v>
      </c>
      <c r="H155" s="41">
        <f t="shared" si="16"/>
        <v>414.75</v>
      </c>
      <c r="I155" s="49">
        <f t="shared" si="2"/>
        <v>0.05981424149</v>
      </c>
      <c r="J155" s="43">
        <f t="shared" si="17"/>
        <v>0.0317058469</v>
      </c>
      <c r="K155" s="58">
        <v>45876.0</v>
      </c>
      <c r="L155" s="50">
        <f t="shared" si="13"/>
        <v>46060</v>
      </c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7">
        <v>1.00010628E8</v>
      </c>
      <c r="C156" s="98" t="s">
        <v>202</v>
      </c>
      <c r="D156" s="83"/>
      <c r="E156" s="132">
        <v>950.0</v>
      </c>
      <c r="F156" s="57">
        <v>986.7</v>
      </c>
      <c r="G156" s="57">
        <v>1084.9</v>
      </c>
      <c r="H156" s="41">
        <f t="shared" si="16"/>
        <v>1007.2</v>
      </c>
      <c r="I156" s="49">
        <f t="shared" si="2"/>
        <v>0.142</v>
      </c>
      <c r="J156" s="43"/>
      <c r="K156" s="58">
        <v>45876.0</v>
      </c>
      <c r="L156" s="45">
        <f t="shared" si="13"/>
        <v>46060</v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7">
        <v>1.00013062E8</v>
      </c>
      <c r="C157" s="98" t="s">
        <v>203</v>
      </c>
      <c r="D157" s="83"/>
      <c r="E157" s="132">
        <v>269.9</v>
      </c>
      <c r="F157" s="57">
        <v>279.9</v>
      </c>
      <c r="G157" s="57">
        <v>285.12</v>
      </c>
      <c r="H157" s="41">
        <f t="shared" si="16"/>
        <v>278.3066667</v>
      </c>
      <c r="I157" s="49">
        <f t="shared" si="2"/>
        <v>0.05639125602</v>
      </c>
      <c r="J157" s="43">
        <f t="shared" ref="J157:J191" si="18">IF(ISERROR(MAX(E157:G157)/H157-1),"",(MAX(E157:G157)/H157-1))</f>
        <v>0.02448138744</v>
      </c>
      <c r="K157" s="78"/>
      <c r="L157" s="50">
        <f t="shared" si="13"/>
        <v>182</v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7">
        <v>1.00010138E8</v>
      </c>
      <c r="C158" s="98" t="s">
        <v>204</v>
      </c>
      <c r="D158" s="113" t="s">
        <v>205</v>
      </c>
      <c r="E158" s="132">
        <v>1037.16</v>
      </c>
      <c r="F158" s="57">
        <v>940.5</v>
      </c>
      <c r="G158" s="57">
        <v>1160.0</v>
      </c>
      <c r="H158" s="41">
        <f t="shared" si="16"/>
        <v>1045.886667</v>
      </c>
      <c r="I158" s="49">
        <f t="shared" si="2"/>
        <v>0.2333864965</v>
      </c>
      <c r="J158" s="43">
        <f t="shared" si="18"/>
        <v>0.1091067866</v>
      </c>
      <c r="K158" s="58">
        <v>45881.0</v>
      </c>
      <c r="L158" s="50">
        <f t="shared" si="13"/>
        <v>46065</v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7">
        <v>1.00013114E8</v>
      </c>
      <c r="C159" s="98" t="s">
        <v>206</v>
      </c>
      <c r="D159" s="113"/>
      <c r="E159" s="101">
        <v>982.84</v>
      </c>
      <c r="F159" s="54">
        <v>908.1</v>
      </c>
      <c r="G159" s="54">
        <v>1174.0</v>
      </c>
      <c r="H159" s="41">
        <f t="shared" si="16"/>
        <v>1021.646667</v>
      </c>
      <c r="I159" s="49">
        <f t="shared" si="2"/>
        <v>0.292809162</v>
      </c>
      <c r="J159" s="43">
        <f t="shared" si="18"/>
        <v>0.1491252684</v>
      </c>
      <c r="K159" s="78"/>
      <c r="L159" s="50">
        <f t="shared" si="13"/>
        <v>182</v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7">
        <v>1.00010138E8</v>
      </c>
      <c r="C160" s="98" t="s">
        <v>204</v>
      </c>
      <c r="D160" s="113" t="s">
        <v>207</v>
      </c>
      <c r="E160" s="101">
        <v>2618.08</v>
      </c>
      <c r="F160" s="54">
        <v>2645.08</v>
      </c>
      <c r="G160" s="54">
        <v>2170.2</v>
      </c>
      <c r="H160" s="41">
        <f t="shared" si="16"/>
        <v>2477.786667</v>
      </c>
      <c r="I160" s="49">
        <f t="shared" si="2"/>
        <v>0.2188185421</v>
      </c>
      <c r="J160" s="43">
        <f t="shared" si="18"/>
        <v>0.06751724657</v>
      </c>
      <c r="K160" s="78"/>
      <c r="L160" s="50">
        <f t="shared" si="13"/>
        <v>182</v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/>
      <c r="B161" s="97">
        <v>1.00010138E8</v>
      </c>
      <c r="C161" s="98" t="s">
        <v>204</v>
      </c>
      <c r="D161" s="113" t="s">
        <v>208</v>
      </c>
      <c r="E161" s="101">
        <v>661.3</v>
      </c>
      <c r="F161" s="54">
        <v>638.49</v>
      </c>
      <c r="G161" s="54">
        <v>675.0</v>
      </c>
      <c r="H161" s="41">
        <f t="shared" si="16"/>
        <v>658.2633333</v>
      </c>
      <c r="I161" s="49">
        <f t="shared" si="2"/>
        <v>0.05718178828</v>
      </c>
      <c r="J161" s="43">
        <f t="shared" si="18"/>
        <v>0.02542548828</v>
      </c>
      <c r="K161" s="78"/>
      <c r="L161" s="50">
        <f t="shared" si="13"/>
        <v>182</v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7">
        <v>1.00010138E8</v>
      </c>
      <c r="C162" s="98" t="s">
        <v>204</v>
      </c>
      <c r="D162" s="135" t="s">
        <v>209</v>
      </c>
      <c r="E162" s="95"/>
      <c r="F162" s="64"/>
      <c r="G162" s="64"/>
      <c r="H162" s="41">
        <f t="shared" si="16"/>
        <v>0</v>
      </c>
      <c r="I162" s="49" t="str">
        <f t="shared" si="2"/>
        <v/>
      </c>
      <c r="J162" s="43" t="str">
        <f t="shared" si="18"/>
        <v/>
      </c>
      <c r="K162" s="78"/>
      <c r="L162" s="50">
        <f t="shared" si="13"/>
        <v>182</v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7">
        <v>1.000129E8</v>
      </c>
      <c r="C163" s="98" t="s">
        <v>210</v>
      </c>
      <c r="D163" s="113" t="s">
        <v>211</v>
      </c>
      <c r="E163" s="112">
        <v>5434.73</v>
      </c>
      <c r="F163" s="56">
        <v>5739.9</v>
      </c>
      <c r="G163" s="56">
        <v>5978.2</v>
      </c>
      <c r="H163" s="41">
        <f t="shared" si="16"/>
        <v>5717.61</v>
      </c>
      <c r="I163" s="49">
        <f t="shared" si="2"/>
        <v>0.09999944799</v>
      </c>
      <c r="J163" s="43">
        <f t="shared" si="18"/>
        <v>0.04557673573</v>
      </c>
      <c r="K163" s="58">
        <v>45863.0</v>
      </c>
      <c r="L163" s="50">
        <f t="shared" si="13"/>
        <v>46047</v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7">
        <v>1.00012899E8</v>
      </c>
      <c r="C164" s="98" t="s">
        <v>212</v>
      </c>
      <c r="D164" s="113" t="s">
        <v>213</v>
      </c>
      <c r="E164" s="132">
        <v>9599.0</v>
      </c>
      <c r="F164" s="57">
        <v>10399.0</v>
      </c>
      <c r="G164" s="57">
        <v>10658.7</v>
      </c>
      <c r="H164" s="41">
        <f t="shared" si="16"/>
        <v>10218.9</v>
      </c>
      <c r="I164" s="49">
        <f t="shared" si="2"/>
        <v>0.1103969163</v>
      </c>
      <c r="J164" s="43">
        <f t="shared" si="18"/>
        <v>0.04303790036</v>
      </c>
      <c r="K164" s="58">
        <v>45863.0</v>
      </c>
      <c r="L164" s="50">
        <f t="shared" si="13"/>
        <v>46047</v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7">
        <v>1.00012897E8</v>
      </c>
      <c r="C165" s="98" t="s">
        <v>214</v>
      </c>
      <c r="D165" s="113" t="s">
        <v>215</v>
      </c>
      <c r="E165" s="100">
        <v>159.19</v>
      </c>
      <c r="F165" s="54">
        <v>160.69</v>
      </c>
      <c r="G165" s="54">
        <v>179.94</v>
      </c>
      <c r="H165" s="41">
        <f t="shared" si="16"/>
        <v>166.6066667</v>
      </c>
      <c r="I165" s="49">
        <f t="shared" si="2"/>
        <v>0.1303473836</v>
      </c>
      <c r="J165" s="43">
        <f t="shared" si="18"/>
        <v>0.08002881037</v>
      </c>
      <c r="K165" s="136">
        <v>45863.0</v>
      </c>
      <c r="L165" s="50">
        <f t="shared" si="13"/>
        <v>46047</v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97">
        <v>1.00012893E8</v>
      </c>
      <c r="C166" s="98" t="s">
        <v>216</v>
      </c>
      <c r="D166" s="113" t="s">
        <v>217</v>
      </c>
      <c r="E166" s="100">
        <v>869.9</v>
      </c>
      <c r="F166" s="54">
        <v>899.0</v>
      </c>
      <c r="G166" s="54">
        <v>959.99</v>
      </c>
      <c r="H166" s="41">
        <f t="shared" si="16"/>
        <v>909.63</v>
      </c>
      <c r="I166" s="49">
        <f t="shared" si="2"/>
        <v>0.103563628</v>
      </c>
      <c r="J166" s="43">
        <f t="shared" si="18"/>
        <v>0.05536316964</v>
      </c>
      <c r="K166" s="58">
        <v>45861.0</v>
      </c>
      <c r="L166" s="50">
        <f t="shared" si="13"/>
        <v>46045</v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7">
        <v>1.00012844E8</v>
      </c>
      <c r="C167" s="98" t="s">
        <v>218</v>
      </c>
      <c r="D167" s="83"/>
      <c r="E167" s="100">
        <v>6630.12</v>
      </c>
      <c r="F167" s="63">
        <v>7098.57</v>
      </c>
      <c r="G167" s="63">
        <v>8580.5</v>
      </c>
      <c r="H167" s="41">
        <f t="shared" si="16"/>
        <v>7436.396667</v>
      </c>
      <c r="I167" s="49">
        <f t="shared" si="2"/>
        <v>0.294169638</v>
      </c>
      <c r="J167" s="43">
        <f t="shared" si="18"/>
        <v>0.1538518431</v>
      </c>
      <c r="K167" s="58">
        <v>45856.0</v>
      </c>
      <c r="L167" s="50">
        <f t="shared" si="13"/>
        <v>46040</v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7">
        <v>1.00012832E8</v>
      </c>
      <c r="C168" s="98" t="s">
        <v>219</v>
      </c>
      <c r="D168" s="113"/>
      <c r="E168" s="101">
        <v>2167.85</v>
      </c>
      <c r="F168" s="54">
        <v>2349.9</v>
      </c>
      <c r="G168" s="54">
        <v>2449.84</v>
      </c>
      <c r="H168" s="41">
        <f t="shared" si="16"/>
        <v>2322.53</v>
      </c>
      <c r="I168" s="49">
        <f t="shared" si="2"/>
        <v>0.1300781881</v>
      </c>
      <c r="J168" s="43">
        <f t="shared" si="18"/>
        <v>0.05481522305</v>
      </c>
      <c r="K168" s="58">
        <v>45971.0</v>
      </c>
      <c r="L168" s="50">
        <f t="shared" si="13"/>
        <v>46152</v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7">
        <v>1.00012771E8</v>
      </c>
      <c r="C169" s="98" t="s">
        <v>220</v>
      </c>
      <c r="D169" s="83"/>
      <c r="E169" s="101">
        <v>2949.0</v>
      </c>
      <c r="F169" s="54">
        <v>2959.99</v>
      </c>
      <c r="G169" s="54">
        <v>3059.1</v>
      </c>
      <c r="H169" s="41">
        <f t="shared" si="16"/>
        <v>2989.363333</v>
      </c>
      <c r="I169" s="49">
        <f t="shared" si="2"/>
        <v>0.03733468973</v>
      </c>
      <c r="J169" s="43">
        <f t="shared" si="18"/>
        <v>0.02332826722</v>
      </c>
      <c r="K169" s="58">
        <v>45863.0</v>
      </c>
      <c r="L169" s="50">
        <f t="shared" si="13"/>
        <v>46047</v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7">
        <v>1.00012767E8</v>
      </c>
      <c r="C170" s="98" t="s">
        <v>221</v>
      </c>
      <c r="D170" s="83"/>
      <c r="E170" s="101">
        <v>4990.0</v>
      </c>
      <c r="F170" s="54">
        <v>5799.0</v>
      </c>
      <c r="G170" s="54">
        <v>6298.95</v>
      </c>
      <c r="H170" s="41">
        <f t="shared" si="16"/>
        <v>5695.983333</v>
      </c>
      <c r="I170" s="49">
        <f t="shared" si="2"/>
        <v>0.2623146293</v>
      </c>
      <c r="J170" s="43">
        <f t="shared" si="18"/>
        <v>0.1058582217</v>
      </c>
      <c r="K170" s="58">
        <v>45861.0</v>
      </c>
      <c r="L170" s="50">
        <f t="shared" si="13"/>
        <v>46045</v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7">
        <v>1.00012489E8</v>
      </c>
      <c r="C171" s="98" t="s">
        <v>222</v>
      </c>
      <c r="D171" s="113" t="s">
        <v>223</v>
      </c>
      <c r="E171" s="101">
        <v>386.32</v>
      </c>
      <c r="F171" s="54">
        <v>465.31</v>
      </c>
      <c r="G171" s="54">
        <v>487.9</v>
      </c>
      <c r="H171" s="41">
        <f t="shared" si="16"/>
        <v>446.51</v>
      </c>
      <c r="I171" s="49">
        <f t="shared" si="2"/>
        <v>0.2629426382</v>
      </c>
      <c r="J171" s="43">
        <f t="shared" si="18"/>
        <v>0.09269669212</v>
      </c>
      <c r="K171" s="58">
        <v>45861.0</v>
      </c>
      <c r="L171" s="50">
        <f t="shared" si="13"/>
        <v>46045</v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7">
        <v>1.00012249E8</v>
      </c>
      <c r="C172" s="98" t="s">
        <v>224</v>
      </c>
      <c r="D172" s="83"/>
      <c r="E172" s="101">
        <v>1247.9</v>
      </c>
      <c r="F172" s="101">
        <v>1338.99</v>
      </c>
      <c r="G172" s="54">
        <v>1369.0</v>
      </c>
      <c r="H172" s="41">
        <f t="shared" si="16"/>
        <v>1318.63</v>
      </c>
      <c r="I172" s="49">
        <f t="shared" si="2"/>
        <v>0.09704303229</v>
      </c>
      <c r="J172" s="43">
        <f t="shared" si="18"/>
        <v>0.03819873657</v>
      </c>
      <c r="K172" s="58">
        <v>45862.0</v>
      </c>
      <c r="L172" s="50">
        <f t="shared" si="13"/>
        <v>46046</v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7">
        <v>1.00011993E8</v>
      </c>
      <c r="C173" s="98" t="s">
        <v>225</v>
      </c>
      <c r="D173" s="83"/>
      <c r="E173" s="101">
        <v>12149.1</v>
      </c>
      <c r="F173" s="54">
        <v>12998.7</v>
      </c>
      <c r="G173" s="54">
        <v>13499.0</v>
      </c>
      <c r="H173" s="41">
        <f t="shared" si="16"/>
        <v>12882.26667</v>
      </c>
      <c r="I173" s="49">
        <f t="shared" si="2"/>
        <v>0.1111111111</v>
      </c>
      <c r="J173" s="43">
        <f t="shared" si="18"/>
        <v>0.04787459764</v>
      </c>
      <c r="K173" s="58">
        <v>45863.0</v>
      </c>
      <c r="L173" s="50">
        <f t="shared" si="13"/>
        <v>46047</v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7">
        <v>1.00011723E8</v>
      </c>
      <c r="C174" s="98" t="s">
        <v>226</v>
      </c>
      <c r="D174" s="83"/>
      <c r="E174" s="132">
        <v>1710.96</v>
      </c>
      <c r="F174" s="57">
        <v>1829.0</v>
      </c>
      <c r="G174" s="57">
        <v>2047.92</v>
      </c>
      <c r="H174" s="41">
        <f t="shared" si="16"/>
        <v>1862.626667</v>
      </c>
      <c r="I174" s="49">
        <f t="shared" si="2"/>
        <v>0.1969420676</v>
      </c>
      <c r="J174" s="43">
        <f t="shared" si="18"/>
        <v>0.09947958797</v>
      </c>
      <c r="K174" s="58">
        <v>45863.0</v>
      </c>
      <c r="L174" s="50">
        <f t="shared" si="13"/>
        <v>46047</v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7">
        <v>1.00011698E8</v>
      </c>
      <c r="C175" s="98" t="s">
        <v>227</v>
      </c>
      <c r="D175" s="83"/>
      <c r="E175" s="132">
        <v>399.9</v>
      </c>
      <c r="F175" s="57">
        <v>454.3</v>
      </c>
      <c r="G175" s="57">
        <v>459.9</v>
      </c>
      <c r="H175" s="41">
        <f t="shared" si="16"/>
        <v>438.0333333</v>
      </c>
      <c r="I175" s="49">
        <f t="shared" si="2"/>
        <v>0.1500375094</v>
      </c>
      <c r="J175" s="43">
        <f t="shared" si="18"/>
        <v>0.04992009741</v>
      </c>
      <c r="K175" s="58">
        <v>45863.0</v>
      </c>
      <c r="L175" s="50">
        <f t="shared" si="13"/>
        <v>46047</v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7">
        <v>1.00010332E8</v>
      </c>
      <c r="C176" s="98" t="s">
        <v>228</v>
      </c>
      <c r="D176" s="113" t="s">
        <v>229</v>
      </c>
      <c r="E176" s="112">
        <v>803.7</v>
      </c>
      <c r="F176" s="57">
        <v>841.9</v>
      </c>
      <c r="G176" s="57">
        <v>1035.27</v>
      </c>
      <c r="H176" s="41">
        <f t="shared" si="16"/>
        <v>893.6233333</v>
      </c>
      <c r="I176" s="49">
        <f t="shared" si="2"/>
        <v>0.2881298992</v>
      </c>
      <c r="J176" s="43">
        <f t="shared" si="18"/>
        <v>0.1585082455</v>
      </c>
      <c r="K176" s="58">
        <v>45855.0</v>
      </c>
      <c r="L176" s="50">
        <f t="shared" si="13"/>
        <v>46039</v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7">
        <v>1.00010332E8</v>
      </c>
      <c r="C177" s="98" t="s">
        <v>228</v>
      </c>
      <c r="D177" s="113" t="s">
        <v>230</v>
      </c>
      <c r="E177" s="112">
        <v>412.62</v>
      </c>
      <c r="F177" s="57">
        <v>466.69</v>
      </c>
      <c r="G177" s="57">
        <v>458.47</v>
      </c>
      <c r="H177" s="41">
        <f t="shared" si="16"/>
        <v>445.9266667</v>
      </c>
      <c r="I177" s="49">
        <f t="shared" si="2"/>
        <v>0.131040667</v>
      </c>
      <c r="J177" s="43">
        <f t="shared" si="18"/>
        <v>0.04656221501</v>
      </c>
      <c r="K177" s="58">
        <v>45855.0</v>
      </c>
      <c r="L177" s="50">
        <f t="shared" si="13"/>
        <v>46039</v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7">
        <v>1.00010332E8</v>
      </c>
      <c r="C178" s="98" t="s">
        <v>228</v>
      </c>
      <c r="D178" s="113" t="s">
        <v>231</v>
      </c>
      <c r="E178" s="100">
        <v>912.98</v>
      </c>
      <c r="F178" s="54">
        <v>939.98</v>
      </c>
      <c r="G178" s="54">
        <v>1018.0</v>
      </c>
      <c r="H178" s="41">
        <f t="shared" si="16"/>
        <v>956.9866667</v>
      </c>
      <c r="I178" s="49">
        <f t="shared" si="2"/>
        <v>0.1150299021</v>
      </c>
      <c r="J178" s="43">
        <f t="shared" si="18"/>
        <v>0.06375567754</v>
      </c>
      <c r="K178" s="58">
        <v>45855.0</v>
      </c>
      <c r="L178" s="50">
        <f t="shared" si="13"/>
        <v>46039</v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7">
        <v>1.00010332E8</v>
      </c>
      <c r="C179" s="98" t="s">
        <v>228</v>
      </c>
      <c r="D179" s="113" t="s">
        <v>232</v>
      </c>
      <c r="E179" s="101">
        <v>302.72</v>
      </c>
      <c r="F179" s="54">
        <v>319.92</v>
      </c>
      <c r="G179" s="54">
        <v>344.0</v>
      </c>
      <c r="H179" s="41">
        <f t="shared" si="16"/>
        <v>322.2133333</v>
      </c>
      <c r="I179" s="49">
        <f t="shared" si="2"/>
        <v>0.1363636364</v>
      </c>
      <c r="J179" s="43">
        <f t="shared" si="18"/>
        <v>0.06761565836</v>
      </c>
      <c r="K179" s="58">
        <v>45855.0</v>
      </c>
      <c r="L179" s="50">
        <f t="shared" si="13"/>
        <v>46039</v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7">
        <v>1.00010037E8</v>
      </c>
      <c r="C180" s="98" t="s">
        <v>233</v>
      </c>
      <c r="D180" s="113"/>
      <c r="E180" s="132">
        <v>295.99</v>
      </c>
      <c r="F180" s="57">
        <v>384.24</v>
      </c>
      <c r="G180" s="57">
        <v>309.0</v>
      </c>
      <c r="H180" s="130">
        <v>309.0</v>
      </c>
      <c r="I180" s="49">
        <f t="shared" si="2"/>
        <v>0.2981519646</v>
      </c>
      <c r="J180" s="43">
        <f t="shared" si="18"/>
        <v>0.2434951456</v>
      </c>
      <c r="K180" s="58">
        <v>45979.0</v>
      </c>
      <c r="L180" s="50">
        <f t="shared" si="13"/>
        <v>46160</v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7">
        <v>1.00002341E8</v>
      </c>
      <c r="C181" s="98" t="s">
        <v>234</v>
      </c>
      <c r="D181" s="83"/>
      <c r="E181" s="132">
        <v>1604.55</v>
      </c>
      <c r="F181" s="57">
        <v>1889.82</v>
      </c>
      <c r="G181" s="57">
        <v>1979.1</v>
      </c>
      <c r="H181" s="41">
        <f t="shared" ref="H181:H721" si="19">SUM(E181:G181)/3</f>
        <v>1824.49</v>
      </c>
      <c r="I181" s="49">
        <f t="shared" si="2"/>
        <v>0.2334299336</v>
      </c>
      <c r="J181" s="43">
        <f t="shared" si="18"/>
        <v>0.0847414894</v>
      </c>
      <c r="K181" s="58">
        <v>45861.0</v>
      </c>
      <c r="L181" s="50">
        <f t="shared" si="13"/>
        <v>46045</v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7">
        <v>1.00013096E8</v>
      </c>
      <c r="C182" s="98" t="s">
        <v>235</v>
      </c>
      <c r="D182" s="83"/>
      <c r="E182" s="101">
        <v>499.0</v>
      </c>
      <c r="F182" s="54">
        <v>549.0</v>
      </c>
      <c r="G182" s="54">
        <v>619.0</v>
      </c>
      <c r="H182" s="41">
        <f t="shared" si="19"/>
        <v>555.6666667</v>
      </c>
      <c r="I182" s="49">
        <f t="shared" si="2"/>
        <v>0.2404809619</v>
      </c>
      <c r="J182" s="43">
        <f t="shared" si="18"/>
        <v>0.1139772046</v>
      </c>
      <c r="K182" s="78"/>
      <c r="L182" s="50">
        <f t="shared" si="13"/>
        <v>182</v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7">
        <v>1.00010679E8</v>
      </c>
      <c r="C183" s="98" t="s">
        <v>236</v>
      </c>
      <c r="D183" s="113" t="s">
        <v>237</v>
      </c>
      <c r="E183" s="101">
        <v>172.0</v>
      </c>
      <c r="F183" s="54">
        <v>178.42</v>
      </c>
      <c r="G183" s="54">
        <v>135.99</v>
      </c>
      <c r="H183" s="41">
        <f t="shared" si="19"/>
        <v>162.1366667</v>
      </c>
      <c r="I183" s="49">
        <f t="shared" si="2"/>
        <v>0.3120082359</v>
      </c>
      <c r="J183" s="43">
        <f t="shared" si="18"/>
        <v>0.1004296787</v>
      </c>
      <c r="K183" s="58">
        <v>45883.0</v>
      </c>
      <c r="L183" s="50">
        <f t="shared" si="13"/>
        <v>46067</v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7">
        <v>1.00010448E8</v>
      </c>
      <c r="C184" s="98" t="s">
        <v>238</v>
      </c>
      <c r="D184" s="113" t="s">
        <v>239</v>
      </c>
      <c r="E184" s="100">
        <v>2470.95</v>
      </c>
      <c r="F184" s="63">
        <v>2470.95</v>
      </c>
      <c r="G184" s="63">
        <v>2689.0</v>
      </c>
      <c r="H184" s="41">
        <f t="shared" si="19"/>
        <v>2543.633333</v>
      </c>
      <c r="I184" s="49">
        <f t="shared" si="2"/>
        <v>0.08824541168</v>
      </c>
      <c r="J184" s="43">
        <f t="shared" si="18"/>
        <v>0.05714922224</v>
      </c>
      <c r="K184" s="58">
        <v>45902.0</v>
      </c>
      <c r="L184" s="50">
        <f t="shared" si="13"/>
        <v>46083</v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7">
        <v>1.00012654E8</v>
      </c>
      <c r="C185" s="98" t="s">
        <v>238</v>
      </c>
      <c r="D185" s="113" t="s">
        <v>240</v>
      </c>
      <c r="E185" s="101">
        <v>3743.19</v>
      </c>
      <c r="F185" s="54">
        <v>4812.66</v>
      </c>
      <c r="G185" s="54">
        <v>3819.2</v>
      </c>
      <c r="H185" s="41">
        <f t="shared" si="19"/>
        <v>4125.016667</v>
      </c>
      <c r="I185" s="49">
        <f t="shared" si="2"/>
        <v>0.2857108509</v>
      </c>
      <c r="J185" s="43">
        <f t="shared" si="18"/>
        <v>0.1667007406</v>
      </c>
      <c r="K185" s="58">
        <v>45902.0</v>
      </c>
      <c r="L185" s="50">
        <f t="shared" si="13"/>
        <v>46083</v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7">
        <v>1.0001014E8</v>
      </c>
      <c r="C186" s="98" t="s">
        <v>241</v>
      </c>
      <c r="D186" s="113" t="s">
        <v>242</v>
      </c>
      <c r="E186" s="112">
        <v>1109.99</v>
      </c>
      <c r="F186" s="112">
        <v>1109.99</v>
      </c>
      <c r="G186" s="57">
        <v>705.0</v>
      </c>
      <c r="H186" s="41">
        <f t="shared" si="19"/>
        <v>974.9933333</v>
      </c>
      <c r="I186" s="49">
        <f t="shared" si="2"/>
        <v>0.5744539007</v>
      </c>
      <c r="J186" s="43">
        <f t="shared" si="18"/>
        <v>0.1384590664</v>
      </c>
      <c r="K186" s="58">
        <v>45882.0</v>
      </c>
      <c r="L186" s="50">
        <f t="shared" si="13"/>
        <v>46066</v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7">
        <v>1.0001014E8</v>
      </c>
      <c r="C187" s="98" t="s">
        <v>241</v>
      </c>
      <c r="D187" s="113" t="s">
        <v>243</v>
      </c>
      <c r="E187" s="100">
        <v>1146.85</v>
      </c>
      <c r="F187" s="54">
        <v>774.05</v>
      </c>
      <c r="G187" s="54">
        <v>1146.85</v>
      </c>
      <c r="H187" s="41">
        <f t="shared" si="19"/>
        <v>1022.583333</v>
      </c>
      <c r="I187" s="49">
        <f t="shared" si="2"/>
        <v>0.4816226342</v>
      </c>
      <c r="J187" s="43">
        <f t="shared" si="18"/>
        <v>0.1215222883</v>
      </c>
      <c r="K187" s="58">
        <v>45882.0</v>
      </c>
      <c r="L187" s="50">
        <f t="shared" si="13"/>
        <v>46066</v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7">
        <v>1.0001014E8</v>
      </c>
      <c r="C188" s="98" t="s">
        <v>241</v>
      </c>
      <c r="D188" s="113" t="s">
        <v>244</v>
      </c>
      <c r="E188" s="101">
        <v>1804.99</v>
      </c>
      <c r="F188" s="54">
        <v>1804.99</v>
      </c>
      <c r="G188" s="54">
        <v>1804.99</v>
      </c>
      <c r="H188" s="41">
        <f t="shared" si="19"/>
        <v>1804.99</v>
      </c>
      <c r="I188" s="49">
        <f t="shared" si="2"/>
        <v>0</v>
      </c>
      <c r="J188" s="43">
        <f t="shared" si="18"/>
        <v>0</v>
      </c>
      <c r="K188" s="58">
        <v>45882.0</v>
      </c>
      <c r="L188" s="50">
        <f t="shared" si="13"/>
        <v>46066</v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7">
        <v>1.0001014E8</v>
      </c>
      <c r="C189" s="98" t="s">
        <v>241</v>
      </c>
      <c r="D189" s="113" t="s">
        <v>245</v>
      </c>
      <c r="E189" s="132">
        <v>980.0</v>
      </c>
      <c r="F189" s="57">
        <v>1052.37</v>
      </c>
      <c r="G189" s="57">
        <v>1124.98</v>
      </c>
      <c r="H189" s="41">
        <f t="shared" si="19"/>
        <v>1052.45</v>
      </c>
      <c r="I189" s="49">
        <f t="shared" si="2"/>
        <v>0.1479387755</v>
      </c>
      <c r="J189" s="43">
        <f t="shared" si="18"/>
        <v>0.0689153879</v>
      </c>
      <c r="K189" s="58">
        <v>45882.0</v>
      </c>
      <c r="L189" s="50">
        <f t="shared" si="13"/>
        <v>46066</v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8.0" customHeight="1">
      <c r="A190" s="9"/>
      <c r="B190" s="137">
        <v>1.00010197E8</v>
      </c>
      <c r="C190" s="98" t="s">
        <v>246</v>
      </c>
      <c r="D190" s="113" t="s">
        <v>247</v>
      </c>
      <c r="E190" s="101">
        <v>719.0</v>
      </c>
      <c r="F190" s="54">
        <v>679.0</v>
      </c>
      <c r="G190" s="54">
        <v>649.0</v>
      </c>
      <c r="H190" s="41">
        <f t="shared" si="19"/>
        <v>682.3333333</v>
      </c>
      <c r="I190" s="49">
        <f t="shared" si="2"/>
        <v>0.1078582435</v>
      </c>
      <c r="J190" s="43">
        <f t="shared" si="18"/>
        <v>0.05373717636</v>
      </c>
      <c r="K190" s="58">
        <v>45908.0</v>
      </c>
      <c r="L190" s="50">
        <f t="shared" si="13"/>
        <v>46089</v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8.0" customHeight="1">
      <c r="A191" s="9"/>
      <c r="B191" s="137">
        <v>1.00010291E8</v>
      </c>
      <c r="C191" s="98" t="s">
        <v>248</v>
      </c>
      <c r="D191" s="113" t="s">
        <v>249</v>
      </c>
      <c r="E191" s="101">
        <v>1019.0</v>
      </c>
      <c r="F191" s="138">
        <v>1129.9</v>
      </c>
      <c r="G191" s="54">
        <v>1119.9</v>
      </c>
      <c r="H191" s="41">
        <f t="shared" si="19"/>
        <v>1089.6</v>
      </c>
      <c r="I191" s="49">
        <f t="shared" si="2"/>
        <v>0.1088321884</v>
      </c>
      <c r="J191" s="43">
        <f t="shared" si="18"/>
        <v>0.03698604993</v>
      </c>
      <c r="K191" s="58">
        <v>45908.0</v>
      </c>
      <c r="L191" s="50">
        <f t="shared" si="13"/>
        <v>46089</v>
      </c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137">
        <v>1.00012845E8</v>
      </c>
      <c r="C192" s="98" t="s">
        <v>250</v>
      </c>
      <c r="D192" s="113" t="s">
        <v>251</v>
      </c>
      <c r="E192" s="101">
        <v>32729.55</v>
      </c>
      <c r="F192" s="54">
        <v>33318.9</v>
      </c>
      <c r="G192" s="54">
        <v>33945.9</v>
      </c>
      <c r="H192" s="41">
        <f t="shared" si="19"/>
        <v>33331.45</v>
      </c>
      <c r="I192" s="49">
        <f t="shared" si="2"/>
        <v>0.03716366403</v>
      </c>
      <c r="J192" s="43"/>
      <c r="K192" s="58">
        <v>45908.0</v>
      </c>
      <c r="L192" s="45">
        <f t="shared" si="13"/>
        <v>46089</v>
      </c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137">
        <v>1.00002334E8</v>
      </c>
      <c r="C193" s="98" t="s">
        <v>87</v>
      </c>
      <c r="D193" s="113" t="s">
        <v>252</v>
      </c>
      <c r="E193" s="54">
        <v>30200.0</v>
      </c>
      <c r="F193" s="54">
        <v>26197.0</v>
      </c>
      <c r="G193" s="54">
        <v>24997.0</v>
      </c>
      <c r="H193" s="41">
        <f t="shared" si="19"/>
        <v>27131.33333</v>
      </c>
      <c r="I193" s="49">
        <f t="shared" si="2"/>
        <v>0.2081449774</v>
      </c>
      <c r="J193" s="43"/>
      <c r="K193" s="58">
        <v>45909.0</v>
      </c>
      <c r="L193" s="45">
        <f t="shared" si="13"/>
        <v>46090</v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137">
        <v>1.00010138E8</v>
      </c>
      <c r="C194" s="139" t="s">
        <v>253</v>
      </c>
      <c r="D194" s="140" t="s">
        <v>254</v>
      </c>
      <c r="E194" s="141">
        <v>487.77</v>
      </c>
      <c r="F194" s="142">
        <v>437.0</v>
      </c>
      <c r="G194" s="143">
        <v>437.0</v>
      </c>
      <c r="H194" s="144">
        <f t="shared" si="19"/>
        <v>453.9233333</v>
      </c>
      <c r="I194" s="145">
        <f t="shared" si="2"/>
        <v>0.1161784897</v>
      </c>
      <c r="J194" s="146"/>
      <c r="K194" s="147">
        <v>45911.0</v>
      </c>
      <c r="L194" s="148">
        <f t="shared" si="13"/>
        <v>46092</v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137">
        <v>1.00010138E8</v>
      </c>
      <c r="C195" s="139" t="s">
        <v>253</v>
      </c>
      <c r="D195" s="140" t="s">
        <v>255</v>
      </c>
      <c r="E195" s="141">
        <v>679.0</v>
      </c>
      <c r="F195" s="141">
        <v>602.14</v>
      </c>
      <c r="G195" s="143">
        <v>744.91</v>
      </c>
      <c r="H195" s="144">
        <f t="shared" si="19"/>
        <v>675.35</v>
      </c>
      <c r="I195" s="145">
        <f t="shared" si="2"/>
        <v>0.2371043279</v>
      </c>
      <c r="J195" s="146"/>
      <c r="K195" s="147">
        <v>45910.0</v>
      </c>
      <c r="L195" s="148">
        <f t="shared" si="13"/>
        <v>46091</v>
      </c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137">
        <v>1.00010138E8</v>
      </c>
      <c r="C196" s="139" t="s">
        <v>253</v>
      </c>
      <c r="D196" s="140" t="s">
        <v>256</v>
      </c>
      <c r="E196" s="141">
        <v>2156.32</v>
      </c>
      <c r="F196" s="143">
        <v>1665.99</v>
      </c>
      <c r="G196" s="143">
        <v>1804.99</v>
      </c>
      <c r="H196" s="144">
        <f t="shared" si="19"/>
        <v>1875.766667</v>
      </c>
      <c r="I196" s="145">
        <f t="shared" si="2"/>
        <v>0.2943174929</v>
      </c>
      <c r="J196" s="146"/>
      <c r="K196" s="147">
        <v>45883.0</v>
      </c>
      <c r="L196" s="148">
        <f t="shared" si="13"/>
        <v>46067</v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137">
        <v>1.00010138E8</v>
      </c>
      <c r="C197" s="139" t="s">
        <v>253</v>
      </c>
      <c r="D197" s="140" t="s">
        <v>257</v>
      </c>
      <c r="E197" s="141">
        <v>678.0</v>
      </c>
      <c r="F197" s="142">
        <v>740.19</v>
      </c>
      <c r="G197" s="142">
        <v>646.3</v>
      </c>
      <c r="H197" s="144">
        <f t="shared" si="19"/>
        <v>688.1633333</v>
      </c>
      <c r="I197" s="145">
        <f t="shared" si="2"/>
        <v>0.145273093</v>
      </c>
      <c r="J197" s="145">
        <f>IF(ISERROR(MAX(F197:H197)/MIN(F197:H197)-1),"",(MAX(F197:H197)/MIN(F197:H197)-1))</f>
        <v>0.145273093</v>
      </c>
      <c r="K197" s="147">
        <v>45883.0</v>
      </c>
      <c r="L197" s="148">
        <f t="shared" si="13"/>
        <v>46067</v>
      </c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7">
        <v>1.00010138E8</v>
      </c>
      <c r="C198" s="98" t="s">
        <v>253</v>
      </c>
      <c r="D198" s="113" t="s">
        <v>258</v>
      </c>
      <c r="E198" s="101">
        <v>661.3</v>
      </c>
      <c r="F198" s="54">
        <v>533.31</v>
      </c>
      <c r="G198" s="54">
        <v>533.31</v>
      </c>
      <c r="H198" s="41">
        <f t="shared" si="19"/>
        <v>575.9733333</v>
      </c>
      <c r="I198" s="49">
        <f t="shared" si="2"/>
        <v>0.2399917496</v>
      </c>
      <c r="J198" s="43">
        <f t="shared" ref="J198:J203" si="20">IF(ISERROR(MAX(E198:G198)/H198-1),"",(MAX(E198:G198)/H198-1))</f>
        <v>0.1481434326</v>
      </c>
      <c r="K198" s="58">
        <v>45883.0</v>
      </c>
      <c r="L198" s="50">
        <f t="shared" si="13"/>
        <v>46067</v>
      </c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137">
        <v>1.00010138E8</v>
      </c>
      <c r="C199" s="139" t="s">
        <v>253</v>
      </c>
      <c r="D199" s="140" t="s">
        <v>259</v>
      </c>
      <c r="E199" s="141">
        <v>1777.04</v>
      </c>
      <c r="F199" s="143">
        <v>1603.03</v>
      </c>
      <c r="G199" s="143">
        <v>1998.0</v>
      </c>
      <c r="H199" s="144">
        <f t="shared" si="19"/>
        <v>1792.69</v>
      </c>
      <c r="I199" s="145">
        <f t="shared" si="2"/>
        <v>0.2463896496</v>
      </c>
      <c r="J199" s="146">
        <f t="shared" si="20"/>
        <v>0.1145262148</v>
      </c>
      <c r="K199" s="147">
        <v>45883.0</v>
      </c>
      <c r="L199" s="149">
        <f t="shared" si="13"/>
        <v>46067</v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137">
        <v>1.00002335E8</v>
      </c>
      <c r="C200" s="98" t="s">
        <v>260</v>
      </c>
      <c r="D200" s="113" t="s">
        <v>261</v>
      </c>
      <c r="E200" s="132">
        <v>11976.67</v>
      </c>
      <c r="F200" s="57">
        <v>9789.0</v>
      </c>
      <c r="G200" s="57">
        <v>10499.4</v>
      </c>
      <c r="H200" s="41">
        <f t="shared" si="19"/>
        <v>10755.02333</v>
      </c>
      <c r="I200" s="49">
        <f t="shared" si="2"/>
        <v>0.2234824803</v>
      </c>
      <c r="J200" s="43">
        <f t="shared" si="20"/>
        <v>0.113588472</v>
      </c>
      <c r="K200" s="58">
        <v>45909.0</v>
      </c>
      <c r="L200" s="50">
        <f t="shared" si="13"/>
        <v>46090</v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>
      <c r="A201" s="9"/>
      <c r="B201" s="137">
        <v>1.00012476E8</v>
      </c>
      <c r="C201" s="98" t="s">
        <v>262</v>
      </c>
      <c r="D201" s="113" t="s">
        <v>263</v>
      </c>
      <c r="E201" s="101">
        <v>651.9</v>
      </c>
      <c r="F201" s="54">
        <v>799.0</v>
      </c>
      <c r="G201" s="54">
        <v>721.65</v>
      </c>
      <c r="H201" s="41">
        <f t="shared" si="19"/>
        <v>724.1833333</v>
      </c>
      <c r="I201" s="49">
        <f t="shared" si="2"/>
        <v>0.2256481055</v>
      </c>
      <c r="J201" s="43">
        <f t="shared" si="20"/>
        <v>0.1033117765</v>
      </c>
      <c r="K201" s="58">
        <v>45909.0</v>
      </c>
      <c r="L201" s="50">
        <f t="shared" si="13"/>
        <v>46090</v>
      </c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5.75" customHeight="1">
      <c r="A202" s="9"/>
      <c r="B202" s="150">
        <v>1.00002329E8</v>
      </c>
      <c r="C202" s="151" t="s">
        <v>264</v>
      </c>
      <c r="D202" s="152" t="s">
        <v>265</v>
      </c>
      <c r="E202" s="153"/>
      <c r="F202" s="154"/>
      <c r="G202" s="154"/>
      <c r="H202" s="155">
        <f t="shared" si="19"/>
        <v>0</v>
      </c>
      <c r="I202" s="156" t="str">
        <f t="shared" si="2"/>
        <v/>
      </c>
      <c r="J202" s="157" t="str">
        <f t="shared" si="20"/>
        <v/>
      </c>
      <c r="K202" s="158">
        <v>45909.0</v>
      </c>
      <c r="L202" s="159">
        <f t="shared" si="13"/>
        <v>46090</v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5.75" customHeight="1">
      <c r="A203" s="9"/>
      <c r="B203" s="150">
        <v>1.0000233E8</v>
      </c>
      <c r="C203" s="151" t="s">
        <v>266</v>
      </c>
      <c r="D203" s="152" t="s">
        <v>265</v>
      </c>
      <c r="E203" s="153"/>
      <c r="F203" s="154"/>
      <c r="G203" s="154"/>
      <c r="H203" s="155">
        <f t="shared" si="19"/>
        <v>0</v>
      </c>
      <c r="I203" s="156" t="str">
        <f t="shared" si="2"/>
        <v/>
      </c>
      <c r="J203" s="157" t="str">
        <f t="shared" si="20"/>
        <v/>
      </c>
      <c r="K203" s="158">
        <v>45909.0</v>
      </c>
      <c r="L203" s="159">
        <f t="shared" si="13"/>
        <v>46090</v>
      </c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5.75" customHeight="1">
      <c r="A204" s="9"/>
      <c r="B204" s="150">
        <v>1.00011317E8</v>
      </c>
      <c r="C204" s="151" t="s">
        <v>267</v>
      </c>
      <c r="D204" s="152" t="s">
        <v>265</v>
      </c>
      <c r="E204" s="153"/>
      <c r="F204" s="154"/>
      <c r="G204" s="154"/>
      <c r="H204" s="155">
        <f t="shared" si="19"/>
        <v>0</v>
      </c>
      <c r="I204" s="156" t="str">
        <f t="shared" si="2"/>
        <v/>
      </c>
      <c r="J204" s="157"/>
      <c r="K204" s="158">
        <v>45909.0</v>
      </c>
      <c r="L204" s="160">
        <f t="shared" si="13"/>
        <v>46090</v>
      </c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5.75" customHeight="1">
      <c r="A205" s="9"/>
      <c r="B205" s="150">
        <v>1.00011317E8</v>
      </c>
      <c r="C205" s="151" t="s">
        <v>268</v>
      </c>
      <c r="D205" s="152" t="s">
        <v>265</v>
      </c>
      <c r="E205" s="153"/>
      <c r="F205" s="154"/>
      <c r="G205" s="154"/>
      <c r="H205" s="155">
        <f t="shared" si="19"/>
        <v>0</v>
      </c>
      <c r="I205" s="156" t="str">
        <f t="shared" si="2"/>
        <v/>
      </c>
      <c r="J205" s="157" t="str">
        <f t="shared" ref="J205:J208" si="21">IF(ISERROR(MAX(E205:G205)/H205-1),"",(MAX(E205:G205)/H205-1))</f>
        <v/>
      </c>
      <c r="K205" s="158">
        <v>45909.0</v>
      </c>
      <c r="L205" s="159">
        <f t="shared" si="13"/>
        <v>46090</v>
      </c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5.75" customHeight="1">
      <c r="A206" s="9"/>
      <c r="B206" s="150">
        <v>1.00011317E8</v>
      </c>
      <c r="C206" s="151" t="s">
        <v>269</v>
      </c>
      <c r="D206" s="152" t="s">
        <v>265</v>
      </c>
      <c r="E206" s="161"/>
      <c r="F206" s="154"/>
      <c r="G206" s="154"/>
      <c r="H206" s="155">
        <f t="shared" si="19"/>
        <v>0</v>
      </c>
      <c r="I206" s="156" t="str">
        <f t="shared" si="2"/>
        <v/>
      </c>
      <c r="J206" s="157" t="str">
        <f t="shared" si="21"/>
        <v/>
      </c>
      <c r="K206" s="158">
        <v>45909.0</v>
      </c>
      <c r="L206" s="159">
        <f t="shared" si="13"/>
        <v>46090</v>
      </c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5.75" customHeight="1">
      <c r="A207" s="9"/>
      <c r="B207" s="97">
        <v>1.00010219E8</v>
      </c>
      <c r="C207" s="98" t="s">
        <v>270</v>
      </c>
      <c r="D207" s="113" t="s">
        <v>271</v>
      </c>
      <c r="E207" s="100">
        <v>478.77</v>
      </c>
      <c r="F207" s="63">
        <v>437.0</v>
      </c>
      <c r="G207" s="63">
        <v>437.0</v>
      </c>
      <c r="H207" s="41">
        <f t="shared" si="19"/>
        <v>450.9233333</v>
      </c>
      <c r="I207" s="49">
        <f t="shared" si="2"/>
        <v>0.09558352403</v>
      </c>
      <c r="J207" s="43">
        <f t="shared" si="21"/>
        <v>0.06175476984</v>
      </c>
      <c r="K207" s="58">
        <v>45911.0</v>
      </c>
      <c r="L207" s="50">
        <f t="shared" si="13"/>
        <v>46092</v>
      </c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5.75" customHeight="1">
      <c r="A208" s="9"/>
      <c r="B208" s="97">
        <v>1.00010219E8</v>
      </c>
      <c r="C208" s="98" t="s">
        <v>270</v>
      </c>
      <c r="D208" s="113" t="s">
        <v>272</v>
      </c>
      <c r="E208" s="100">
        <v>1189.0</v>
      </c>
      <c r="F208" s="54">
        <v>1438.9</v>
      </c>
      <c r="G208" s="54">
        <v>1349.0</v>
      </c>
      <c r="H208" s="41">
        <f t="shared" si="19"/>
        <v>1325.633333</v>
      </c>
      <c r="I208" s="49">
        <f t="shared" si="2"/>
        <v>0.210176619</v>
      </c>
      <c r="J208" s="43">
        <f t="shared" si="21"/>
        <v>0.08544343584</v>
      </c>
      <c r="K208" s="58">
        <v>45911.0</v>
      </c>
      <c r="L208" s="50">
        <f t="shared" si="13"/>
        <v>46092</v>
      </c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5.75" customHeight="1">
      <c r="A209" s="9"/>
      <c r="B209" s="97">
        <v>1.00010219E8</v>
      </c>
      <c r="C209" s="98" t="s">
        <v>270</v>
      </c>
      <c r="D209" s="113" t="s">
        <v>273</v>
      </c>
      <c r="E209" s="112">
        <v>1318.9</v>
      </c>
      <c r="F209" s="57">
        <v>1199.0</v>
      </c>
      <c r="G209" s="57">
        <v>1248.0</v>
      </c>
      <c r="H209" s="41">
        <f t="shared" si="19"/>
        <v>1255.3</v>
      </c>
      <c r="I209" s="49">
        <f t="shared" si="2"/>
        <v>0.1</v>
      </c>
      <c r="J209" s="43"/>
      <c r="K209" s="58">
        <v>45911.0</v>
      </c>
      <c r="L209" s="45">
        <f t="shared" si="13"/>
        <v>46092</v>
      </c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5.75" customHeight="1">
      <c r="A210" s="9"/>
      <c r="B210" s="137">
        <v>1.00012664E8</v>
      </c>
      <c r="C210" s="98" t="s">
        <v>274</v>
      </c>
      <c r="D210" s="113" t="s">
        <v>275</v>
      </c>
      <c r="E210" s="100">
        <v>1399.0</v>
      </c>
      <c r="F210" s="54">
        <v>1099.99</v>
      </c>
      <c r="G210" s="54">
        <v>1200.0</v>
      </c>
      <c r="H210" s="41">
        <f t="shared" si="19"/>
        <v>1232.996667</v>
      </c>
      <c r="I210" s="49">
        <f t="shared" si="2"/>
        <v>0.2718297439</v>
      </c>
      <c r="J210" s="43">
        <f t="shared" ref="J210:J223" si="22">IF(ISERROR(MAX(E210:G210)/H210-1),"",(MAX(E210:G210)/H210-1))</f>
        <v>0.1346340488</v>
      </c>
      <c r="K210" s="78"/>
      <c r="L210" s="50">
        <f t="shared" si="13"/>
        <v>182</v>
      </c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5.75" customHeight="1">
      <c r="A211" s="9"/>
      <c r="B211" s="150">
        <v>1.00012664E8</v>
      </c>
      <c r="C211" s="151" t="s">
        <v>276</v>
      </c>
      <c r="D211" s="152" t="s">
        <v>277</v>
      </c>
      <c r="E211" s="162"/>
      <c r="F211" s="163"/>
      <c r="G211" s="164"/>
      <c r="H211" s="155">
        <f t="shared" si="19"/>
        <v>0</v>
      </c>
      <c r="I211" s="156" t="str">
        <f t="shared" si="2"/>
        <v/>
      </c>
      <c r="J211" s="157" t="str">
        <f t="shared" si="22"/>
        <v/>
      </c>
      <c r="K211" s="165"/>
      <c r="L211" s="159">
        <f t="shared" si="13"/>
        <v>182</v>
      </c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5.75" customHeight="1">
      <c r="A212" s="9"/>
      <c r="B212" s="137">
        <v>1.00012664E8</v>
      </c>
      <c r="C212" s="98" t="s">
        <v>278</v>
      </c>
      <c r="D212" s="113" t="s">
        <v>279</v>
      </c>
      <c r="E212" s="112">
        <v>799.99</v>
      </c>
      <c r="F212" s="57">
        <v>899.99</v>
      </c>
      <c r="G212" s="57">
        <v>699.99</v>
      </c>
      <c r="H212" s="41">
        <f t="shared" si="19"/>
        <v>799.99</v>
      </c>
      <c r="I212" s="49">
        <f t="shared" si="2"/>
        <v>0.2857183674</v>
      </c>
      <c r="J212" s="43">
        <f t="shared" si="22"/>
        <v>0.1250015625</v>
      </c>
      <c r="K212" s="78"/>
      <c r="L212" s="50">
        <f t="shared" si="13"/>
        <v>182</v>
      </c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5.75" customHeight="1">
      <c r="A213" s="9"/>
      <c r="B213" s="137">
        <v>1.0001307E8</v>
      </c>
      <c r="C213" s="98" t="s">
        <v>280</v>
      </c>
      <c r="D213" s="113" t="s">
        <v>281</v>
      </c>
      <c r="E213" s="100">
        <v>14990.0</v>
      </c>
      <c r="F213" s="54">
        <v>18190.46</v>
      </c>
      <c r="G213" s="54">
        <v>16275.71</v>
      </c>
      <c r="H213" s="41">
        <f t="shared" si="19"/>
        <v>16485.39</v>
      </c>
      <c r="I213" s="49">
        <f t="shared" si="2"/>
        <v>0.2135063376</v>
      </c>
      <c r="J213" s="43">
        <f t="shared" si="22"/>
        <v>0.1034291576</v>
      </c>
      <c r="K213" s="78"/>
      <c r="L213" s="50">
        <f t="shared" si="13"/>
        <v>182</v>
      </c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5.75" customHeight="1">
      <c r="A214" s="9"/>
      <c r="B214" s="137">
        <v>1.00012664E8</v>
      </c>
      <c r="C214" s="98" t="s">
        <v>282</v>
      </c>
      <c r="D214" s="113" t="s">
        <v>283</v>
      </c>
      <c r="E214" s="112">
        <v>11797.0</v>
      </c>
      <c r="F214" s="57">
        <v>9398.0</v>
      </c>
      <c r="G214" s="56">
        <v>11197.0</v>
      </c>
      <c r="H214" s="41">
        <f t="shared" si="19"/>
        <v>10797.33333</v>
      </c>
      <c r="I214" s="49">
        <f t="shared" si="2"/>
        <v>0.2552670781</v>
      </c>
      <c r="J214" s="43">
        <f t="shared" si="22"/>
        <v>0.09258458879</v>
      </c>
      <c r="K214" s="78"/>
      <c r="L214" s="50">
        <f t="shared" si="13"/>
        <v>182</v>
      </c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5.75" customHeight="1">
      <c r="A215" s="9"/>
      <c r="B215" s="137">
        <v>1.00012664E8</v>
      </c>
      <c r="C215" s="98" t="s">
        <v>284</v>
      </c>
      <c r="D215" s="113" t="s">
        <v>285</v>
      </c>
      <c r="E215" s="112">
        <v>2490.0</v>
      </c>
      <c r="F215" s="57">
        <v>2299.0</v>
      </c>
      <c r="G215" s="57">
        <v>2399.05</v>
      </c>
      <c r="H215" s="41">
        <f t="shared" si="19"/>
        <v>2396.016667</v>
      </c>
      <c r="I215" s="49">
        <f t="shared" si="2"/>
        <v>0.08307959983</v>
      </c>
      <c r="J215" s="43">
        <f t="shared" si="22"/>
        <v>0.03922482454</v>
      </c>
      <c r="K215" s="78"/>
      <c r="L215" s="50">
        <f t="shared" si="13"/>
        <v>182</v>
      </c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5.75" customHeight="1">
      <c r="A216" s="9"/>
      <c r="B216" s="137">
        <v>1.00012664E8</v>
      </c>
      <c r="C216" s="98" t="s">
        <v>286</v>
      </c>
      <c r="D216" s="113" t="s">
        <v>287</v>
      </c>
      <c r="E216" s="112">
        <v>4999.0</v>
      </c>
      <c r="F216" s="57">
        <v>4400.0</v>
      </c>
      <c r="G216" s="57">
        <v>4800.0</v>
      </c>
      <c r="H216" s="41">
        <f t="shared" si="19"/>
        <v>4733</v>
      </c>
      <c r="I216" s="49">
        <f t="shared" si="2"/>
        <v>0.1361363636</v>
      </c>
      <c r="J216" s="43">
        <f t="shared" si="22"/>
        <v>0.05620114093</v>
      </c>
      <c r="K216" s="78"/>
      <c r="L216" s="50">
        <f t="shared" si="13"/>
        <v>182</v>
      </c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5.75" customHeight="1">
      <c r="A217" s="9"/>
      <c r="B217" s="137">
        <v>1.00012664E8</v>
      </c>
      <c r="C217" s="98" t="s">
        <v>288</v>
      </c>
      <c r="D217" s="113" t="s">
        <v>289</v>
      </c>
      <c r="E217" s="112">
        <v>1313.1</v>
      </c>
      <c r="F217" s="57">
        <v>1197.04</v>
      </c>
      <c r="G217" s="57">
        <v>1121.0</v>
      </c>
      <c r="H217" s="41">
        <f t="shared" si="19"/>
        <v>1210.38</v>
      </c>
      <c r="I217" s="49">
        <f t="shared" si="2"/>
        <v>0.1713648528</v>
      </c>
      <c r="J217" s="43">
        <f t="shared" si="22"/>
        <v>0.08486590988</v>
      </c>
      <c r="K217" s="78"/>
      <c r="L217" s="50">
        <f t="shared" si="13"/>
        <v>182</v>
      </c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5.75" customHeight="1">
      <c r="A218" s="9"/>
      <c r="B218" s="137">
        <v>1.00012664E8</v>
      </c>
      <c r="C218" s="98" t="s">
        <v>290</v>
      </c>
      <c r="D218" s="113" t="s">
        <v>291</v>
      </c>
      <c r="E218" s="112">
        <v>4899.0</v>
      </c>
      <c r="F218" s="57">
        <v>4699.0</v>
      </c>
      <c r="G218" s="56">
        <v>4734.0</v>
      </c>
      <c r="H218" s="41">
        <f t="shared" si="19"/>
        <v>4777.333333</v>
      </c>
      <c r="I218" s="49">
        <f t="shared" si="2"/>
        <v>0.04256224729</v>
      </c>
      <c r="J218" s="43">
        <f t="shared" si="22"/>
        <v>0.02546748535</v>
      </c>
      <c r="K218" s="78"/>
      <c r="L218" s="50">
        <f t="shared" si="13"/>
        <v>182</v>
      </c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5.75" customHeight="1">
      <c r="A219" s="9"/>
      <c r="B219" s="150">
        <v>1.00012664E8</v>
      </c>
      <c r="C219" s="151" t="s">
        <v>292</v>
      </c>
      <c r="D219" s="152" t="s">
        <v>293</v>
      </c>
      <c r="E219" s="162"/>
      <c r="F219" s="166"/>
      <c r="G219" s="167"/>
      <c r="H219" s="155">
        <f t="shared" si="19"/>
        <v>0</v>
      </c>
      <c r="I219" s="156" t="str">
        <f t="shared" si="2"/>
        <v/>
      </c>
      <c r="J219" s="157" t="str">
        <f t="shared" si="22"/>
        <v/>
      </c>
      <c r="K219" s="165"/>
      <c r="L219" s="159">
        <f t="shared" si="13"/>
        <v>182</v>
      </c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5.75" customHeight="1">
      <c r="A220" s="9"/>
      <c r="B220" s="137">
        <v>1.00012664E8</v>
      </c>
      <c r="C220" s="98" t="s">
        <v>294</v>
      </c>
      <c r="D220" s="113" t="s">
        <v>295</v>
      </c>
      <c r="E220" s="112">
        <v>964.44</v>
      </c>
      <c r="F220" s="57">
        <v>946.58</v>
      </c>
      <c r="G220" s="56">
        <v>964.44</v>
      </c>
      <c r="H220" s="41">
        <f t="shared" si="19"/>
        <v>958.4866667</v>
      </c>
      <c r="I220" s="49">
        <f t="shared" si="2"/>
        <v>0.01886792453</v>
      </c>
      <c r="J220" s="43">
        <f t="shared" si="22"/>
        <v>0.006211180124</v>
      </c>
      <c r="K220" s="78"/>
      <c r="L220" s="50">
        <f t="shared" si="13"/>
        <v>182</v>
      </c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5.75" customHeight="1">
      <c r="A221" s="9"/>
      <c r="B221" s="150">
        <v>1.00012664E8</v>
      </c>
      <c r="C221" s="151" t="s">
        <v>296</v>
      </c>
      <c r="D221" s="152" t="s">
        <v>297</v>
      </c>
      <c r="E221" s="162"/>
      <c r="F221" s="166"/>
      <c r="G221" s="167"/>
      <c r="H221" s="155">
        <f t="shared" si="19"/>
        <v>0</v>
      </c>
      <c r="I221" s="156" t="str">
        <f t="shared" si="2"/>
        <v/>
      </c>
      <c r="J221" s="157" t="str">
        <f t="shared" si="22"/>
        <v/>
      </c>
      <c r="K221" s="165"/>
      <c r="L221" s="159">
        <f t="shared" si="13"/>
        <v>182</v>
      </c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5.75" customHeight="1">
      <c r="A222" s="9"/>
      <c r="B222" s="97">
        <v>1.00013066E8</v>
      </c>
      <c r="C222" s="98" t="s">
        <v>298</v>
      </c>
      <c r="D222" s="83"/>
      <c r="E222" s="112">
        <v>179.9</v>
      </c>
      <c r="F222" s="57">
        <v>184.11</v>
      </c>
      <c r="G222" s="57">
        <v>195.44</v>
      </c>
      <c r="H222" s="41">
        <f t="shared" si="19"/>
        <v>186.4833333</v>
      </c>
      <c r="I222" s="49">
        <f t="shared" si="2"/>
        <v>0.08638132296</v>
      </c>
      <c r="J222" s="43">
        <f t="shared" si="22"/>
        <v>0.04802931451</v>
      </c>
      <c r="K222" s="58">
        <v>45911.0</v>
      </c>
      <c r="L222" s="50">
        <f t="shared" si="13"/>
        <v>46092</v>
      </c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5.75" customHeight="1">
      <c r="A223" s="9"/>
      <c r="B223" s="97">
        <v>1.00012904E8</v>
      </c>
      <c r="C223" s="98" t="s">
        <v>299</v>
      </c>
      <c r="D223" s="113" t="s">
        <v>300</v>
      </c>
      <c r="E223" s="132">
        <v>161.21</v>
      </c>
      <c r="F223" s="57">
        <v>180.39</v>
      </c>
      <c r="G223" s="57">
        <v>166.0</v>
      </c>
      <c r="H223" s="41">
        <f t="shared" si="19"/>
        <v>169.2</v>
      </c>
      <c r="I223" s="49">
        <f t="shared" si="2"/>
        <v>0.1189752497</v>
      </c>
      <c r="J223" s="43">
        <f t="shared" si="22"/>
        <v>0.06613475177</v>
      </c>
      <c r="K223" s="58">
        <v>45911.0</v>
      </c>
      <c r="L223" s="50">
        <f t="shared" si="13"/>
        <v>46092</v>
      </c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5.75" customHeight="1">
      <c r="A224" s="9"/>
      <c r="B224" s="150">
        <v>1.00012762E8</v>
      </c>
      <c r="C224" s="151" t="s">
        <v>301</v>
      </c>
      <c r="D224" s="152" t="s">
        <v>302</v>
      </c>
      <c r="E224" s="168"/>
      <c r="F224" s="166"/>
      <c r="G224" s="166"/>
      <c r="H224" s="155">
        <f t="shared" si="19"/>
        <v>0</v>
      </c>
      <c r="I224" s="156" t="str">
        <f t="shared" si="2"/>
        <v/>
      </c>
      <c r="J224" s="169">
        <v>29881.3</v>
      </c>
      <c r="K224" s="165"/>
      <c r="L224" s="159">
        <v>44680.0</v>
      </c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5.75" customHeight="1">
      <c r="A225" s="9"/>
      <c r="B225" s="133">
        <v>1.00012552E8</v>
      </c>
      <c r="C225" s="151" t="s">
        <v>303</v>
      </c>
      <c r="D225" s="170"/>
      <c r="E225" s="171">
        <v>2440.86</v>
      </c>
      <c r="F225" s="172">
        <v>2440.86</v>
      </c>
      <c r="G225" s="172">
        <v>2399.9</v>
      </c>
      <c r="H225" s="155">
        <f t="shared" si="19"/>
        <v>2427.206667</v>
      </c>
      <c r="I225" s="156">
        <f t="shared" si="2"/>
        <v>0.01706737781</v>
      </c>
      <c r="J225" s="157">
        <f t="shared" ref="J225:J238" si="23">IF(ISERROR(MAX(E225:G225)/H225-1),"",(MAX(E225:G225)/H225-1))</f>
        <v>0.005625121882</v>
      </c>
      <c r="K225" s="165"/>
      <c r="L225" s="159">
        <f t="shared" ref="L225:L238" si="24">EDATE(K225,6)</f>
        <v>182</v>
      </c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5.75" customHeight="1">
      <c r="A226" s="9"/>
      <c r="B226" s="137">
        <v>1.00012877E8</v>
      </c>
      <c r="C226" s="98" t="s">
        <v>304</v>
      </c>
      <c r="D226" s="83"/>
      <c r="E226" s="132">
        <v>522.9</v>
      </c>
      <c r="F226" s="57">
        <v>529.99</v>
      </c>
      <c r="G226" s="57">
        <v>659.9</v>
      </c>
      <c r="H226" s="41">
        <f t="shared" si="19"/>
        <v>570.93</v>
      </c>
      <c r="I226" s="49">
        <f t="shared" si="2"/>
        <v>0.2620003825</v>
      </c>
      <c r="J226" s="43">
        <f t="shared" si="23"/>
        <v>0.1558334647</v>
      </c>
      <c r="K226" s="58">
        <v>45917.0</v>
      </c>
      <c r="L226" s="50">
        <f t="shared" si="24"/>
        <v>46098</v>
      </c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5.75" customHeight="1">
      <c r="A227" s="9"/>
      <c r="B227" s="137">
        <v>1.00012605E8</v>
      </c>
      <c r="C227" s="98" t="s">
        <v>305</v>
      </c>
      <c r="D227" s="113" t="s">
        <v>306</v>
      </c>
      <c r="E227" s="101">
        <v>150.49</v>
      </c>
      <c r="F227" s="54">
        <v>169.58</v>
      </c>
      <c r="G227" s="54">
        <v>169.99</v>
      </c>
      <c r="H227" s="41">
        <f t="shared" si="19"/>
        <v>163.3533333</v>
      </c>
      <c r="I227" s="49">
        <f t="shared" si="2"/>
        <v>0.1295767161</v>
      </c>
      <c r="J227" s="43">
        <f t="shared" si="23"/>
        <v>0.04062767824</v>
      </c>
      <c r="K227" s="58">
        <v>45917.0</v>
      </c>
      <c r="L227" s="50">
        <f t="shared" si="24"/>
        <v>46098</v>
      </c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5.75" customHeight="1">
      <c r="A228" s="9"/>
      <c r="B228" s="133">
        <v>1.00012602E8</v>
      </c>
      <c r="C228" s="134" t="s">
        <v>307</v>
      </c>
      <c r="D228" s="46"/>
      <c r="E228" s="132">
        <v>139.99</v>
      </c>
      <c r="F228" s="57">
        <v>144.94</v>
      </c>
      <c r="G228" s="57">
        <v>139.9</v>
      </c>
      <c r="H228" s="41">
        <f t="shared" si="19"/>
        <v>141.61</v>
      </c>
      <c r="I228" s="49">
        <f t="shared" si="2"/>
        <v>0.03602573267</v>
      </c>
      <c r="J228" s="43">
        <f t="shared" si="23"/>
        <v>0.02351528847</v>
      </c>
      <c r="K228" s="58">
        <v>45917.0</v>
      </c>
      <c r="L228" s="50">
        <f t="shared" si="24"/>
        <v>46098</v>
      </c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5.75" customHeight="1">
      <c r="A229" s="9"/>
      <c r="B229" s="133">
        <v>1.00012851E8</v>
      </c>
      <c r="C229" s="134" t="s">
        <v>308</v>
      </c>
      <c r="D229" s="46"/>
      <c r="E229" s="132">
        <v>359.01</v>
      </c>
      <c r="F229" s="57">
        <v>284.99</v>
      </c>
      <c r="G229" s="57">
        <v>280.0</v>
      </c>
      <c r="H229" s="41">
        <f t="shared" si="19"/>
        <v>308</v>
      </c>
      <c r="I229" s="49">
        <f t="shared" si="2"/>
        <v>0.2821785714</v>
      </c>
      <c r="J229" s="43">
        <f t="shared" si="23"/>
        <v>0.1656168831</v>
      </c>
      <c r="K229" s="58">
        <v>45917.0</v>
      </c>
      <c r="L229" s="50">
        <f t="shared" si="24"/>
        <v>46098</v>
      </c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5.75" customHeight="1">
      <c r="A230" s="9"/>
      <c r="B230" s="137">
        <v>1.00012606E8</v>
      </c>
      <c r="C230" s="98" t="s">
        <v>309</v>
      </c>
      <c r="D230" s="113" t="s">
        <v>310</v>
      </c>
      <c r="E230" s="101">
        <v>660.0</v>
      </c>
      <c r="F230" s="54">
        <v>671.04</v>
      </c>
      <c r="G230" s="54">
        <v>595.0</v>
      </c>
      <c r="H230" s="41">
        <f t="shared" si="19"/>
        <v>642.0133333</v>
      </c>
      <c r="I230" s="49">
        <f t="shared" si="2"/>
        <v>0.1277983193</v>
      </c>
      <c r="J230" s="43">
        <f t="shared" si="23"/>
        <v>0.04521193745</v>
      </c>
      <c r="K230" s="58">
        <v>45918.0</v>
      </c>
      <c r="L230" s="50">
        <f t="shared" si="24"/>
        <v>46099</v>
      </c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5.75" customHeight="1">
      <c r="A231" s="9"/>
      <c r="B231" s="137">
        <v>1.00012606E8</v>
      </c>
      <c r="C231" s="98" t="s">
        <v>309</v>
      </c>
      <c r="D231" s="113" t="s">
        <v>311</v>
      </c>
      <c r="E231" s="101">
        <v>137.0</v>
      </c>
      <c r="F231" s="54">
        <v>137.0</v>
      </c>
      <c r="G231" s="54">
        <v>138.0</v>
      </c>
      <c r="H231" s="41">
        <f t="shared" si="19"/>
        <v>137.3333333</v>
      </c>
      <c r="I231" s="49">
        <f t="shared" si="2"/>
        <v>0.007299270073</v>
      </c>
      <c r="J231" s="43">
        <f t="shared" si="23"/>
        <v>0.004854368932</v>
      </c>
      <c r="K231" s="58">
        <v>45918.0</v>
      </c>
      <c r="L231" s="50">
        <f t="shared" si="24"/>
        <v>46099</v>
      </c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5.75" customHeight="1">
      <c r="A232" s="9"/>
      <c r="B232" s="137">
        <v>1.00012607E8</v>
      </c>
      <c r="C232" s="98" t="s">
        <v>56</v>
      </c>
      <c r="D232" s="113" t="s">
        <v>312</v>
      </c>
      <c r="E232" s="101">
        <v>2899.0</v>
      </c>
      <c r="F232" s="54">
        <v>2499.0</v>
      </c>
      <c r="G232" s="54">
        <v>2599.99</v>
      </c>
      <c r="H232" s="41">
        <f t="shared" si="19"/>
        <v>2665.996667</v>
      </c>
      <c r="I232" s="49">
        <f t="shared" si="2"/>
        <v>0.1600640256</v>
      </c>
      <c r="J232" s="43">
        <f t="shared" si="23"/>
        <v>0.0873982088</v>
      </c>
      <c r="K232" s="58">
        <v>45918.0</v>
      </c>
      <c r="L232" s="50">
        <f t="shared" si="24"/>
        <v>46099</v>
      </c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5.75" customHeight="1">
      <c r="A233" s="9"/>
      <c r="B233" s="137">
        <v>1.0000235E8</v>
      </c>
      <c r="C233" s="98" t="s">
        <v>313</v>
      </c>
      <c r="D233" s="113" t="s">
        <v>314</v>
      </c>
      <c r="E233" s="101">
        <v>528.98</v>
      </c>
      <c r="F233" s="54">
        <v>481.08</v>
      </c>
      <c r="G233" s="54">
        <v>528.98</v>
      </c>
      <c r="H233" s="41">
        <f t="shared" si="19"/>
        <v>513.0133333</v>
      </c>
      <c r="I233" s="49">
        <f t="shared" si="2"/>
        <v>0.09956763948</v>
      </c>
      <c r="J233" s="43">
        <f t="shared" si="23"/>
        <v>0.03112329764</v>
      </c>
      <c r="K233" s="58">
        <v>45918.0</v>
      </c>
      <c r="L233" s="50">
        <f t="shared" si="24"/>
        <v>46099</v>
      </c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5.75" customHeight="1">
      <c r="A234" s="9"/>
      <c r="B234" s="137">
        <v>1.0000235E8</v>
      </c>
      <c r="C234" s="98" t="s">
        <v>313</v>
      </c>
      <c r="D234" s="113" t="s">
        <v>315</v>
      </c>
      <c r="E234" s="101">
        <v>427.9</v>
      </c>
      <c r="F234" s="54">
        <v>435.35</v>
      </c>
      <c r="G234" s="54">
        <v>464.71</v>
      </c>
      <c r="H234" s="41">
        <f t="shared" si="19"/>
        <v>442.6533333</v>
      </c>
      <c r="I234" s="49">
        <f t="shared" si="2"/>
        <v>0.08602477214</v>
      </c>
      <c r="J234" s="43">
        <f t="shared" si="23"/>
        <v>0.04982830808</v>
      </c>
      <c r="K234" s="78"/>
      <c r="L234" s="50">
        <f t="shared" si="24"/>
        <v>182</v>
      </c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5.75" customHeight="1">
      <c r="A235" s="9"/>
      <c r="B235" s="137">
        <v>1.00010808E8</v>
      </c>
      <c r="C235" s="98" t="s">
        <v>316</v>
      </c>
      <c r="D235" s="83"/>
      <c r="E235" s="101">
        <v>680.0</v>
      </c>
      <c r="F235" s="54">
        <v>650.85</v>
      </c>
      <c r="G235" s="54">
        <v>693.06</v>
      </c>
      <c r="H235" s="41">
        <f t="shared" si="19"/>
        <v>674.6366667</v>
      </c>
      <c r="I235" s="49">
        <f t="shared" si="2"/>
        <v>0.06485365292</v>
      </c>
      <c r="J235" s="43">
        <f t="shared" si="23"/>
        <v>0.02730852656</v>
      </c>
      <c r="K235" s="78"/>
      <c r="L235" s="50">
        <f t="shared" si="24"/>
        <v>182</v>
      </c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5.75" customHeight="1">
      <c r="A236" s="9"/>
      <c r="B236" s="137">
        <v>1.00010811E8</v>
      </c>
      <c r="C236" s="98" t="s">
        <v>317</v>
      </c>
      <c r="D236" s="83"/>
      <c r="E236" s="101">
        <v>236.7</v>
      </c>
      <c r="F236" s="54">
        <v>203.43</v>
      </c>
      <c r="G236" s="54">
        <v>194.72</v>
      </c>
      <c r="H236" s="41">
        <f t="shared" si="19"/>
        <v>211.6166667</v>
      </c>
      <c r="I236" s="49">
        <f t="shared" si="2"/>
        <v>0.2155916187</v>
      </c>
      <c r="J236" s="43">
        <f t="shared" si="23"/>
        <v>0.1185319367</v>
      </c>
      <c r="K236" s="78"/>
      <c r="L236" s="50">
        <f t="shared" si="24"/>
        <v>182</v>
      </c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5.75" customHeight="1">
      <c r="A237" s="9"/>
      <c r="B237" s="137">
        <v>1.00012049E8</v>
      </c>
      <c r="C237" s="98" t="s">
        <v>318</v>
      </c>
      <c r="D237" s="113" t="s">
        <v>319</v>
      </c>
      <c r="E237" s="101">
        <v>1334.0</v>
      </c>
      <c r="F237" s="54">
        <v>1295.0</v>
      </c>
      <c r="G237" s="54">
        <v>1400.0</v>
      </c>
      <c r="H237" s="41">
        <f t="shared" si="19"/>
        <v>1343</v>
      </c>
      <c r="I237" s="49">
        <f t="shared" si="2"/>
        <v>0.08108108108</v>
      </c>
      <c r="J237" s="43">
        <f t="shared" si="23"/>
        <v>0.04244229337</v>
      </c>
      <c r="K237" s="78"/>
      <c r="L237" s="50">
        <f t="shared" si="24"/>
        <v>182</v>
      </c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5.75" customHeight="1">
      <c r="A238" s="9"/>
      <c r="B238" s="137">
        <v>1.00012059E8</v>
      </c>
      <c r="C238" s="98" t="s">
        <v>320</v>
      </c>
      <c r="D238" s="113" t="s">
        <v>321</v>
      </c>
      <c r="E238" s="132">
        <v>1514.64</v>
      </c>
      <c r="F238" s="57">
        <v>1799.91</v>
      </c>
      <c r="G238" s="57">
        <v>1399.9</v>
      </c>
      <c r="H238" s="41">
        <f t="shared" si="19"/>
        <v>1571.483333</v>
      </c>
      <c r="I238" s="49">
        <f t="shared" si="2"/>
        <v>0.2857418387</v>
      </c>
      <c r="J238" s="43">
        <f t="shared" si="23"/>
        <v>0.1453573588</v>
      </c>
      <c r="K238" s="78"/>
      <c r="L238" s="50">
        <f t="shared" si="24"/>
        <v>182</v>
      </c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5.75" customHeight="1">
      <c r="A239" s="9"/>
      <c r="B239" s="137">
        <v>1.00012523E8</v>
      </c>
      <c r="C239" s="98" t="s">
        <v>322</v>
      </c>
      <c r="D239" s="83"/>
      <c r="E239" s="132">
        <v>221.51</v>
      </c>
      <c r="F239" s="57">
        <v>260.0</v>
      </c>
      <c r="G239" s="57">
        <v>209.9</v>
      </c>
      <c r="H239" s="41">
        <f t="shared" si="19"/>
        <v>230.47</v>
      </c>
      <c r="I239" s="49">
        <f t="shared" si="2"/>
        <v>0.2386850881</v>
      </c>
      <c r="J239" s="93">
        <v>27752.0333333333</v>
      </c>
      <c r="K239" s="78"/>
      <c r="L239" s="50">
        <v>44680.0</v>
      </c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5.75" customHeight="1">
      <c r="A240" s="9"/>
      <c r="B240" s="137">
        <v>1.00012655E8</v>
      </c>
      <c r="C240" s="98" t="s">
        <v>323</v>
      </c>
      <c r="D240" s="83"/>
      <c r="E240" s="132">
        <v>568.96</v>
      </c>
      <c r="F240" s="57">
        <v>520.0</v>
      </c>
      <c r="G240" s="57">
        <v>522.0</v>
      </c>
      <c r="H240" s="41">
        <f t="shared" si="19"/>
        <v>536.9866667</v>
      </c>
      <c r="I240" s="49">
        <f t="shared" si="2"/>
        <v>0.09415384615</v>
      </c>
      <c r="J240" s="43">
        <f t="shared" ref="J240:J247" si="25">IF(ISERROR(MAX(E240:G240)/H240-1),"",(MAX(E240:G240)/H240-1))</f>
        <v>0.05954213637</v>
      </c>
      <c r="K240" s="78"/>
      <c r="L240" s="50">
        <f t="shared" ref="L240:L268" si="26">EDATE(K240,6)</f>
        <v>182</v>
      </c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5.75" customHeight="1">
      <c r="A241" s="9"/>
      <c r="B241" s="137">
        <v>1.00012656E8</v>
      </c>
      <c r="C241" s="98" t="s">
        <v>324</v>
      </c>
      <c r="D241" s="83"/>
      <c r="E241" s="132">
        <v>24.5</v>
      </c>
      <c r="F241" s="57">
        <v>30.0</v>
      </c>
      <c r="G241" s="132">
        <v>24.5</v>
      </c>
      <c r="H241" s="41">
        <f t="shared" si="19"/>
        <v>26.33333333</v>
      </c>
      <c r="I241" s="49">
        <f t="shared" si="2"/>
        <v>0.2244897959</v>
      </c>
      <c r="J241" s="43">
        <f t="shared" si="25"/>
        <v>0.1392405063</v>
      </c>
      <c r="K241" s="58">
        <v>45923.0</v>
      </c>
      <c r="L241" s="50">
        <f t="shared" si="26"/>
        <v>46104</v>
      </c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6.5" customHeight="1">
      <c r="A242" s="9"/>
      <c r="B242" s="137">
        <v>1.00012657E8</v>
      </c>
      <c r="C242" s="173" t="s">
        <v>325</v>
      </c>
      <c r="D242" s="83"/>
      <c r="E242" s="101">
        <v>167.87</v>
      </c>
      <c r="F242" s="54">
        <v>138.0</v>
      </c>
      <c r="G242" s="54">
        <v>153.47</v>
      </c>
      <c r="H242" s="41">
        <f t="shared" si="19"/>
        <v>153.1133333</v>
      </c>
      <c r="I242" s="49">
        <f t="shared" si="2"/>
        <v>0.2164492754</v>
      </c>
      <c r="J242" s="43">
        <f t="shared" si="25"/>
        <v>0.09637741107</v>
      </c>
      <c r="K242" s="58">
        <v>45923.0</v>
      </c>
      <c r="L242" s="50">
        <f t="shared" si="26"/>
        <v>46104</v>
      </c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5.75" customHeight="1">
      <c r="A243" s="9"/>
      <c r="B243" s="137">
        <v>1.00012658E8</v>
      </c>
      <c r="C243" s="98" t="s">
        <v>326</v>
      </c>
      <c r="D243" s="83"/>
      <c r="E243" s="132">
        <v>245.71</v>
      </c>
      <c r="F243" s="57">
        <v>255.5</v>
      </c>
      <c r="G243" s="57">
        <v>258.0</v>
      </c>
      <c r="H243" s="41">
        <f t="shared" si="19"/>
        <v>253.07</v>
      </c>
      <c r="I243" s="49">
        <f t="shared" si="2"/>
        <v>0.05001831427</v>
      </c>
      <c r="J243" s="43">
        <f t="shared" si="25"/>
        <v>0.01948077607</v>
      </c>
      <c r="K243" s="58">
        <v>45923.0</v>
      </c>
      <c r="L243" s="50">
        <f t="shared" si="26"/>
        <v>46104</v>
      </c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5.75" customHeight="1">
      <c r="A244" s="9"/>
      <c r="B244" s="137">
        <v>1.00010011E8</v>
      </c>
      <c r="C244" s="98" t="s">
        <v>327</v>
      </c>
      <c r="D244" s="83"/>
      <c r="E244" s="132">
        <v>2973.38</v>
      </c>
      <c r="F244" s="57">
        <v>2893.35</v>
      </c>
      <c r="G244" s="57">
        <v>3050.89</v>
      </c>
      <c r="H244" s="41">
        <f t="shared" si="19"/>
        <v>2972.54</v>
      </c>
      <c r="I244" s="49">
        <f t="shared" si="2"/>
        <v>0.05444899511</v>
      </c>
      <c r="J244" s="43">
        <f t="shared" si="25"/>
        <v>0.02635792958</v>
      </c>
      <c r="K244" s="58">
        <v>45923.0</v>
      </c>
      <c r="L244" s="50">
        <f t="shared" si="26"/>
        <v>46104</v>
      </c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5.75" customHeight="1">
      <c r="A245" s="9"/>
      <c r="B245" s="137">
        <v>1.00012918E8</v>
      </c>
      <c r="C245" s="98" t="s">
        <v>328</v>
      </c>
      <c r="D245" s="128"/>
      <c r="E245" s="101">
        <v>128.7</v>
      </c>
      <c r="F245" s="138">
        <v>157.0</v>
      </c>
      <c r="G245" s="138">
        <v>154.77</v>
      </c>
      <c r="H245" s="41">
        <f t="shared" si="19"/>
        <v>146.8233333</v>
      </c>
      <c r="I245" s="49">
        <f t="shared" si="2"/>
        <v>0.2198912199</v>
      </c>
      <c r="J245" s="43">
        <f t="shared" si="25"/>
        <v>0.06931232547</v>
      </c>
      <c r="K245" s="58">
        <v>45923.0</v>
      </c>
      <c r="L245" s="50">
        <f t="shared" si="26"/>
        <v>46104</v>
      </c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5.75" customHeight="1">
      <c r="A246" s="9"/>
      <c r="B246" s="137">
        <v>1.00010846E8</v>
      </c>
      <c r="C246" s="98" t="s">
        <v>329</v>
      </c>
      <c r="D246" s="113" t="s">
        <v>330</v>
      </c>
      <c r="E246" s="101">
        <v>1142.39</v>
      </c>
      <c r="F246" s="54">
        <v>1188.41</v>
      </c>
      <c r="G246" s="54">
        <v>1080.0</v>
      </c>
      <c r="H246" s="41">
        <f t="shared" si="19"/>
        <v>1136.933333</v>
      </c>
      <c r="I246" s="49">
        <f t="shared" si="2"/>
        <v>0.1003796296</v>
      </c>
      <c r="J246" s="43">
        <f t="shared" si="25"/>
        <v>0.04527676791</v>
      </c>
      <c r="K246" s="58">
        <v>45923.0</v>
      </c>
      <c r="L246" s="50">
        <f t="shared" si="26"/>
        <v>46104</v>
      </c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5.75" customHeight="1">
      <c r="A247" s="9"/>
      <c r="B247" s="137">
        <v>1.00012555E8</v>
      </c>
      <c r="C247" s="98" t="s">
        <v>331</v>
      </c>
      <c r="D247" s="113" t="s">
        <v>332</v>
      </c>
      <c r="E247" s="101">
        <v>2969.77</v>
      </c>
      <c r="F247" s="54">
        <v>2702.38</v>
      </c>
      <c r="G247" s="54">
        <v>2730.0</v>
      </c>
      <c r="H247" s="41">
        <f t="shared" si="19"/>
        <v>2800.716667</v>
      </c>
      <c r="I247" s="49">
        <f t="shared" si="2"/>
        <v>0.09894611417</v>
      </c>
      <c r="J247" s="43">
        <f t="shared" si="25"/>
        <v>0.060360741</v>
      </c>
      <c r="K247" s="58">
        <v>45923.0</v>
      </c>
      <c r="L247" s="50">
        <f t="shared" si="26"/>
        <v>46104</v>
      </c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5.75" customHeight="1">
      <c r="A248" s="9"/>
      <c r="B248" s="137">
        <v>1.00012659E8</v>
      </c>
      <c r="C248" s="98" t="s">
        <v>333</v>
      </c>
      <c r="D248" s="83"/>
      <c r="E248" s="132">
        <v>228.95</v>
      </c>
      <c r="F248" s="57">
        <v>250.0</v>
      </c>
      <c r="G248" s="57">
        <v>250.0</v>
      </c>
      <c r="H248" s="41">
        <f t="shared" si="19"/>
        <v>242.9833333</v>
      </c>
      <c r="I248" s="49">
        <f t="shared" si="2"/>
        <v>0.09194147194</v>
      </c>
      <c r="J248" s="43"/>
      <c r="K248" s="136">
        <v>45923.0</v>
      </c>
      <c r="L248" s="45">
        <f t="shared" si="26"/>
        <v>46104</v>
      </c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5.75" customHeight="1">
      <c r="A249" s="9"/>
      <c r="B249" s="137">
        <v>1.00002345E8</v>
      </c>
      <c r="C249" s="98" t="s">
        <v>334</v>
      </c>
      <c r="D249" s="83"/>
      <c r="E249" s="132">
        <v>731.0</v>
      </c>
      <c r="F249" s="57">
        <v>785.44</v>
      </c>
      <c r="G249" s="57">
        <v>709.9</v>
      </c>
      <c r="H249" s="41">
        <f t="shared" si="19"/>
        <v>742.1133333</v>
      </c>
      <c r="I249" s="49">
        <f t="shared" si="2"/>
        <v>0.1064093534</v>
      </c>
      <c r="J249" s="43">
        <f t="shared" ref="J249:J251" si="27">IF(ISERROR(MAX(E249:G249)/H249-1),"",(MAX(E249:G249)/H249-1))</f>
        <v>0.05838281664</v>
      </c>
      <c r="K249" s="58">
        <v>45923.0</v>
      </c>
      <c r="L249" s="50">
        <f t="shared" si="26"/>
        <v>46104</v>
      </c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5.75" customHeight="1">
      <c r="A250" s="9"/>
      <c r="B250" s="137">
        <v>1.00010679E8</v>
      </c>
      <c r="C250" s="98" t="s">
        <v>236</v>
      </c>
      <c r="D250" s="83"/>
      <c r="E250" s="101">
        <v>131.16</v>
      </c>
      <c r="F250" s="54">
        <v>153.69</v>
      </c>
      <c r="G250" s="54">
        <v>163.95</v>
      </c>
      <c r="H250" s="41">
        <f t="shared" si="19"/>
        <v>149.6</v>
      </c>
      <c r="I250" s="49">
        <f t="shared" si="2"/>
        <v>0.25</v>
      </c>
      <c r="J250" s="43">
        <f t="shared" si="27"/>
        <v>0.09592245989</v>
      </c>
      <c r="K250" s="58">
        <v>45923.0</v>
      </c>
      <c r="L250" s="50">
        <f t="shared" si="26"/>
        <v>46104</v>
      </c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5.75" customHeight="1">
      <c r="A251" s="9"/>
      <c r="B251" s="137">
        <v>1.00010677E8</v>
      </c>
      <c r="C251" s="98" t="s">
        <v>335</v>
      </c>
      <c r="D251" s="113" t="s">
        <v>336</v>
      </c>
      <c r="E251" s="101">
        <v>178.5</v>
      </c>
      <c r="F251" s="54">
        <v>173.14</v>
      </c>
      <c r="G251" s="54">
        <v>202.24</v>
      </c>
      <c r="H251" s="41">
        <f t="shared" si="19"/>
        <v>184.6266667</v>
      </c>
      <c r="I251" s="49">
        <f t="shared" si="2"/>
        <v>0.1680720804</v>
      </c>
      <c r="J251" s="43">
        <f t="shared" si="27"/>
        <v>0.09539972557</v>
      </c>
      <c r="K251" s="58">
        <v>45923.0</v>
      </c>
      <c r="L251" s="50">
        <f t="shared" si="26"/>
        <v>46104</v>
      </c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5.75" customHeight="1">
      <c r="A252" s="9"/>
      <c r="B252" s="137">
        <v>1.00010677E8</v>
      </c>
      <c r="C252" s="98" t="s">
        <v>335</v>
      </c>
      <c r="D252" s="113" t="s">
        <v>337</v>
      </c>
      <c r="E252" s="101">
        <v>6906.68</v>
      </c>
      <c r="F252" s="54">
        <v>6906.68</v>
      </c>
      <c r="G252" s="54">
        <v>6906.68</v>
      </c>
      <c r="H252" s="41">
        <f t="shared" si="19"/>
        <v>6906.68</v>
      </c>
      <c r="I252" s="49">
        <f t="shared" si="2"/>
        <v>0</v>
      </c>
      <c r="J252" s="43"/>
      <c r="K252" s="58">
        <v>45923.0</v>
      </c>
      <c r="L252" s="50">
        <f t="shared" si="26"/>
        <v>46104</v>
      </c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5.75" customHeight="1">
      <c r="A253" s="9"/>
      <c r="B253" s="137">
        <v>1.00012799E8</v>
      </c>
      <c r="C253" s="98" t="s">
        <v>338</v>
      </c>
      <c r="D253" s="113" t="s">
        <v>339</v>
      </c>
      <c r="E253" s="101">
        <v>559.59</v>
      </c>
      <c r="F253" s="54">
        <v>630.9</v>
      </c>
      <c r="G253" s="54">
        <v>532.11</v>
      </c>
      <c r="H253" s="41">
        <f t="shared" si="19"/>
        <v>574.2</v>
      </c>
      <c r="I253" s="49">
        <f t="shared" si="2"/>
        <v>0.185657101</v>
      </c>
      <c r="J253" s="43">
        <f t="shared" ref="J253:J257" si="28">IF(ISERROR(MAX(E253:G253)/H253-1),"",(MAX(E253:G253)/H253-1))</f>
        <v>0.0987460815</v>
      </c>
      <c r="K253" s="58">
        <v>45924.0</v>
      </c>
      <c r="L253" s="50">
        <f t="shared" si="26"/>
        <v>46105</v>
      </c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8.0" customHeight="1">
      <c r="A254" s="9"/>
      <c r="B254" s="137">
        <v>1.00012799E8</v>
      </c>
      <c r="C254" s="98" t="s">
        <v>340</v>
      </c>
      <c r="D254" s="113" t="s">
        <v>341</v>
      </c>
      <c r="E254" s="101">
        <v>1121.11</v>
      </c>
      <c r="F254" s="54">
        <v>1149.0</v>
      </c>
      <c r="G254" s="54">
        <v>1159.0</v>
      </c>
      <c r="H254" s="41">
        <f t="shared" si="19"/>
        <v>1143.036667</v>
      </c>
      <c r="I254" s="49">
        <f t="shared" si="2"/>
        <v>0.03379686204</v>
      </c>
      <c r="J254" s="43">
        <f t="shared" si="28"/>
        <v>0.01396572288</v>
      </c>
      <c r="K254" s="58">
        <v>45924.0</v>
      </c>
      <c r="L254" s="50">
        <f t="shared" si="26"/>
        <v>46105</v>
      </c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5.75" customHeight="1">
      <c r="A255" s="9"/>
      <c r="B255" s="137">
        <v>1.00012799E8</v>
      </c>
      <c r="C255" s="98" t="s">
        <v>338</v>
      </c>
      <c r="D255" s="113" t="s">
        <v>342</v>
      </c>
      <c r="E255" s="101">
        <v>1729.0</v>
      </c>
      <c r="F255" s="54">
        <v>1729.0</v>
      </c>
      <c r="G255" s="54">
        <v>1729.0</v>
      </c>
      <c r="H255" s="41">
        <f t="shared" si="19"/>
        <v>1729</v>
      </c>
      <c r="I255" s="49">
        <f t="shared" si="2"/>
        <v>0</v>
      </c>
      <c r="J255" s="43">
        <f t="shared" si="28"/>
        <v>0</v>
      </c>
      <c r="K255" s="58">
        <v>45924.0</v>
      </c>
      <c r="L255" s="50">
        <f t="shared" si="26"/>
        <v>46105</v>
      </c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5.75" customHeight="1">
      <c r="A256" s="9"/>
      <c r="B256" s="137">
        <v>1.00012292E8</v>
      </c>
      <c r="C256" s="98" t="s">
        <v>343</v>
      </c>
      <c r="D256" s="83"/>
      <c r="E256" s="101">
        <v>10200.0</v>
      </c>
      <c r="F256" s="54">
        <v>11047.73</v>
      </c>
      <c r="G256" s="54">
        <v>9419.99</v>
      </c>
      <c r="H256" s="41">
        <f t="shared" si="19"/>
        <v>10222.57333</v>
      </c>
      <c r="I256" s="49">
        <f t="shared" si="2"/>
        <v>0.1727963618</v>
      </c>
      <c r="J256" s="43">
        <f t="shared" si="28"/>
        <v>0.0807190753</v>
      </c>
      <c r="K256" s="58">
        <v>45924.0</v>
      </c>
      <c r="L256" s="50">
        <f t="shared" si="26"/>
        <v>46105</v>
      </c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5.75" customHeight="1">
      <c r="A257" s="9"/>
      <c r="B257" s="137">
        <v>1.00012884E8</v>
      </c>
      <c r="C257" s="98" t="s">
        <v>344</v>
      </c>
      <c r="D257" s="113">
        <v>1.0</v>
      </c>
      <c r="E257" s="101">
        <v>845.08</v>
      </c>
      <c r="F257" s="54">
        <v>882.0</v>
      </c>
      <c r="G257" s="54">
        <v>960.07</v>
      </c>
      <c r="H257" s="41">
        <f t="shared" si="19"/>
        <v>895.7166667</v>
      </c>
      <c r="I257" s="49">
        <f t="shared" si="2"/>
        <v>0.1360699579</v>
      </c>
      <c r="J257" s="43">
        <f t="shared" si="28"/>
        <v>0.07184563571</v>
      </c>
      <c r="K257" s="58">
        <v>45924.0</v>
      </c>
      <c r="L257" s="50">
        <f t="shared" si="26"/>
        <v>46105</v>
      </c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5.75" customHeight="1">
      <c r="A258" s="9"/>
      <c r="B258" s="137">
        <v>1.00012884E8</v>
      </c>
      <c r="C258" s="98" t="s">
        <v>344</v>
      </c>
      <c r="D258" s="113">
        <v>2.0</v>
      </c>
      <c r="E258" s="101">
        <v>1743.25</v>
      </c>
      <c r="F258" s="54">
        <v>2178.48</v>
      </c>
      <c r="G258" s="54">
        <v>2190.0</v>
      </c>
      <c r="H258" s="41">
        <f t="shared" si="19"/>
        <v>2037.243333</v>
      </c>
      <c r="I258" s="49">
        <f t="shared" si="2"/>
        <v>0.2562742005</v>
      </c>
      <c r="J258" s="43"/>
      <c r="K258" s="58"/>
      <c r="L258" s="50">
        <f t="shared" si="26"/>
        <v>182</v>
      </c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5.75" customHeight="1">
      <c r="A259" s="9"/>
      <c r="B259" s="137">
        <v>1.00012885E8</v>
      </c>
      <c r="C259" s="98" t="s">
        <v>345</v>
      </c>
      <c r="D259" s="83"/>
      <c r="E259" s="101">
        <v>209.0</v>
      </c>
      <c r="F259" s="54">
        <v>188.9</v>
      </c>
      <c r="G259" s="54">
        <v>188.1</v>
      </c>
      <c r="H259" s="41">
        <f t="shared" si="19"/>
        <v>195.3333333</v>
      </c>
      <c r="I259" s="49">
        <f t="shared" si="2"/>
        <v>0.1111111111</v>
      </c>
      <c r="J259" s="43">
        <f t="shared" ref="J259:J261" si="29">IF(ISERROR(MAX(E259:G259)/H259-1),"",(MAX(E259:G259)/H259-1))</f>
        <v>0.06996587031</v>
      </c>
      <c r="K259" s="58">
        <v>45925.0</v>
      </c>
      <c r="L259" s="50">
        <f t="shared" si="26"/>
        <v>46106</v>
      </c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5.75" customHeight="1">
      <c r="A260" s="9"/>
      <c r="B260" s="137">
        <v>1.00012886E8</v>
      </c>
      <c r="C260" s="98" t="s">
        <v>346</v>
      </c>
      <c r="D260" s="83"/>
      <c r="E260" s="101">
        <v>439.9</v>
      </c>
      <c r="F260" s="54">
        <v>468.4</v>
      </c>
      <c r="G260" s="54">
        <v>454.98</v>
      </c>
      <c r="H260" s="41">
        <f t="shared" si="19"/>
        <v>454.4266667</v>
      </c>
      <c r="I260" s="49">
        <f t="shared" si="2"/>
        <v>0.06478745169</v>
      </c>
      <c r="J260" s="43">
        <f t="shared" si="29"/>
        <v>0.03074936917</v>
      </c>
      <c r="K260" s="58">
        <v>45925.0</v>
      </c>
      <c r="L260" s="50">
        <f t="shared" si="26"/>
        <v>46106</v>
      </c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5.75" customHeight="1">
      <c r="A261" s="9"/>
      <c r="B261" s="137">
        <v>1.00011724E8</v>
      </c>
      <c r="C261" s="98" t="s">
        <v>347</v>
      </c>
      <c r="D261" s="83"/>
      <c r="E261" s="101">
        <v>593.84</v>
      </c>
      <c r="F261" s="54">
        <v>511.25</v>
      </c>
      <c r="G261" s="54">
        <v>583.22</v>
      </c>
      <c r="H261" s="41">
        <f t="shared" si="19"/>
        <v>562.77</v>
      </c>
      <c r="I261" s="49">
        <f t="shared" si="2"/>
        <v>0.1615452323</v>
      </c>
      <c r="J261" s="43">
        <f t="shared" si="29"/>
        <v>0.05520905521</v>
      </c>
      <c r="K261" s="58">
        <v>45925.0</v>
      </c>
      <c r="L261" s="50">
        <f t="shared" si="26"/>
        <v>46106</v>
      </c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5.75" customHeight="1">
      <c r="A262" s="9"/>
      <c r="B262" s="137">
        <v>1.00013063E8</v>
      </c>
      <c r="C262" s="98" t="s">
        <v>348</v>
      </c>
      <c r="D262" s="113" t="s">
        <v>349</v>
      </c>
      <c r="E262" s="101">
        <v>1120.0</v>
      </c>
      <c r="F262" s="54">
        <v>999.0</v>
      </c>
      <c r="G262" s="54">
        <v>1144.89</v>
      </c>
      <c r="H262" s="41">
        <f t="shared" si="19"/>
        <v>1087.963333</v>
      </c>
      <c r="I262" s="49">
        <f t="shared" si="2"/>
        <v>0.146036036</v>
      </c>
      <c r="J262" s="43"/>
      <c r="K262" s="58">
        <v>45925.0</v>
      </c>
      <c r="L262" s="50">
        <f t="shared" si="26"/>
        <v>46106</v>
      </c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5.75" customHeight="1">
      <c r="A263" s="9"/>
      <c r="B263" s="137">
        <v>1.00013063E8</v>
      </c>
      <c r="C263" s="98" t="s">
        <v>348</v>
      </c>
      <c r="D263" s="113" t="s">
        <v>350</v>
      </c>
      <c r="E263" s="101">
        <v>2724.22</v>
      </c>
      <c r="F263" s="54">
        <v>3196.0</v>
      </c>
      <c r="G263" s="54">
        <v>2717.41</v>
      </c>
      <c r="H263" s="41">
        <f t="shared" si="19"/>
        <v>2879.21</v>
      </c>
      <c r="I263" s="49">
        <f t="shared" si="2"/>
        <v>0.1761199083</v>
      </c>
      <c r="J263" s="43"/>
      <c r="K263" s="58"/>
      <c r="L263" s="50">
        <f t="shared" si="26"/>
        <v>182</v>
      </c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5.75" customHeight="1">
      <c r="A264" s="9"/>
      <c r="B264" s="137">
        <v>1.00013063E8</v>
      </c>
      <c r="C264" s="98" t="s">
        <v>348</v>
      </c>
      <c r="D264" s="113" t="s">
        <v>351</v>
      </c>
      <c r="E264" s="101">
        <v>5563.16</v>
      </c>
      <c r="F264" s="54">
        <v>5206.99</v>
      </c>
      <c r="G264" s="54">
        <v>6189.02</v>
      </c>
      <c r="H264" s="41">
        <f t="shared" si="19"/>
        <v>5653.056667</v>
      </c>
      <c r="I264" s="49">
        <f t="shared" si="2"/>
        <v>0.1885984033</v>
      </c>
      <c r="J264" s="43"/>
      <c r="K264" s="58">
        <v>45925.0</v>
      </c>
      <c r="L264" s="50">
        <f t="shared" si="26"/>
        <v>46106</v>
      </c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5.75" customHeight="1">
      <c r="A265" s="9"/>
      <c r="B265" s="137">
        <v>1.00002316E8</v>
      </c>
      <c r="C265" s="98" t="s">
        <v>352</v>
      </c>
      <c r="D265" s="83"/>
      <c r="E265" s="132">
        <v>47897.58</v>
      </c>
      <c r="F265" s="57">
        <v>45204.96</v>
      </c>
      <c r="G265" s="57">
        <v>47825.94</v>
      </c>
      <c r="H265" s="41">
        <f t="shared" si="19"/>
        <v>46976.16</v>
      </c>
      <c r="I265" s="49">
        <f t="shared" si="2"/>
        <v>0.05956470263</v>
      </c>
      <c r="J265" s="43">
        <f t="shared" ref="J265:J268" si="30">IF(ISERROR(MAX(E265:G265)/H265-1),"",(MAX(E265:G265)/H265-1))</f>
        <v>0.01961463006</v>
      </c>
      <c r="K265" s="58">
        <v>45925.0</v>
      </c>
      <c r="L265" s="50">
        <f t="shared" si="26"/>
        <v>46106</v>
      </c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5.75" customHeight="1">
      <c r="A266" s="9"/>
      <c r="B266" s="133">
        <v>1.00002317E8</v>
      </c>
      <c r="C266" s="151" t="s">
        <v>353</v>
      </c>
      <c r="D266" s="152" t="s">
        <v>354</v>
      </c>
      <c r="E266" s="171">
        <v>60819.12</v>
      </c>
      <c r="F266" s="172">
        <v>60819.12</v>
      </c>
      <c r="G266" s="172">
        <v>60819.12</v>
      </c>
      <c r="H266" s="155">
        <f t="shared" si="19"/>
        <v>60819.12</v>
      </c>
      <c r="I266" s="156">
        <f t="shared" si="2"/>
        <v>0</v>
      </c>
      <c r="J266" s="157">
        <f t="shared" si="30"/>
        <v>0</v>
      </c>
      <c r="K266" s="158">
        <v>45802.0</v>
      </c>
      <c r="L266" s="159">
        <f t="shared" si="26"/>
        <v>45986</v>
      </c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5.75" customHeight="1">
      <c r="A267" s="9"/>
      <c r="B267" s="137">
        <v>1.00002332E8</v>
      </c>
      <c r="C267" s="98" t="s">
        <v>355</v>
      </c>
      <c r="D267" s="83"/>
      <c r="E267" s="132">
        <v>1540.0</v>
      </c>
      <c r="F267" s="57">
        <v>1530.9</v>
      </c>
      <c r="G267" s="57">
        <v>1390.79</v>
      </c>
      <c r="H267" s="41">
        <f t="shared" si="19"/>
        <v>1487.23</v>
      </c>
      <c r="I267" s="49">
        <f t="shared" si="2"/>
        <v>0.1072843492</v>
      </c>
      <c r="J267" s="43">
        <f t="shared" si="30"/>
        <v>0.0354820707</v>
      </c>
      <c r="K267" s="58">
        <v>45925.0</v>
      </c>
      <c r="L267" s="50">
        <f t="shared" si="26"/>
        <v>46106</v>
      </c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5.75" customHeight="1">
      <c r="A268" s="9"/>
      <c r="B268" s="137">
        <v>1.00002357E8</v>
      </c>
      <c r="C268" s="98" t="s">
        <v>356</v>
      </c>
      <c r="D268" s="83"/>
      <c r="E268" s="132">
        <v>260.0</v>
      </c>
      <c r="F268" s="57">
        <v>204.9</v>
      </c>
      <c r="G268" s="57">
        <v>270.13</v>
      </c>
      <c r="H268" s="41">
        <f t="shared" si="19"/>
        <v>245.01</v>
      </c>
      <c r="I268" s="49">
        <f t="shared" si="2"/>
        <v>0.3183504148</v>
      </c>
      <c r="J268" s="43">
        <f t="shared" si="30"/>
        <v>0.1025264275</v>
      </c>
      <c r="K268" s="58">
        <v>45925.0</v>
      </c>
      <c r="L268" s="50">
        <f t="shared" si="26"/>
        <v>46106</v>
      </c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5.75" customHeight="1">
      <c r="A269" s="9"/>
      <c r="B269" s="137">
        <v>1.00010776E8</v>
      </c>
      <c r="C269" s="98" t="s">
        <v>357</v>
      </c>
      <c r="D269" s="113" t="s">
        <v>358</v>
      </c>
      <c r="E269" s="132">
        <v>214.7</v>
      </c>
      <c r="F269" s="57">
        <v>219.68</v>
      </c>
      <c r="G269" s="57">
        <v>233.73</v>
      </c>
      <c r="H269" s="41">
        <f t="shared" si="19"/>
        <v>222.7033333</v>
      </c>
      <c r="I269" s="49">
        <f t="shared" si="2"/>
        <v>0.08863530508</v>
      </c>
      <c r="J269" s="43"/>
      <c r="K269" s="58">
        <v>45925.0</v>
      </c>
      <c r="L269" s="50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5.75" customHeight="1">
      <c r="A270" s="9"/>
      <c r="B270" s="137">
        <v>1.00010776E8</v>
      </c>
      <c r="C270" s="98" t="s">
        <v>357</v>
      </c>
      <c r="D270" s="113" t="s">
        <v>359</v>
      </c>
      <c r="E270" s="132">
        <v>1550.0</v>
      </c>
      <c r="F270" s="57">
        <v>1673.38</v>
      </c>
      <c r="G270" s="57">
        <v>1422.36</v>
      </c>
      <c r="H270" s="41">
        <f t="shared" si="19"/>
        <v>1548.58</v>
      </c>
      <c r="I270" s="49">
        <f t="shared" si="2"/>
        <v>0.1764813409</v>
      </c>
      <c r="J270" s="43">
        <f t="shared" ref="J270:J319" si="31">IF(ISERROR(MAX(E270:G270)/H270-1),"",(MAX(E270:G270)/H270-1))</f>
        <v>0.08058995983</v>
      </c>
      <c r="K270" s="58">
        <v>45925.0</v>
      </c>
      <c r="L270" s="50">
        <f t="shared" ref="L270:L407" si="32">EDATE(K270,6)</f>
        <v>46106</v>
      </c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5.75" customHeight="1">
      <c r="A271" s="9"/>
      <c r="B271" s="137">
        <v>1.00011313E8</v>
      </c>
      <c r="C271" s="98" t="s">
        <v>360</v>
      </c>
      <c r="D271" s="83"/>
      <c r="E271" s="132">
        <v>739.7</v>
      </c>
      <c r="F271" s="57">
        <v>799.9</v>
      </c>
      <c r="G271" s="57">
        <v>625.7</v>
      </c>
      <c r="H271" s="41">
        <f t="shared" si="19"/>
        <v>721.7666667</v>
      </c>
      <c r="I271" s="49">
        <f t="shared" si="2"/>
        <v>0.2784081828</v>
      </c>
      <c r="J271" s="43">
        <f t="shared" si="31"/>
        <v>0.108252898</v>
      </c>
      <c r="K271" s="58">
        <v>45925.0</v>
      </c>
      <c r="L271" s="50">
        <f t="shared" si="32"/>
        <v>46106</v>
      </c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5.75" customHeight="1">
      <c r="A272" s="9"/>
      <c r="B272" s="137">
        <v>1.00011724E8</v>
      </c>
      <c r="D272" s="83"/>
      <c r="E272" s="101">
        <v>593.84</v>
      </c>
      <c r="F272" s="54">
        <v>511.25</v>
      </c>
      <c r="G272" s="54">
        <v>583.22</v>
      </c>
      <c r="H272" s="41">
        <f t="shared" si="19"/>
        <v>562.77</v>
      </c>
      <c r="I272" s="49">
        <f t="shared" si="2"/>
        <v>0.1615452323</v>
      </c>
      <c r="J272" s="43">
        <f t="shared" si="31"/>
        <v>0.05520905521</v>
      </c>
      <c r="K272" s="58">
        <v>45925.0</v>
      </c>
      <c r="L272" s="50">
        <f t="shared" si="32"/>
        <v>46106</v>
      </c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20.25" customHeight="1">
      <c r="A273" s="9"/>
      <c r="B273" s="137">
        <v>1.00011987E8</v>
      </c>
      <c r="C273" s="98" t="s">
        <v>361</v>
      </c>
      <c r="D273" s="83"/>
      <c r="E273" s="101">
        <v>723.3</v>
      </c>
      <c r="F273" s="54">
        <v>694.73</v>
      </c>
      <c r="G273" s="54">
        <v>684.33</v>
      </c>
      <c r="H273" s="41">
        <f t="shared" si="19"/>
        <v>700.7866667</v>
      </c>
      <c r="I273" s="49">
        <f t="shared" si="2"/>
        <v>0.05694621016</v>
      </c>
      <c r="J273" s="43">
        <f t="shared" si="31"/>
        <v>0.03212580148</v>
      </c>
      <c r="K273" s="58">
        <v>45925.0</v>
      </c>
      <c r="L273" s="50">
        <f t="shared" si="32"/>
        <v>46106</v>
      </c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5.75" customHeight="1">
      <c r="A274" s="9"/>
      <c r="B274" s="137">
        <v>1.00011317E8</v>
      </c>
      <c r="C274" s="98" t="s">
        <v>362</v>
      </c>
      <c r="D274" s="83"/>
      <c r="E274" s="101">
        <v>5650.7</v>
      </c>
      <c r="F274" s="54">
        <v>5654.32</v>
      </c>
      <c r="G274" s="54">
        <v>6332.84</v>
      </c>
      <c r="H274" s="41">
        <f t="shared" si="19"/>
        <v>5879.286667</v>
      </c>
      <c r="I274" s="49">
        <f t="shared" si="2"/>
        <v>0.1207177872</v>
      </c>
      <c r="J274" s="43">
        <f t="shared" si="31"/>
        <v>0.07714427941</v>
      </c>
      <c r="K274" s="58">
        <v>45925.0</v>
      </c>
      <c r="L274" s="50">
        <f t="shared" si="32"/>
        <v>46106</v>
      </c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5.75" customHeight="1">
      <c r="A275" s="9"/>
      <c r="B275" s="137">
        <v>1.00011317E8</v>
      </c>
      <c r="C275" s="98" t="s">
        <v>363</v>
      </c>
      <c r="D275" s="83"/>
      <c r="E275" s="132">
        <v>281060.0</v>
      </c>
      <c r="F275" s="57">
        <v>195000.0</v>
      </c>
      <c r="G275" s="57">
        <v>299000.0</v>
      </c>
      <c r="H275" s="41">
        <f t="shared" si="19"/>
        <v>258353.3333</v>
      </c>
      <c r="I275" s="49">
        <f t="shared" si="2"/>
        <v>0.5333333333</v>
      </c>
      <c r="J275" s="43">
        <f t="shared" si="31"/>
        <v>0.1573297551</v>
      </c>
      <c r="K275" s="58">
        <v>45925.0</v>
      </c>
      <c r="L275" s="50">
        <f t="shared" si="32"/>
        <v>46106</v>
      </c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5.75" customHeight="1">
      <c r="A276" s="9"/>
      <c r="B276" s="137">
        <v>1.00011994E8</v>
      </c>
      <c r="C276" s="98" t="s">
        <v>210</v>
      </c>
      <c r="D276" s="128"/>
      <c r="E276" s="101">
        <v>251.23</v>
      </c>
      <c r="F276" s="54">
        <v>251.23</v>
      </c>
      <c r="G276" s="54">
        <v>243.22</v>
      </c>
      <c r="H276" s="41">
        <f t="shared" si="19"/>
        <v>248.56</v>
      </c>
      <c r="I276" s="49">
        <f t="shared" si="2"/>
        <v>0.03293314695</v>
      </c>
      <c r="J276" s="43">
        <f t="shared" si="31"/>
        <v>0.01074187319</v>
      </c>
      <c r="K276" s="58">
        <v>45926.0</v>
      </c>
      <c r="L276" s="50">
        <f t="shared" si="32"/>
        <v>46107</v>
      </c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15.75" customHeight="1">
      <c r="A277" s="9"/>
      <c r="B277" s="137">
        <v>1.0001225E8</v>
      </c>
      <c r="C277" s="98" t="s">
        <v>364</v>
      </c>
      <c r="D277" s="128"/>
      <c r="E277" s="101">
        <v>66.56</v>
      </c>
      <c r="F277" s="54">
        <v>79.9</v>
      </c>
      <c r="G277" s="54">
        <v>66.56</v>
      </c>
      <c r="H277" s="41">
        <f t="shared" si="19"/>
        <v>71.00666667</v>
      </c>
      <c r="I277" s="49">
        <f t="shared" si="2"/>
        <v>0.2004206731</v>
      </c>
      <c r="J277" s="43">
        <f t="shared" si="31"/>
        <v>0.1252464557</v>
      </c>
      <c r="K277" s="58">
        <v>45926.0</v>
      </c>
      <c r="L277" s="50">
        <f t="shared" si="32"/>
        <v>46107</v>
      </c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5.75" customHeight="1">
      <c r="A278" s="9"/>
      <c r="B278" s="137">
        <v>1.00012487E8</v>
      </c>
      <c r="C278" s="98" t="s">
        <v>365</v>
      </c>
      <c r="D278" s="126"/>
      <c r="E278" s="132">
        <v>855.99</v>
      </c>
      <c r="F278" s="57">
        <v>959.0</v>
      </c>
      <c r="G278" s="57">
        <v>754.9</v>
      </c>
      <c r="H278" s="41">
        <f t="shared" si="19"/>
        <v>856.63</v>
      </c>
      <c r="I278" s="49">
        <f t="shared" si="2"/>
        <v>0.270366936</v>
      </c>
      <c r="J278" s="43">
        <f t="shared" si="31"/>
        <v>0.1195031694</v>
      </c>
      <c r="K278" s="58">
        <v>56883.0</v>
      </c>
      <c r="L278" s="50">
        <f t="shared" si="32"/>
        <v>57065</v>
      </c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5.75" customHeight="1">
      <c r="A279" s="9"/>
      <c r="B279" s="137">
        <v>1.00012613E8</v>
      </c>
      <c r="C279" s="98" t="s">
        <v>366</v>
      </c>
      <c r="D279" s="83"/>
      <c r="E279" s="101">
        <v>665.56</v>
      </c>
      <c r="F279" s="54">
        <v>697.99</v>
      </c>
      <c r="G279" s="54">
        <v>750.0</v>
      </c>
      <c r="H279" s="41">
        <f t="shared" si="19"/>
        <v>704.5166667</v>
      </c>
      <c r="I279" s="49">
        <f t="shared" si="2"/>
        <v>0.1268706052</v>
      </c>
      <c r="J279" s="43">
        <f t="shared" si="31"/>
        <v>0.06455962717</v>
      </c>
      <c r="K279" s="58">
        <v>56883.0</v>
      </c>
      <c r="L279" s="50">
        <f t="shared" si="32"/>
        <v>57065</v>
      </c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5.75" customHeight="1">
      <c r="A280" s="9"/>
      <c r="B280" s="137">
        <v>1.00012775E8</v>
      </c>
      <c r="C280" s="98" t="s">
        <v>367</v>
      </c>
      <c r="D280" s="83"/>
      <c r="E280" s="101">
        <v>1747.0</v>
      </c>
      <c r="F280" s="54">
        <v>1390.0</v>
      </c>
      <c r="G280" s="54">
        <v>1547.14</v>
      </c>
      <c r="H280" s="41">
        <f t="shared" si="19"/>
        <v>1561.38</v>
      </c>
      <c r="I280" s="49">
        <f t="shared" si="2"/>
        <v>0.2568345324</v>
      </c>
      <c r="J280" s="43">
        <f t="shared" si="31"/>
        <v>0.1188820146</v>
      </c>
      <c r="K280" s="58">
        <v>56883.0</v>
      </c>
      <c r="L280" s="50">
        <f t="shared" si="32"/>
        <v>57065</v>
      </c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5.75" customHeight="1">
      <c r="A281" s="9"/>
      <c r="B281" s="137">
        <v>1.00012603E8</v>
      </c>
      <c r="C281" s="98" t="s">
        <v>368</v>
      </c>
      <c r="D281" s="83"/>
      <c r="E281" s="101">
        <v>1978.0</v>
      </c>
      <c r="F281" s="54">
        <v>2297.66</v>
      </c>
      <c r="G281" s="54">
        <v>2118.93</v>
      </c>
      <c r="H281" s="41">
        <f t="shared" si="19"/>
        <v>2131.53</v>
      </c>
      <c r="I281" s="49">
        <f t="shared" si="2"/>
        <v>0.1616076845</v>
      </c>
      <c r="J281" s="43">
        <f t="shared" si="31"/>
        <v>0.07793932058</v>
      </c>
      <c r="K281" s="58">
        <v>56883.0</v>
      </c>
      <c r="L281" s="50">
        <f t="shared" si="32"/>
        <v>57065</v>
      </c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7.25" customHeight="1">
      <c r="A282" s="9"/>
      <c r="B282" s="137">
        <v>1.00012887E8</v>
      </c>
      <c r="C282" s="98" t="s">
        <v>369</v>
      </c>
      <c r="D282" s="83"/>
      <c r="E282" s="101">
        <v>433.22</v>
      </c>
      <c r="F282" s="54">
        <v>474.27</v>
      </c>
      <c r="G282" s="54">
        <v>515.64</v>
      </c>
      <c r="H282" s="41">
        <f t="shared" si="19"/>
        <v>474.3766667</v>
      </c>
      <c r="I282" s="49">
        <f t="shared" si="2"/>
        <v>0.1902497576</v>
      </c>
      <c r="J282" s="43">
        <f t="shared" si="31"/>
        <v>0.08698432329</v>
      </c>
      <c r="K282" s="58">
        <v>56883.0</v>
      </c>
      <c r="L282" s="50">
        <f t="shared" si="32"/>
        <v>57065</v>
      </c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5.75" customHeight="1">
      <c r="A283" s="9"/>
      <c r="B283" s="137">
        <v>1.0001266E8</v>
      </c>
      <c r="C283" s="98" t="s">
        <v>370</v>
      </c>
      <c r="D283" s="83"/>
      <c r="E283" s="101">
        <v>53645.29</v>
      </c>
      <c r="F283" s="54">
        <v>47866.93</v>
      </c>
      <c r="G283" s="54">
        <v>47897.58</v>
      </c>
      <c r="H283" s="41">
        <f t="shared" si="19"/>
        <v>49803.26667</v>
      </c>
      <c r="I283" s="49">
        <f t="shared" si="2"/>
        <v>0.1207171632</v>
      </c>
      <c r="J283" s="43">
        <f t="shared" si="31"/>
        <v>0.0771440026</v>
      </c>
      <c r="K283" s="58">
        <v>45926.0</v>
      </c>
      <c r="L283" s="45">
        <f t="shared" si="32"/>
        <v>46107</v>
      </c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5.75" customHeight="1">
      <c r="A284" s="9"/>
      <c r="B284" s="137">
        <v>1.00012784E8</v>
      </c>
      <c r="C284" s="98" t="s">
        <v>371</v>
      </c>
      <c r="D284" s="83"/>
      <c r="E284" s="101">
        <v>69195.0</v>
      </c>
      <c r="F284" s="54">
        <v>69990.0</v>
      </c>
      <c r="G284" s="54">
        <v>61770.1</v>
      </c>
      <c r="H284" s="41">
        <f t="shared" si="19"/>
        <v>66985.03333</v>
      </c>
      <c r="I284" s="49">
        <f t="shared" si="2"/>
        <v>0.1330724736</v>
      </c>
      <c r="J284" s="43">
        <f t="shared" si="31"/>
        <v>0.04486026978</v>
      </c>
      <c r="K284" s="58">
        <v>45926.0</v>
      </c>
      <c r="L284" s="45">
        <f t="shared" si="32"/>
        <v>46107</v>
      </c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5.75" customHeight="1">
      <c r="A285" s="9"/>
      <c r="B285" s="137">
        <v>1.00012888E8</v>
      </c>
      <c r="C285" s="98" t="s">
        <v>372</v>
      </c>
      <c r="D285" s="83"/>
      <c r="E285" s="132">
        <v>1379.0</v>
      </c>
      <c r="F285" s="57">
        <v>1777.67</v>
      </c>
      <c r="G285" s="57">
        <v>1399.0</v>
      </c>
      <c r="H285" s="41">
        <f t="shared" si="19"/>
        <v>1518.556667</v>
      </c>
      <c r="I285" s="49">
        <f t="shared" si="2"/>
        <v>0.2891007977</v>
      </c>
      <c r="J285" s="43">
        <f t="shared" si="31"/>
        <v>0.1706313232</v>
      </c>
      <c r="K285" s="58">
        <v>45926.0</v>
      </c>
      <c r="L285" s="50">
        <f t="shared" si="32"/>
        <v>46107</v>
      </c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5.75" customHeight="1">
      <c r="A286" s="9"/>
      <c r="B286" s="137">
        <v>1.00012891E8</v>
      </c>
      <c r="C286" s="98" t="s">
        <v>373</v>
      </c>
      <c r="D286" s="83"/>
      <c r="E286" s="101">
        <v>292.45</v>
      </c>
      <c r="F286" s="54">
        <v>246.54</v>
      </c>
      <c r="G286" s="54">
        <v>293.9</v>
      </c>
      <c r="H286" s="41">
        <f t="shared" si="19"/>
        <v>277.63</v>
      </c>
      <c r="I286" s="49">
        <f t="shared" si="2"/>
        <v>0.1920986453</v>
      </c>
      <c r="J286" s="43">
        <f t="shared" si="31"/>
        <v>0.05860317689</v>
      </c>
      <c r="K286" s="58">
        <v>45926.0</v>
      </c>
      <c r="L286" s="50">
        <f t="shared" si="32"/>
        <v>46107</v>
      </c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5.75" customHeight="1">
      <c r="A287" s="9"/>
      <c r="B287" s="137">
        <v>1.00010805E8</v>
      </c>
      <c r="C287" s="98" t="s">
        <v>374</v>
      </c>
      <c r="D287" s="83"/>
      <c r="E287" s="132">
        <v>257.22</v>
      </c>
      <c r="F287" s="57">
        <v>295.34</v>
      </c>
      <c r="G287" s="57">
        <v>269.0</v>
      </c>
      <c r="H287" s="41">
        <f t="shared" si="19"/>
        <v>273.8533333</v>
      </c>
      <c r="I287" s="49">
        <f t="shared" si="2"/>
        <v>0.1481999844</v>
      </c>
      <c r="J287" s="43">
        <f t="shared" si="31"/>
        <v>0.0784604898</v>
      </c>
      <c r="K287" s="58">
        <v>45926.0</v>
      </c>
      <c r="L287" s="50">
        <f t="shared" si="32"/>
        <v>46107</v>
      </c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5.75" customHeight="1">
      <c r="A288" s="9"/>
      <c r="B288" s="137">
        <v>1.00012893E8</v>
      </c>
      <c r="C288" s="98" t="s">
        <v>375</v>
      </c>
      <c r="D288" s="83"/>
      <c r="E288" s="132">
        <v>939.0</v>
      </c>
      <c r="F288" s="57">
        <v>909.99</v>
      </c>
      <c r="G288" s="57">
        <v>1017.0</v>
      </c>
      <c r="H288" s="41">
        <f t="shared" si="19"/>
        <v>955.33</v>
      </c>
      <c r="I288" s="49">
        <f t="shared" si="2"/>
        <v>0.1175946988</v>
      </c>
      <c r="J288" s="43">
        <f t="shared" si="31"/>
        <v>0.06455360975</v>
      </c>
      <c r="K288" s="58">
        <v>45929.0</v>
      </c>
      <c r="L288" s="50">
        <f t="shared" si="32"/>
        <v>46110</v>
      </c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5.75" customHeight="1">
      <c r="A289" s="9"/>
      <c r="B289" s="137">
        <v>1.00012902E8</v>
      </c>
      <c r="C289" s="98" t="s">
        <v>376</v>
      </c>
      <c r="D289" s="83"/>
      <c r="E289" s="57">
        <v>4398.91</v>
      </c>
      <c r="F289" s="174">
        <v>4999.9</v>
      </c>
      <c r="G289" s="57">
        <v>5110.0</v>
      </c>
      <c r="H289" s="41">
        <f t="shared" si="19"/>
        <v>4836.27</v>
      </c>
      <c r="I289" s="49">
        <f t="shared" si="2"/>
        <v>0.1616514091</v>
      </c>
      <c r="J289" s="43">
        <f t="shared" si="31"/>
        <v>0.05659940409</v>
      </c>
      <c r="K289" s="58">
        <v>45929.0</v>
      </c>
      <c r="L289" s="50">
        <f t="shared" si="32"/>
        <v>46110</v>
      </c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7.25" customHeight="1">
      <c r="A290" s="9"/>
      <c r="B290" s="137">
        <v>1.00012903E8</v>
      </c>
      <c r="C290" s="98" t="s">
        <v>377</v>
      </c>
      <c r="D290" s="126"/>
      <c r="E290" s="132">
        <v>509.57</v>
      </c>
      <c r="F290" s="57">
        <v>479.0</v>
      </c>
      <c r="G290" s="57">
        <v>479.0</v>
      </c>
      <c r="H290" s="41">
        <f t="shared" si="19"/>
        <v>489.19</v>
      </c>
      <c r="I290" s="49">
        <f t="shared" si="2"/>
        <v>0.06382045929</v>
      </c>
      <c r="J290" s="43">
        <f t="shared" si="31"/>
        <v>0.04166070443</v>
      </c>
      <c r="K290" s="58">
        <v>45929.0</v>
      </c>
      <c r="L290" s="50">
        <f t="shared" si="32"/>
        <v>46110</v>
      </c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6.5" customHeight="1">
      <c r="A291" s="9"/>
      <c r="B291" s="137">
        <v>1.00012895E8</v>
      </c>
      <c r="C291" s="98" t="s">
        <v>378</v>
      </c>
      <c r="D291" s="83"/>
      <c r="E291" s="132">
        <v>293.69</v>
      </c>
      <c r="F291" s="57">
        <v>278.78</v>
      </c>
      <c r="G291" s="57">
        <v>250.6</v>
      </c>
      <c r="H291" s="41">
        <f t="shared" si="19"/>
        <v>274.3566667</v>
      </c>
      <c r="I291" s="49">
        <f t="shared" si="2"/>
        <v>0.1719473264</v>
      </c>
      <c r="J291" s="43">
        <f t="shared" si="31"/>
        <v>0.07046788244</v>
      </c>
      <c r="K291" s="58">
        <v>45929.0</v>
      </c>
      <c r="L291" s="50">
        <f t="shared" si="32"/>
        <v>46110</v>
      </c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5.75" customHeight="1">
      <c r="A292" s="9"/>
      <c r="B292" s="137">
        <v>1.00010837E8</v>
      </c>
      <c r="C292" s="98" t="s">
        <v>379</v>
      </c>
      <c r="D292" s="83"/>
      <c r="E292" s="132">
        <v>299.95</v>
      </c>
      <c r="F292" s="57">
        <v>321.16</v>
      </c>
      <c r="G292" s="57">
        <v>299.0</v>
      </c>
      <c r="H292" s="41">
        <f t="shared" si="19"/>
        <v>306.7033333</v>
      </c>
      <c r="I292" s="49">
        <f t="shared" si="2"/>
        <v>0.07411371237</v>
      </c>
      <c r="J292" s="43">
        <f t="shared" si="31"/>
        <v>0.04713566856</v>
      </c>
      <c r="K292" s="58">
        <v>45929.0</v>
      </c>
      <c r="L292" s="50">
        <f t="shared" si="32"/>
        <v>46110</v>
      </c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20.25" customHeight="1">
      <c r="A293" s="9"/>
      <c r="B293" s="137">
        <v>1.00010861E8</v>
      </c>
      <c r="C293" s="98" t="s">
        <v>380</v>
      </c>
      <c r="D293" s="113" t="s">
        <v>381</v>
      </c>
      <c r="E293" s="132">
        <v>7221.11</v>
      </c>
      <c r="F293" s="57">
        <v>7959.9</v>
      </c>
      <c r="G293" s="57">
        <v>7454.44</v>
      </c>
      <c r="H293" s="41">
        <f t="shared" si="19"/>
        <v>7545.15</v>
      </c>
      <c r="I293" s="49">
        <f t="shared" si="2"/>
        <v>0.1023097557</v>
      </c>
      <c r="J293" s="43">
        <f t="shared" si="31"/>
        <v>0.0549690861</v>
      </c>
      <c r="K293" s="58">
        <v>45930.0</v>
      </c>
      <c r="L293" s="50">
        <f t="shared" si="32"/>
        <v>46111</v>
      </c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8.75" customHeight="1">
      <c r="A294" s="9"/>
      <c r="B294" s="137">
        <v>1.00010861E8</v>
      </c>
      <c r="C294" s="98" t="s">
        <v>382</v>
      </c>
      <c r="D294" s="113" t="s">
        <v>383</v>
      </c>
      <c r="E294" s="101">
        <v>2349.0</v>
      </c>
      <c r="F294" s="54">
        <v>1946.32</v>
      </c>
      <c r="G294" s="54">
        <v>2110.0</v>
      </c>
      <c r="H294" s="41">
        <f t="shared" si="19"/>
        <v>2135.106667</v>
      </c>
      <c r="I294" s="49">
        <f t="shared" si="2"/>
        <v>0.2068930083</v>
      </c>
      <c r="J294" s="43">
        <f t="shared" si="31"/>
        <v>0.100179226</v>
      </c>
      <c r="K294" s="58">
        <v>45930.0</v>
      </c>
      <c r="L294" s="50">
        <f t="shared" si="32"/>
        <v>46111</v>
      </c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9.5" customHeight="1">
      <c r="A295" s="9"/>
      <c r="B295" s="137">
        <v>1.00010861E8</v>
      </c>
      <c r="C295" s="98" t="s">
        <v>384</v>
      </c>
      <c r="D295" s="113" t="s">
        <v>385</v>
      </c>
      <c r="E295" s="132">
        <v>2389.0</v>
      </c>
      <c r="F295" s="57">
        <v>2399.0</v>
      </c>
      <c r="G295" s="57">
        <v>2421.11</v>
      </c>
      <c r="H295" s="41">
        <f t="shared" si="19"/>
        <v>2403.036667</v>
      </c>
      <c r="I295" s="49">
        <f t="shared" si="2"/>
        <v>0.0134407702</v>
      </c>
      <c r="J295" s="43">
        <f t="shared" si="31"/>
        <v>0.007521039352</v>
      </c>
      <c r="K295" s="58">
        <v>45930.0</v>
      </c>
      <c r="L295" s="50">
        <f t="shared" si="32"/>
        <v>46111</v>
      </c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6.5" customHeight="1">
      <c r="A296" s="9"/>
      <c r="B296" s="97">
        <v>1.00010864E8</v>
      </c>
      <c r="C296" s="98" t="s">
        <v>386</v>
      </c>
      <c r="D296" s="83"/>
      <c r="E296" s="101">
        <v>3499.0</v>
      </c>
      <c r="F296" s="54">
        <v>2999.9</v>
      </c>
      <c r="G296" s="54">
        <v>3470.903</v>
      </c>
      <c r="H296" s="41">
        <f t="shared" si="19"/>
        <v>3323.267667</v>
      </c>
      <c r="I296" s="49">
        <f t="shared" si="2"/>
        <v>0.1663722124</v>
      </c>
      <c r="J296" s="43">
        <f t="shared" si="31"/>
        <v>0.05287937986</v>
      </c>
      <c r="K296" s="58">
        <v>45930.0</v>
      </c>
      <c r="L296" s="50">
        <f t="shared" si="32"/>
        <v>46111</v>
      </c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15.75" customHeight="1">
      <c r="A297" s="9"/>
      <c r="B297" s="137">
        <v>1.00002303E8</v>
      </c>
      <c r="C297" s="98" t="s">
        <v>387</v>
      </c>
      <c r="D297" s="83"/>
      <c r="E297" s="132">
        <v>49.9</v>
      </c>
      <c r="F297" s="132">
        <v>49.9</v>
      </c>
      <c r="G297" s="132">
        <v>49.9</v>
      </c>
      <c r="H297" s="41">
        <f t="shared" si="19"/>
        <v>49.9</v>
      </c>
      <c r="I297" s="49">
        <f t="shared" si="2"/>
        <v>0</v>
      </c>
      <c r="J297" s="43">
        <f t="shared" si="31"/>
        <v>0</v>
      </c>
      <c r="K297" s="58">
        <v>45930.0</v>
      </c>
      <c r="L297" s="50">
        <f t="shared" si="32"/>
        <v>46111</v>
      </c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5.75" customHeight="1">
      <c r="A298" s="9"/>
      <c r="B298" s="137">
        <v>1.00010395E8</v>
      </c>
      <c r="C298" s="98" t="s">
        <v>388</v>
      </c>
      <c r="D298" s="113" t="s">
        <v>389</v>
      </c>
      <c r="E298" s="132">
        <v>1499.9</v>
      </c>
      <c r="F298" s="57">
        <v>1690.0</v>
      </c>
      <c r="G298" s="57">
        <v>1375.89</v>
      </c>
      <c r="H298" s="41">
        <f t="shared" si="19"/>
        <v>1521.93</v>
      </c>
      <c r="I298" s="49">
        <f t="shared" si="2"/>
        <v>0.2282958667</v>
      </c>
      <c r="J298" s="43">
        <f t="shared" si="31"/>
        <v>0.1104321487</v>
      </c>
      <c r="K298" s="58">
        <v>45930.0</v>
      </c>
      <c r="L298" s="50">
        <f t="shared" si="32"/>
        <v>46111</v>
      </c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5.75" customHeight="1">
      <c r="A299" s="9"/>
      <c r="B299" s="137">
        <v>1.00010395E8</v>
      </c>
      <c r="C299" s="98" t="s">
        <v>390</v>
      </c>
      <c r="D299" s="113" t="s">
        <v>391</v>
      </c>
      <c r="E299" s="101">
        <v>1999.0</v>
      </c>
      <c r="F299" s="54">
        <v>2431.35</v>
      </c>
      <c r="G299" s="54">
        <v>1999.0</v>
      </c>
      <c r="H299" s="41">
        <f t="shared" si="19"/>
        <v>2143.116667</v>
      </c>
      <c r="I299" s="49">
        <f t="shared" si="2"/>
        <v>0.2162831416</v>
      </c>
      <c r="J299" s="43">
        <f t="shared" si="31"/>
        <v>0.1344926003</v>
      </c>
      <c r="K299" s="58">
        <v>45930.0</v>
      </c>
      <c r="L299" s="50">
        <f t="shared" si="32"/>
        <v>46111</v>
      </c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5.75" customHeight="1">
      <c r="A300" s="9"/>
      <c r="B300" s="137">
        <v>1.00010395E8</v>
      </c>
      <c r="C300" s="98" t="s">
        <v>392</v>
      </c>
      <c r="D300" s="175" t="s">
        <v>393</v>
      </c>
      <c r="E300" s="101">
        <v>13999.0</v>
      </c>
      <c r="F300" s="54">
        <v>12759.0</v>
      </c>
      <c r="G300" s="54">
        <v>13999.0</v>
      </c>
      <c r="H300" s="41">
        <f t="shared" si="19"/>
        <v>13585.66667</v>
      </c>
      <c r="I300" s="49">
        <f t="shared" si="2"/>
        <v>0.09718629987</v>
      </c>
      <c r="J300" s="43">
        <f t="shared" si="31"/>
        <v>0.03042422161</v>
      </c>
      <c r="K300" s="58">
        <v>45930.0</v>
      </c>
      <c r="L300" s="50">
        <f t="shared" si="32"/>
        <v>46111</v>
      </c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5.75" customHeight="1">
      <c r="A301" s="9"/>
      <c r="B301" s="137">
        <v>1.00010395E8</v>
      </c>
      <c r="C301" s="98" t="s">
        <v>394</v>
      </c>
      <c r="D301" s="175" t="s">
        <v>395</v>
      </c>
      <c r="E301" s="101">
        <v>1764.08</v>
      </c>
      <c r="F301" s="54">
        <v>2199.0</v>
      </c>
      <c r="G301" s="54">
        <v>1849.55</v>
      </c>
      <c r="H301" s="41">
        <f t="shared" si="19"/>
        <v>1937.543333</v>
      </c>
      <c r="I301" s="49">
        <f t="shared" si="2"/>
        <v>0.2465421069</v>
      </c>
      <c r="J301" s="43">
        <f t="shared" si="31"/>
        <v>0.1349423583</v>
      </c>
      <c r="K301" s="58">
        <v>45930.0</v>
      </c>
      <c r="L301" s="50">
        <f t="shared" si="32"/>
        <v>46111</v>
      </c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5.75" customHeight="1">
      <c r="A302" s="9"/>
      <c r="B302" s="137">
        <v>1.00010395E8</v>
      </c>
      <c r="C302" s="98" t="s">
        <v>396</v>
      </c>
      <c r="D302" s="113" t="s">
        <v>397</v>
      </c>
      <c r="E302" s="101">
        <v>12600.0</v>
      </c>
      <c r="F302" s="54">
        <v>12467.0</v>
      </c>
      <c r="G302" s="54">
        <v>13700.0</v>
      </c>
      <c r="H302" s="41">
        <f t="shared" si="19"/>
        <v>12922.33333</v>
      </c>
      <c r="I302" s="49">
        <f t="shared" si="2"/>
        <v>0.0989010989</v>
      </c>
      <c r="J302" s="43">
        <f t="shared" si="31"/>
        <v>0.06018005004</v>
      </c>
      <c r="K302" s="58">
        <v>45930.0</v>
      </c>
      <c r="L302" s="50">
        <f t="shared" si="32"/>
        <v>46111</v>
      </c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5.75" customHeight="1">
      <c r="A303" s="9"/>
      <c r="B303" s="137">
        <v>1.00010395E8</v>
      </c>
      <c r="C303" s="98" t="s">
        <v>398</v>
      </c>
      <c r="D303" s="113" t="s">
        <v>399</v>
      </c>
      <c r="E303" s="132" t="s">
        <v>400</v>
      </c>
      <c r="F303" s="57">
        <v>2750.0</v>
      </c>
      <c r="G303" s="57">
        <v>2190.0</v>
      </c>
      <c r="H303" s="41">
        <f t="shared" si="19"/>
        <v>1646.666667</v>
      </c>
      <c r="I303" s="49">
        <f t="shared" si="2"/>
        <v>0.2557077626</v>
      </c>
      <c r="J303" s="43">
        <f t="shared" si="31"/>
        <v>0.6700404858</v>
      </c>
      <c r="K303" s="58">
        <v>45930.0</v>
      </c>
      <c r="L303" s="50">
        <f t="shared" si="32"/>
        <v>46111</v>
      </c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5.75" customHeight="1">
      <c r="A304" s="9"/>
      <c r="B304" s="137">
        <v>1.00010395E8</v>
      </c>
      <c r="C304" s="98" t="s">
        <v>401</v>
      </c>
      <c r="D304" s="113" t="s">
        <v>402</v>
      </c>
      <c r="E304" s="132">
        <v>4986.0</v>
      </c>
      <c r="F304" s="132">
        <v>4699.0</v>
      </c>
      <c r="G304" s="57">
        <v>4999.0</v>
      </c>
      <c r="H304" s="41">
        <f t="shared" si="19"/>
        <v>4894.666667</v>
      </c>
      <c r="I304" s="49">
        <f t="shared" si="2"/>
        <v>0.06384337093</v>
      </c>
      <c r="J304" s="43">
        <f t="shared" si="31"/>
        <v>0.02131571779</v>
      </c>
      <c r="K304" s="58">
        <v>45930.0</v>
      </c>
      <c r="L304" s="50">
        <f t="shared" si="32"/>
        <v>46111</v>
      </c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21.0" customHeight="1">
      <c r="A305" s="9"/>
      <c r="B305" s="97">
        <v>1.00012272E8</v>
      </c>
      <c r="C305" s="98" t="s">
        <v>403</v>
      </c>
      <c r="D305" s="83"/>
      <c r="E305" s="101">
        <v>469.79</v>
      </c>
      <c r="F305" s="54">
        <v>427.2</v>
      </c>
      <c r="G305" s="54">
        <v>444.33</v>
      </c>
      <c r="H305" s="41">
        <f t="shared" si="19"/>
        <v>447.1066667</v>
      </c>
      <c r="I305" s="49">
        <f t="shared" si="2"/>
        <v>0.09969569288</v>
      </c>
      <c r="J305" s="43">
        <f t="shared" si="31"/>
        <v>0.0507336057</v>
      </c>
      <c r="K305" s="58">
        <v>45973.0</v>
      </c>
      <c r="L305" s="50">
        <f t="shared" si="32"/>
        <v>46154</v>
      </c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24.0" customHeight="1">
      <c r="A306" s="9"/>
      <c r="B306" s="97">
        <v>1.00012612E8</v>
      </c>
      <c r="C306" s="98" t="s">
        <v>404</v>
      </c>
      <c r="D306" s="83"/>
      <c r="E306" s="132">
        <v>315.0</v>
      </c>
      <c r="F306" s="57">
        <v>393.51</v>
      </c>
      <c r="G306" s="57">
        <v>310.0</v>
      </c>
      <c r="H306" s="41">
        <f t="shared" si="19"/>
        <v>339.5033333</v>
      </c>
      <c r="I306" s="49">
        <f t="shared" si="2"/>
        <v>0.2693870968</v>
      </c>
      <c r="J306" s="43">
        <f t="shared" si="31"/>
        <v>0.1590755123</v>
      </c>
      <c r="K306" s="58">
        <v>45973.0</v>
      </c>
      <c r="L306" s="50">
        <f t="shared" si="32"/>
        <v>46154</v>
      </c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5.75" customHeight="1">
      <c r="A307" s="9"/>
      <c r="B307" s="97">
        <v>1.00012639E8</v>
      </c>
      <c r="C307" s="98" t="s">
        <v>405</v>
      </c>
      <c r="D307" s="128"/>
      <c r="E307" s="101">
        <v>3163.6</v>
      </c>
      <c r="F307" s="54">
        <v>2482.7</v>
      </c>
      <c r="G307" s="54">
        <v>2118.6</v>
      </c>
      <c r="H307" s="41">
        <f t="shared" si="19"/>
        <v>2588.3</v>
      </c>
      <c r="I307" s="49">
        <f t="shared" si="2"/>
        <v>0.4932502596</v>
      </c>
      <c r="J307" s="43">
        <f t="shared" si="31"/>
        <v>0.2222694433</v>
      </c>
      <c r="K307" s="58">
        <v>45930.0</v>
      </c>
      <c r="L307" s="50">
        <f t="shared" si="32"/>
        <v>46111</v>
      </c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22.5" customHeight="1">
      <c r="A308" s="9"/>
      <c r="B308" s="97">
        <v>1.00012741E8</v>
      </c>
      <c r="C308" s="98" t="s">
        <v>406</v>
      </c>
      <c r="D308" s="83"/>
      <c r="E308" s="132">
        <v>449.62</v>
      </c>
      <c r="F308" s="57">
        <v>519.35</v>
      </c>
      <c r="G308" s="57">
        <v>426.9</v>
      </c>
      <c r="H308" s="41">
        <f t="shared" si="19"/>
        <v>465.29</v>
      </c>
      <c r="I308" s="49">
        <f t="shared" si="2"/>
        <v>0.2165612556</v>
      </c>
      <c r="J308" s="43">
        <f t="shared" si="31"/>
        <v>0.1161856047</v>
      </c>
      <c r="K308" s="58">
        <v>45973.0</v>
      </c>
      <c r="L308" s="50">
        <f t="shared" si="32"/>
        <v>46154</v>
      </c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15.75" customHeight="1">
      <c r="A309" s="9"/>
      <c r="B309" s="97">
        <v>1.00012824E8</v>
      </c>
      <c r="C309" s="98" t="s">
        <v>407</v>
      </c>
      <c r="D309" s="113" t="s">
        <v>408</v>
      </c>
      <c r="E309" s="132">
        <v>3722.34</v>
      </c>
      <c r="F309" s="57">
        <v>3609.05</v>
      </c>
      <c r="G309" s="57">
        <v>3799.0</v>
      </c>
      <c r="H309" s="41">
        <f t="shared" si="19"/>
        <v>3710.13</v>
      </c>
      <c r="I309" s="49">
        <f t="shared" si="2"/>
        <v>0.05263157895</v>
      </c>
      <c r="J309" s="43">
        <f t="shared" si="31"/>
        <v>0.02395333856</v>
      </c>
      <c r="K309" s="58">
        <v>45930.0</v>
      </c>
      <c r="L309" s="50">
        <f t="shared" si="32"/>
        <v>46111</v>
      </c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15.75" customHeight="1">
      <c r="A310" s="9"/>
      <c r="B310" s="97">
        <v>1.00012824E8</v>
      </c>
      <c r="C310" s="98" t="s">
        <v>407</v>
      </c>
      <c r="D310" s="113" t="s">
        <v>409</v>
      </c>
      <c r="E310" s="101">
        <v>12699.0</v>
      </c>
      <c r="F310" s="54">
        <v>12234.09</v>
      </c>
      <c r="G310" s="57">
        <v>11110.0</v>
      </c>
      <c r="H310" s="41">
        <f t="shared" si="19"/>
        <v>12014.36333</v>
      </c>
      <c r="I310" s="49">
        <f t="shared" si="2"/>
        <v>0.1430243024</v>
      </c>
      <c r="J310" s="43">
        <f t="shared" si="31"/>
        <v>0.05698484786</v>
      </c>
      <c r="K310" s="58">
        <v>45930.0</v>
      </c>
      <c r="L310" s="50">
        <f t="shared" si="32"/>
        <v>46111</v>
      </c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5.75" customHeight="1">
      <c r="A311" s="9"/>
      <c r="B311" s="68">
        <v>1.0000227E8</v>
      </c>
      <c r="C311" s="176" t="s">
        <v>410</v>
      </c>
      <c r="D311" s="84"/>
      <c r="E311" s="177">
        <v>289.0</v>
      </c>
      <c r="F311" s="178">
        <v>237.9</v>
      </c>
      <c r="G311" s="178">
        <v>268.44</v>
      </c>
      <c r="H311" s="73">
        <f t="shared" si="19"/>
        <v>265.1133333</v>
      </c>
      <c r="I311" s="74">
        <f t="shared" si="2"/>
        <v>0.2147961328</v>
      </c>
      <c r="J311" s="75">
        <f t="shared" si="31"/>
        <v>0.09009983152</v>
      </c>
      <c r="K311" s="76">
        <v>45930.0</v>
      </c>
      <c r="L311" s="77">
        <f t="shared" si="32"/>
        <v>46111</v>
      </c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20.25" customHeight="1">
      <c r="A312" s="9"/>
      <c r="B312" s="137">
        <v>1.00012833E8</v>
      </c>
      <c r="C312" s="98" t="s">
        <v>411</v>
      </c>
      <c r="D312" s="83"/>
      <c r="E312" s="132">
        <v>2199.9</v>
      </c>
      <c r="F312" s="57">
        <v>2356.74</v>
      </c>
      <c r="G312" s="57">
        <v>2399.0</v>
      </c>
      <c r="H312" s="41">
        <f t="shared" si="19"/>
        <v>2318.546667</v>
      </c>
      <c r="I312" s="49">
        <f t="shared" si="2"/>
        <v>0.09050411382</v>
      </c>
      <c r="J312" s="43">
        <f t="shared" si="31"/>
        <v>0.03469989821</v>
      </c>
      <c r="K312" s="58">
        <v>45972.0</v>
      </c>
      <c r="L312" s="50">
        <f t="shared" si="32"/>
        <v>46153</v>
      </c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5.75" customHeight="1">
      <c r="A313" s="9"/>
      <c r="B313" s="137">
        <v>1.00012742E8</v>
      </c>
      <c r="C313" s="98" t="s">
        <v>412</v>
      </c>
      <c r="D313" s="83"/>
      <c r="E313" s="132">
        <v>2909.36</v>
      </c>
      <c r="F313" s="57">
        <v>3599.0</v>
      </c>
      <c r="G313" s="57">
        <v>3181.27</v>
      </c>
      <c r="H313" s="41">
        <f t="shared" si="19"/>
        <v>3229.876667</v>
      </c>
      <c r="I313" s="49">
        <f t="shared" si="2"/>
        <v>0.2370418236</v>
      </c>
      <c r="J313" s="43">
        <f t="shared" si="31"/>
        <v>0.1142840335</v>
      </c>
      <c r="K313" s="58">
        <v>45973.0</v>
      </c>
      <c r="L313" s="50">
        <f t="shared" si="32"/>
        <v>46154</v>
      </c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27.0" customHeight="1">
      <c r="A314" s="9"/>
      <c r="B314" s="137">
        <v>1.00012747E8</v>
      </c>
      <c r="C314" s="179" t="s">
        <v>413</v>
      </c>
      <c r="D314" s="83"/>
      <c r="E314" s="132">
        <v>1377.35</v>
      </c>
      <c r="F314" s="57">
        <v>1699.0</v>
      </c>
      <c r="G314" s="57">
        <v>1596.4</v>
      </c>
      <c r="H314" s="41">
        <f t="shared" si="19"/>
        <v>1557.583333</v>
      </c>
      <c r="I314" s="49">
        <f t="shared" si="2"/>
        <v>0.2335281519</v>
      </c>
      <c r="J314" s="43">
        <f t="shared" si="31"/>
        <v>0.09079235996</v>
      </c>
      <c r="K314" s="58">
        <v>45931.0</v>
      </c>
      <c r="L314" s="50">
        <f t="shared" si="32"/>
        <v>46113</v>
      </c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5.75" customHeight="1">
      <c r="A315" s="9"/>
      <c r="B315" s="137">
        <v>1.00010112E8</v>
      </c>
      <c r="C315" s="98" t="s">
        <v>414</v>
      </c>
      <c r="D315" s="83"/>
      <c r="E315" s="132">
        <v>144.52</v>
      </c>
      <c r="F315" s="57">
        <v>129.0</v>
      </c>
      <c r="G315" s="57">
        <v>149.9</v>
      </c>
      <c r="H315" s="41">
        <f t="shared" si="19"/>
        <v>141.14</v>
      </c>
      <c r="I315" s="49">
        <f t="shared" si="2"/>
        <v>0.1620155039</v>
      </c>
      <c r="J315" s="43">
        <f t="shared" si="31"/>
        <v>0.06206603373</v>
      </c>
      <c r="K315" s="58">
        <v>45931.0</v>
      </c>
      <c r="L315" s="50">
        <f t="shared" si="32"/>
        <v>46113</v>
      </c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15.75" customHeight="1">
      <c r="A316" s="9"/>
      <c r="B316" s="137">
        <v>1.00010123E8</v>
      </c>
      <c r="C316" s="98" t="s">
        <v>96</v>
      </c>
      <c r="D316" s="83"/>
      <c r="E316" s="101">
        <v>569.99</v>
      </c>
      <c r="F316" s="54">
        <v>699.0</v>
      </c>
      <c r="G316" s="54">
        <v>639.0</v>
      </c>
      <c r="H316" s="41">
        <f t="shared" si="19"/>
        <v>635.9966667</v>
      </c>
      <c r="I316" s="49">
        <f t="shared" si="2"/>
        <v>0.2263373042</v>
      </c>
      <c r="J316" s="43">
        <f t="shared" si="31"/>
        <v>0.09906236406</v>
      </c>
      <c r="K316" s="58">
        <v>45931.0</v>
      </c>
      <c r="L316" s="50">
        <f t="shared" si="32"/>
        <v>46113</v>
      </c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5.75" customHeight="1">
      <c r="A317" s="9"/>
      <c r="B317" s="137">
        <v>1.00010125E8</v>
      </c>
      <c r="C317" s="98" t="s">
        <v>415</v>
      </c>
      <c r="D317" s="83"/>
      <c r="E317" s="101">
        <v>2961.76</v>
      </c>
      <c r="F317" s="138">
        <v>2490.37</v>
      </c>
      <c r="G317" s="138">
        <v>2519.94</v>
      </c>
      <c r="H317" s="41">
        <f t="shared" si="19"/>
        <v>2657.356667</v>
      </c>
      <c r="I317" s="49">
        <f t="shared" si="2"/>
        <v>0.1892851263</v>
      </c>
      <c r="J317" s="43">
        <f t="shared" si="31"/>
        <v>0.1145511768</v>
      </c>
      <c r="K317" s="58">
        <v>45931.0</v>
      </c>
      <c r="L317" s="50">
        <f t="shared" si="32"/>
        <v>46113</v>
      </c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15.75" customHeight="1">
      <c r="A318" s="9"/>
      <c r="B318" s="137">
        <v>1.00010135E8</v>
      </c>
      <c r="C318" s="98" t="s">
        <v>416</v>
      </c>
      <c r="D318" s="128"/>
      <c r="E318" s="101">
        <v>225.9</v>
      </c>
      <c r="F318" s="54">
        <v>225.9</v>
      </c>
      <c r="G318" s="54">
        <v>199.9</v>
      </c>
      <c r="H318" s="41">
        <f t="shared" si="19"/>
        <v>217.2333333</v>
      </c>
      <c r="I318" s="49">
        <f t="shared" si="2"/>
        <v>0.1300650325</v>
      </c>
      <c r="J318" s="43">
        <f t="shared" si="31"/>
        <v>0.03989565751</v>
      </c>
      <c r="K318" s="58">
        <v>45931.0</v>
      </c>
      <c r="L318" s="50">
        <f t="shared" si="32"/>
        <v>46113</v>
      </c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5.75" customHeight="1">
      <c r="A319" s="9"/>
      <c r="B319" s="137">
        <v>1.0001254E8</v>
      </c>
      <c r="C319" s="98" t="s">
        <v>417</v>
      </c>
      <c r="D319" s="83"/>
      <c r="E319" s="101">
        <v>939.58</v>
      </c>
      <c r="F319" s="54">
        <v>878.79</v>
      </c>
      <c r="G319" s="54">
        <v>949.9</v>
      </c>
      <c r="H319" s="41">
        <f t="shared" si="19"/>
        <v>922.7566667</v>
      </c>
      <c r="I319" s="49">
        <f t="shared" si="2"/>
        <v>0.08091808054</v>
      </c>
      <c r="J319" s="43">
        <f t="shared" si="31"/>
        <v>0.02941548332</v>
      </c>
      <c r="K319" s="58">
        <v>45932.0</v>
      </c>
      <c r="L319" s="50">
        <f t="shared" si="32"/>
        <v>46114</v>
      </c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5.75" customHeight="1">
      <c r="A320" s="9"/>
      <c r="B320" s="137">
        <v>1.00012547E8</v>
      </c>
      <c r="C320" s="98" t="s">
        <v>418</v>
      </c>
      <c r="D320" s="83"/>
      <c r="E320" s="100">
        <v>2227.77</v>
      </c>
      <c r="F320" s="54">
        <v>2370.0</v>
      </c>
      <c r="G320" s="54">
        <v>2464.27</v>
      </c>
      <c r="H320" s="41">
        <f t="shared" si="19"/>
        <v>2354.013333</v>
      </c>
      <c r="I320" s="49">
        <f t="shared" si="2"/>
        <v>0.1061599716</v>
      </c>
      <c r="J320" s="43"/>
      <c r="K320" s="58">
        <v>45932.0</v>
      </c>
      <c r="L320" s="50">
        <f t="shared" si="32"/>
        <v>46114</v>
      </c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5.75" customHeight="1">
      <c r="A321" s="9"/>
      <c r="B321" s="137">
        <v>1.00012552E8</v>
      </c>
      <c r="C321" s="98" t="s">
        <v>419</v>
      </c>
      <c r="D321" s="83"/>
      <c r="E321" s="100">
        <v>2440.86</v>
      </c>
      <c r="F321" s="54">
        <v>2440.86</v>
      </c>
      <c r="G321" s="54">
        <v>2309.0</v>
      </c>
      <c r="H321" s="41">
        <f t="shared" si="19"/>
        <v>2396.906667</v>
      </c>
      <c r="I321" s="49">
        <f t="shared" si="2"/>
        <v>0.05710697272</v>
      </c>
      <c r="J321" s="43">
        <f t="shared" ref="J321:J322" si="33">IF(ISERROR(MAX(E321:G321)/H321-1),"",(MAX(E321:G321)/H321-1))</f>
        <v>0.01833752392</v>
      </c>
      <c r="K321" s="58">
        <v>45932.0</v>
      </c>
      <c r="L321" s="50">
        <f t="shared" si="32"/>
        <v>46114</v>
      </c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5.75" customHeight="1">
      <c r="A322" s="9"/>
      <c r="B322" s="97">
        <v>1.00012597E8</v>
      </c>
      <c r="C322" s="98" t="s">
        <v>420</v>
      </c>
      <c r="D322" s="113"/>
      <c r="E322" s="100">
        <v>550.0</v>
      </c>
      <c r="F322" s="54">
        <v>459.9</v>
      </c>
      <c r="G322" s="54">
        <v>499.0</v>
      </c>
      <c r="H322" s="41">
        <f t="shared" si="19"/>
        <v>502.9666667</v>
      </c>
      <c r="I322" s="49">
        <f t="shared" si="2"/>
        <v>0.1959121548</v>
      </c>
      <c r="J322" s="43">
        <f t="shared" si="33"/>
        <v>0.09351182981</v>
      </c>
      <c r="K322" s="58">
        <v>45932.0</v>
      </c>
      <c r="L322" s="50">
        <f t="shared" si="32"/>
        <v>46114</v>
      </c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5.75" customHeight="1">
      <c r="A323" s="9"/>
      <c r="B323" s="97">
        <v>1.00012904E8</v>
      </c>
      <c r="C323" s="98" t="s">
        <v>421</v>
      </c>
      <c r="D323" s="83"/>
      <c r="E323" s="112">
        <v>158.88</v>
      </c>
      <c r="F323" s="57">
        <v>160.95</v>
      </c>
      <c r="G323" s="57">
        <v>139.46</v>
      </c>
      <c r="H323" s="41">
        <f t="shared" si="19"/>
        <v>153.0966667</v>
      </c>
      <c r="I323" s="49">
        <f t="shared" si="2"/>
        <v>0.154094364</v>
      </c>
      <c r="J323" s="43"/>
      <c r="K323" s="58">
        <v>45932.0</v>
      </c>
      <c r="L323" s="45">
        <f t="shared" si="32"/>
        <v>46114</v>
      </c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5.75" customHeight="1">
      <c r="A324" s="9"/>
      <c r="B324" s="97">
        <v>1.00012924E8</v>
      </c>
      <c r="C324" s="98" t="s">
        <v>422</v>
      </c>
      <c r="D324" s="83"/>
      <c r="E324" s="112">
        <v>3087.0</v>
      </c>
      <c r="F324" s="57">
        <v>3899.0</v>
      </c>
      <c r="G324" s="57">
        <v>3387.99</v>
      </c>
      <c r="H324" s="41">
        <f t="shared" si="19"/>
        <v>3457.996667</v>
      </c>
      <c r="I324" s="49">
        <f t="shared" si="2"/>
        <v>0.2630385488</v>
      </c>
      <c r="J324" s="43"/>
      <c r="K324" s="58">
        <v>45932.0</v>
      </c>
      <c r="L324" s="45">
        <f t="shared" si="32"/>
        <v>46114</v>
      </c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5.75" customHeight="1">
      <c r="A325" s="9"/>
      <c r="B325" s="137">
        <v>1.00010398E8</v>
      </c>
      <c r="C325" s="98" t="s">
        <v>423</v>
      </c>
      <c r="D325" s="83"/>
      <c r="E325" s="112">
        <v>2374.49</v>
      </c>
      <c r="F325" s="57">
        <v>2800.0</v>
      </c>
      <c r="G325" s="57">
        <v>2324.49</v>
      </c>
      <c r="H325" s="41">
        <f t="shared" si="19"/>
        <v>2499.66</v>
      </c>
      <c r="I325" s="49">
        <f t="shared" si="2"/>
        <v>0.2045653025</v>
      </c>
      <c r="J325" s="43">
        <f t="shared" ref="J325:J346" si="34">IF(ISERROR(MAX(E325:G325)/H325-1),"",(MAX(E325:G325)/H325-1))</f>
        <v>0.1201523407</v>
      </c>
      <c r="K325" s="78"/>
      <c r="L325" s="50">
        <f t="shared" si="32"/>
        <v>182</v>
      </c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5.75" customHeight="1">
      <c r="A326" s="9"/>
      <c r="B326" s="97">
        <v>1.00002284E8</v>
      </c>
      <c r="C326" s="98" t="s">
        <v>424</v>
      </c>
      <c r="D326" s="83"/>
      <c r="E326" s="100">
        <v>2766.0</v>
      </c>
      <c r="F326" s="54">
        <v>3050.0</v>
      </c>
      <c r="G326" s="54">
        <v>3499.58</v>
      </c>
      <c r="H326" s="41">
        <f t="shared" si="19"/>
        <v>3105.193333</v>
      </c>
      <c r="I326" s="49">
        <f t="shared" si="2"/>
        <v>0.2652133044</v>
      </c>
      <c r="J326" s="43">
        <f t="shared" si="34"/>
        <v>0.1270087316</v>
      </c>
      <c r="K326" s="58">
        <v>45933.0</v>
      </c>
      <c r="L326" s="50">
        <f t="shared" si="32"/>
        <v>46115</v>
      </c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5.75" customHeight="1">
      <c r="A327" s="9"/>
      <c r="B327" s="97">
        <v>1.00002343E8</v>
      </c>
      <c r="C327" s="98" t="s">
        <v>425</v>
      </c>
      <c r="D327" s="83"/>
      <c r="E327" s="132">
        <v>4260.24</v>
      </c>
      <c r="F327" s="57">
        <v>4535.03</v>
      </c>
      <c r="G327" s="57">
        <v>5574.8</v>
      </c>
      <c r="H327" s="41">
        <f t="shared" si="19"/>
        <v>4790.023333</v>
      </c>
      <c r="I327" s="49">
        <f t="shared" si="2"/>
        <v>0.3085647757</v>
      </c>
      <c r="J327" s="43">
        <f t="shared" si="34"/>
        <v>0.1638356668</v>
      </c>
      <c r="K327" s="58">
        <v>45933.0</v>
      </c>
      <c r="L327" s="50">
        <f t="shared" si="32"/>
        <v>46115</v>
      </c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5.75" customHeight="1">
      <c r="A328" s="9"/>
      <c r="B328" s="137">
        <v>1.00010413E8</v>
      </c>
      <c r="C328" s="98" t="s">
        <v>426</v>
      </c>
      <c r="D328" s="113" t="s">
        <v>427</v>
      </c>
      <c r="E328" s="132">
        <v>5471.91</v>
      </c>
      <c r="F328" s="57">
        <v>4678.0</v>
      </c>
      <c r="G328" s="57">
        <v>4554.0</v>
      </c>
      <c r="H328" s="41">
        <f t="shared" si="19"/>
        <v>4901.303333</v>
      </c>
      <c r="I328" s="49">
        <f t="shared" si="2"/>
        <v>0.2015612648</v>
      </c>
      <c r="J328" s="43">
        <f t="shared" si="34"/>
        <v>0.1164193742</v>
      </c>
      <c r="K328" s="58">
        <v>45933.0</v>
      </c>
      <c r="L328" s="50">
        <f t="shared" si="32"/>
        <v>46115</v>
      </c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5.75" customHeight="1">
      <c r="A329" s="9"/>
      <c r="B329" s="137">
        <v>1.00010413E8</v>
      </c>
      <c r="C329" s="98" t="s">
        <v>428</v>
      </c>
      <c r="D329" s="113" t="s">
        <v>429</v>
      </c>
      <c r="E329" s="132">
        <v>26568.27</v>
      </c>
      <c r="F329" s="57">
        <v>29900.0</v>
      </c>
      <c r="G329" s="57">
        <v>29999.0</v>
      </c>
      <c r="H329" s="41">
        <f t="shared" si="19"/>
        <v>28822.42333</v>
      </c>
      <c r="I329" s="49">
        <f t="shared" si="2"/>
        <v>0.1291288443</v>
      </c>
      <c r="J329" s="43">
        <f t="shared" si="34"/>
        <v>0.0408215733</v>
      </c>
      <c r="K329" s="58">
        <v>45933.0</v>
      </c>
      <c r="L329" s="50">
        <f t="shared" si="32"/>
        <v>46115</v>
      </c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5.75" customHeight="1">
      <c r="A330" s="9"/>
      <c r="B330" s="137">
        <v>1.00010413E8</v>
      </c>
      <c r="C330" s="98" t="s">
        <v>430</v>
      </c>
      <c r="D330" s="113" t="s">
        <v>431</v>
      </c>
      <c r="E330" s="132">
        <v>5042.0</v>
      </c>
      <c r="F330" s="57">
        <v>4997.0</v>
      </c>
      <c r="G330" s="57">
        <v>4790.0</v>
      </c>
      <c r="H330" s="41">
        <f t="shared" si="19"/>
        <v>4943</v>
      </c>
      <c r="I330" s="49">
        <f t="shared" si="2"/>
        <v>0.05260960334</v>
      </c>
      <c r="J330" s="43">
        <f t="shared" si="34"/>
        <v>0.02002832288</v>
      </c>
      <c r="K330" s="58">
        <v>45933.0</v>
      </c>
      <c r="L330" s="50">
        <f t="shared" si="32"/>
        <v>46115</v>
      </c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20.25" customHeight="1">
      <c r="A331" s="9"/>
      <c r="B331" s="97">
        <v>1.00012846E8</v>
      </c>
      <c r="C331" s="98" t="s">
        <v>432</v>
      </c>
      <c r="D331" s="83"/>
      <c r="E331" s="132">
        <v>20499.0</v>
      </c>
      <c r="F331" s="57">
        <v>22855.9</v>
      </c>
      <c r="G331" s="57">
        <v>17479.0</v>
      </c>
      <c r="H331" s="41">
        <f t="shared" si="19"/>
        <v>20277.96667</v>
      </c>
      <c r="I331" s="49">
        <f t="shared" si="2"/>
        <v>0.3076205733</v>
      </c>
      <c r="J331" s="43">
        <f t="shared" si="34"/>
        <v>0.1271297747</v>
      </c>
      <c r="K331" s="58">
        <v>45933.0</v>
      </c>
      <c r="L331" s="50">
        <f t="shared" si="32"/>
        <v>46115</v>
      </c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5.75" customHeight="1">
      <c r="A332" s="9"/>
      <c r="B332" s="137">
        <v>1.0001232E8</v>
      </c>
      <c r="C332" s="98" t="s">
        <v>433</v>
      </c>
      <c r="D332" s="113" t="s">
        <v>434</v>
      </c>
      <c r="E332" s="101">
        <v>3890.0</v>
      </c>
      <c r="F332" s="54">
        <v>3428.0</v>
      </c>
      <c r="G332" s="54">
        <v>3580.0</v>
      </c>
      <c r="H332" s="41">
        <f t="shared" si="19"/>
        <v>3632.666667</v>
      </c>
      <c r="I332" s="49">
        <f t="shared" si="2"/>
        <v>0.1347724621</v>
      </c>
      <c r="J332" s="43">
        <f t="shared" si="34"/>
        <v>0.070838686</v>
      </c>
      <c r="K332" s="58">
        <v>45933.0</v>
      </c>
      <c r="L332" s="50">
        <f t="shared" si="32"/>
        <v>46115</v>
      </c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5.75" customHeight="1">
      <c r="A333" s="9"/>
      <c r="B333" s="137">
        <v>1.00012345E8</v>
      </c>
      <c r="C333" s="98" t="s">
        <v>435</v>
      </c>
      <c r="D333" s="113" t="s">
        <v>436</v>
      </c>
      <c r="E333" s="101">
        <v>1571.55</v>
      </c>
      <c r="F333" s="54">
        <v>1484.0</v>
      </c>
      <c r="G333" s="54">
        <v>1664.4</v>
      </c>
      <c r="H333" s="41">
        <f t="shared" si="19"/>
        <v>1573.316667</v>
      </c>
      <c r="I333" s="49">
        <f t="shared" si="2"/>
        <v>0.1215633423</v>
      </c>
      <c r="J333" s="43">
        <f t="shared" si="34"/>
        <v>0.05789256242</v>
      </c>
      <c r="K333" s="58">
        <v>45933.0</v>
      </c>
      <c r="L333" s="50">
        <f t="shared" si="32"/>
        <v>46115</v>
      </c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5.75" customHeight="1">
      <c r="A334" s="9"/>
      <c r="B334" s="137">
        <v>1.00012345E8</v>
      </c>
      <c r="C334" s="98" t="s">
        <v>435</v>
      </c>
      <c r="D334" s="113" t="s">
        <v>437</v>
      </c>
      <c r="E334" s="101">
        <v>5074.44</v>
      </c>
      <c r="F334" s="54">
        <v>4326.0</v>
      </c>
      <c r="G334" s="54">
        <v>4762.56</v>
      </c>
      <c r="H334" s="41">
        <f t="shared" si="19"/>
        <v>4721</v>
      </c>
      <c r="I334" s="49">
        <f t="shared" si="2"/>
        <v>0.1730097087</v>
      </c>
      <c r="J334" s="43">
        <f t="shared" si="34"/>
        <v>0.0748654946</v>
      </c>
      <c r="K334" s="58">
        <v>45933.0</v>
      </c>
      <c r="L334" s="50">
        <f t="shared" si="32"/>
        <v>46115</v>
      </c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15.75" customHeight="1">
      <c r="A335" s="9"/>
      <c r="B335" s="97">
        <v>1.00012345E8</v>
      </c>
      <c r="C335" s="98" t="s">
        <v>435</v>
      </c>
      <c r="D335" s="83"/>
      <c r="E335" s="101">
        <v>12999.9</v>
      </c>
      <c r="F335" s="138">
        <v>11915.0</v>
      </c>
      <c r="G335" s="138">
        <v>10120.0</v>
      </c>
      <c r="H335" s="41">
        <f t="shared" si="19"/>
        <v>11678.3</v>
      </c>
      <c r="I335" s="49">
        <f t="shared" si="2"/>
        <v>0.2845750988</v>
      </c>
      <c r="J335" s="43">
        <f t="shared" si="34"/>
        <v>0.1131671562</v>
      </c>
      <c r="K335" s="58">
        <v>45933.0</v>
      </c>
      <c r="L335" s="50">
        <f t="shared" si="32"/>
        <v>46115</v>
      </c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5.75" customHeight="1">
      <c r="A336" s="9"/>
      <c r="B336" s="97">
        <v>1.00002272E8</v>
      </c>
      <c r="C336" s="98" t="s">
        <v>438</v>
      </c>
      <c r="D336" s="83"/>
      <c r="E336" s="101">
        <v>899.0</v>
      </c>
      <c r="F336" s="54">
        <v>796.0</v>
      </c>
      <c r="G336" s="54">
        <v>699.0</v>
      </c>
      <c r="H336" s="41">
        <f t="shared" si="19"/>
        <v>798</v>
      </c>
      <c r="I336" s="49">
        <f t="shared" si="2"/>
        <v>0.2861230329</v>
      </c>
      <c r="J336" s="43">
        <f t="shared" si="34"/>
        <v>0.126566416</v>
      </c>
      <c r="K336" s="58">
        <v>45933.0</v>
      </c>
      <c r="L336" s="50">
        <f t="shared" si="32"/>
        <v>46115</v>
      </c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5.75" customHeight="1">
      <c r="A337" s="9"/>
      <c r="B337" s="97">
        <v>1.00002253E8</v>
      </c>
      <c r="C337" s="98" t="s">
        <v>439</v>
      </c>
      <c r="D337" s="83"/>
      <c r="E337" s="101">
        <v>179.9</v>
      </c>
      <c r="F337" s="54">
        <v>189.9</v>
      </c>
      <c r="G337" s="54">
        <v>159.9</v>
      </c>
      <c r="H337" s="41">
        <f t="shared" si="19"/>
        <v>176.5666667</v>
      </c>
      <c r="I337" s="49">
        <f t="shared" si="2"/>
        <v>0.1876172608</v>
      </c>
      <c r="J337" s="43">
        <f t="shared" si="34"/>
        <v>0.07551444214</v>
      </c>
      <c r="K337" s="58">
        <v>45933.0</v>
      </c>
      <c r="L337" s="50">
        <f t="shared" si="32"/>
        <v>46115</v>
      </c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5.75" customHeight="1">
      <c r="A338" s="9"/>
      <c r="B338" s="97">
        <v>1.00010152E8</v>
      </c>
      <c r="C338" s="98" t="s">
        <v>440</v>
      </c>
      <c r="D338" s="83"/>
      <c r="E338" s="101">
        <v>1879.0</v>
      </c>
      <c r="F338" s="54">
        <v>1879.0</v>
      </c>
      <c r="G338" s="54">
        <v>1749.97</v>
      </c>
      <c r="H338" s="41">
        <f t="shared" si="19"/>
        <v>1835.99</v>
      </c>
      <c r="I338" s="49">
        <f t="shared" si="2"/>
        <v>0.07373269256</v>
      </c>
      <c r="J338" s="43">
        <f t="shared" si="34"/>
        <v>0.02342605352</v>
      </c>
      <c r="K338" s="58">
        <v>45937.0</v>
      </c>
      <c r="L338" s="50">
        <f t="shared" si="32"/>
        <v>46119</v>
      </c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5.75" customHeight="1">
      <c r="A339" s="9"/>
      <c r="B339" s="137">
        <v>1.00010193E8</v>
      </c>
      <c r="C339" s="98" t="s">
        <v>441</v>
      </c>
      <c r="D339" s="83"/>
      <c r="E339" s="101">
        <v>97.19</v>
      </c>
      <c r="F339" s="138">
        <v>81.29</v>
      </c>
      <c r="G339" s="138">
        <v>99.0</v>
      </c>
      <c r="H339" s="41">
        <f t="shared" si="19"/>
        <v>92.49333333</v>
      </c>
      <c r="I339" s="49">
        <f t="shared" si="2"/>
        <v>0.2178619756</v>
      </c>
      <c r="J339" s="43">
        <f t="shared" si="34"/>
        <v>0.07034741243</v>
      </c>
      <c r="K339" s="58">
        <v>45937.0</v>
      </c>
      <c r="L339" s="50">
        <f t="shared" si="32"/>
        <v>46119</v>
      </c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5.75" customHeight="1">
      <c r="A340" s="9"/>
      <c r="B340" s="97">
        <v>1.0001025E8</v>
      </c>
      <c r="C340" s="98" t="s">
        <v>442</v>
      </c>
      <c r="D340" s="113" t="s">
        <v>443</v>
      </c>
      <c r="E340" s="101">
        <v>858.44</v>
      </c>
      <c r="F340" s="54">
        <v>739.99</v>
      </c>
      <c r="G340" s="54">
        <v>949.99</v>
      </c>
      <c r="H340" s="41">
        <f t="shared" si="19"/>
        <v>849.4733333</v>
      </c>
      <c r="I340" s="49">
        <f t="shared" si="2"/>
        <v>0.2837876188</v>
      </c>
      <c r="J340" s="43">
        <f t="shared" si="34"/>
        <v>0.1183282191</v>
      </c>
      <c r="K340" s="58">
        <v>45937.0</v>
      </c>
      <c r="L340" s="50">
        <f t="shared" si="32"/>
        <v>46119</v>
      </c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5.75" customHeight="1">
      <c r="A341" s="9"/>
      <c r="B341" s="97">
        <v>1.0001025E8</v>
      </c>
      <c r="C341" s="98" t="s">
        <v>442</v>
      </c>
      <c r="D341" s="175" t="s">
        <v>444</v>
      </c>
      <c r="E341" s="132">
        <v>484.0</v>
      </c>
      <c r="F341" s="57">
        <v>383.9</v>
      </c>
      <c r="G341" s="57">
        <v>383.9</v>
      </c>
      <c r="H341" s="41">
        <f t="shared" si="19"/>
        <v>417.2666667</v>
      </c>
      <c r="I341" s="49">
        <f t="shared" si="2"/>
        <v>0.2607449857</v>
      </c>
      <c r="J341" s="43">
        <f t="shared" si="34"/>
        <v>0.1599297012</v>
      </c>
      <c r="K341" s="58">
        <v>45937.0</v>
      </c>
      <c r="L341" s="50">
        <f t="shared" si="32"/>
        <v>46119</v>
      </c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5.75" customHeight="1">
      <c r="A342" s="9"/>
      <c r="B342" s="97">
        <v>1.0001025E8</v>
      </c>
      <c r="C342" s="98" t="s">
        <v>442</v>
      </c>
      <c r="D342" s="113" t="s">
        <v>445</v>
      </c>
      <c r="E342" s="101">
        <v>273.9</v>
      </c>
      <c r="F342" s="54">
        <v>273.9</v>
      </c>
      <c r="G342" s="54">
        <v>325.0</v>
      </c>
      <c r="H342" s="41">
        <f t="shared" si="19"/>
        <v>290.9333333</v>
      </c>
      <c r="I342" s="49">
        <f t="shared" si="2"/>
        <v>0.1865644396</v>
      </c>
      <c r="J342" s="43">
        <f t="shared" si="34"/>
        <v>0.1170944088</v>
      </c>
      <c r="K342" s="58">
        <v>45937.0</v>
      </c>
      <c r="L342" s="50">
        <f t="shared" si="32"/>
        <v>46119</v>
      </c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5.75" customHeight="1">
      <c r="A343" s="9"/>
      <c r="B343" s="97">
        <v>1.0001025E8</v>
      </c>
      <c r="C343" s="98" t="s">
        <v>442</v>
      </c>
      <c r="D343" s="175" t="s">
        <v>446</v>
      </c>
      <c r="E343" s="132">
        <v>211.0</v>
      </c>
      <c r="F343" s="57">
        <v>175.99</v>
      </c>
      <c r="G343" s="57">
        <v>211.0</v>
      </c>
      <c r="H343" s="41">
        <f t="shared" si="19"/>
        <v>199.33</v>
      </c>
      <c r="I343" s="49">
        <f t="shared" si="2"/>
        <v>0.1989317575</v>
      </c>
      <c r="J343" s="43">
        <f t="shared" si="34"/>
        <v>0.05854612953</v>
      </c>
      <c r="K343" s="58">
        <v>45937.0</v>
      </c>
      <c r="L343" s="50">
        <f t="shared" si="32"/>
        <v>46119</v>
      </c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5.75" customHeight="1">
      <c r="A344" s="9"/>
      <c r="B344" s="97">
        <v>1.00013095E8</v>
      </c>
      <c r="C344" s="98" t="s">
        <v>447</v>
      </c>
      <c r="D344" s="83"/>
      <c r="E344" s="101">
        <v>707.99</v>
      </c>
      <c r="F344" s="54">
        <v>677.0</v>
      </c>
      <c r="G344" s="54">
        <v>707.99</v>
      </c>
      <c r="H344" s="41">
        <f t="shared" si="19"/>
        <v>697.66</v>
      </c>
      <c r="I344" s="49">
        <f t="shared" si="2"/>
        <v>0.04577548006</v>
      </c>
      <c r="J344" s="43">
        <f t="shared" si="34"/>
        <v>0.01480663934</v>
      </c>
      <c r="K344" s="58">
        <v>45937.0</v>
      </c>
      <c r="L344" s="50">
        <f t="shared" si="32"/>
        <v>46119</v>
      </c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5.75" customHeight="1">
      <c r="A345" s="9"/>
      <c r="B345" s="137">
        <v>1.00002337E8</v>
      </c>
      <c r="C345" s="98" t="s">
        <v>448</v>
      </c>
      <c r="D345" s="83"/>
      <c r="E345" s="101">
        <v>5612.75</v>
      </c>
      <c r="F345" s="54">
        <v>4591.62</v>
      </c>
      <c r="G345" s="54">
        <v>5705.71</v>
      </c>
      <c r="H345" s="41">
        <f t="shared" si="19"/>
        <v>5303.36</v>
      </c>
      <c r="I345" s="49">
        <f t="shared" si="2"/>
        <v>0.2426354968</v>
      </c>
      <c r="J345" s="43">
        <f t="shared" si="34"/>
        <v>0.07586699753</v>
      </c>
      <c r="K345" s="58">
        <v>45937.0</v>
      </c>
      <c r="L345" s="50">
        <f t="shared" si="32"/>
        <v>46119</v>
      </c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8.75" customHeight="1">
      <c r="A346" s="9"/>
      <c r="B346" s="137">
        <v>1.00011701E8</v>
      </c>
      <c r="C346" s="98" t="s">
        <v>449</v>
      </c>
      <c r="D346" s="113" t="s">
        <v>450</v>
      </c>
      <c r="E346" s="132">
        <v>1579.89</v>
      </c>
      <c r="F346" s="57">
        <v>1644.33</v>
      </c>
      <c r="G346" s="57">
        <v>1444.89</v>
      </c>
      <c r="H346" s="41">
        <f t="shared" si="19"/>
        <v>1556.37</v>
      </c>
      <c r="I346" s="49">
        <f t="shared" si="2"/>
        <v>0.1380312688</v>
      </c>
      <c r="J346" s="43">
        <f t="shared" si="34"/>
        <v>0.05651612406</v>
      </c>
      <c r="K346" s="58">
        <v>45937.0</v>
      </c>
      <c r="L346" s="50">
        <f t="shared" si="32"/>
        <v>46119</v>
      </c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5.75" customHeight="1">
      <c r="A347" s="9"/>
      <c r="B347" s="97">
        <v>1.00012802E8</v>
      </c>
      <c r="C347" s="98" t="s">
        <v>451</v>
      </c>
      <c r="D347" s="113" t="s">
        <v>452</v>
      </c>
      <c r="E347" s="101">
        <v>986.25</v>
      </c>
      <c r="F347" s="54">
        <v>911.9</v>
      </c>
      <c r="G347" s="54">
        <v>849.0</v>
      </c>
      <c r="H347" s="41">
        <f t="shared" si="19"/>
        <v>915.7166667</v>
      </c>
      <c r="I347" s="49">
        <f t="shared" si="2"/>
        <v>0.1616607774</v>
      </c>
      <c r="J347" s="43"/>
      <c r="K347" s="58">
        <v>45937.0</v>
      </c>
      <c r="L347" s="45">
        <f t="shared" si="32"/>
        <v>46119</v>
      </c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5.75" customHeight="1">
      <c r="A348" s="9"/>
      <c r="B348" s="137">
        <v>1.00012271E8</v>
      </c>
      <c r="C348" s="98" t="s">
        <v>453</v>
      </c>
      <c r="D348" s="113" t="s">
        <v>454</v>
      </c>
      <c r="E348" s="101">
        <v>915.44</v>
      </c>
      <c r="F348" s="54">
        <v>899.0</v>
      </c>
      <c r="G348" s="54">
        <v>757.9</v>
      </c>
      <c r="H348" s="41">
        <f t="shared" si="19"/>
        <v>857.4466667</v>
      </c>
      <c r="I348" s="49">
        <f t="shared" si="2"/>
        <v>0.2078638343</v>
      </c>
      <c r="J348" s="43">
        <f t="shared" ref="J348:J352" si="35">IF(ISERROR(MAX(E348:G348)/H348-1),"",(MAX(E348:G348)/H348-1))</f>
        <v>0.06763491607</v>
      </c>
      <c r="K348" s="58">
        <v>45972.0</v>
      </c>
      <c r="L348" s="50">
        <f t="shared" si="32"/>
        <v>46153</v>
      </c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5.75" customHeight="1">
      <c r="A349" s="9"/>
      <c r="B349" s="97">
        <v>1.00012916E8</v>
      </c>
      <c r="C349" s="98" t="s">
        <v>455</v>
      </c>
      <c r="D349" s="113" t="s">
        <v>456</v>
      </c>
      <c r="E349" s="101">
        <v>312.9</v>
      </c>
      <c r="F349" s="54">
        <v>299.0</v>
      </c>
      <c r="G349" s="54">
        <v>268.32</v>
      </c>
      <c r="H349" s="41">
        <f t="shared" si="19"/>
        <v>293.4066667</v>
      </c>
      <c r="I349" s="49">
        <f t="shared" si="2"/>
        <v>0.1661449016</v>
      </c>
      <c r="J349" s="43">
        <f t="shared" si="35"/>
        <v>0.06643793597</v>
      </c>
      <c r="K349" s="58">
        <v>45938.0</v>
      </c>
      <c r="L349" s="50">
        <f t="shared" si="32"/>
        <v>46120</v>
      </c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5.75" customHeight="1">
      <c r="A350" s="9"/>
      <c r="B350" s="97">
        <v>1.00013053E8</v>
      </c>
      <c r="C350" s="98" t="s">
        <v>457</v>
      </c>
      <c r="D350" s="83"/>
      <c r="E350" s="101">
        <v>2540.0</v>
      </c>
      <c r="F350" s="54">
        <v>2280.0</v>
      </c>
      <c r="G350" s="54">
        <v>2094.9</v>
      </c>
      <c r="H350" s="41">
        <f t="shared" si="19"/>
        <v>2304.966667</v>
      </c>
      <c r="I350" s="49">
        <f t="shared" si="2"/>
        <v>0.2124683756</v>
      </c>
      <c r="J350" s="43">
        <f t="shared" si="35"/>
        <v>0.1019682136</v>
      </c>
      <c r="K350" s="58">
        <v>45938.0</v>
      </c>
      <c r="L350" s="50">
        <f t="shared" si="32"/>
        <v>46120</v>
      </c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5.75" customHeight="1">
      <c r="A351" s="9"/>
      <c r="B351" s="97">
        <v>1.0001283E8</v>
      </c>
      <c r="C351" s="98" t="s">
        <v>458</v>
      </c>
      <c r="D351" s="83"/>
      <c r="E351" s="101">
        <v>1965.52</v>
      </c>
      <c r="F351" s="54">
        <v>2054.0</v>
      </c>
      <c r="G351" s="54">
        <v>2054.0</v>
      </c>
      <c r="H351" s="41">
        <f t="shared" si="19"/>
        <v>2024.506667</v>
      </c>
      <c r="I351" s="49">
        <f t="shared" si="2"/>
        <v>0.04501607717</v>
      </c>
      <c r="J351" s="43">
        <f t="shared" si="35"/>
        <v>0.01456815817</v>
      </c>
      <c r="K351" s="58">
        <v>45938.0</v>
      </c>
      <c r="L351" s="50">
        <f t="shared" si="32"/>
        <v>46120</v>
      </c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5.75" customHeight="1">
      <c r="A352" s="9"/>
      <c r="B352" s="97">
        <v>1.00012748E8</v>
      </c>
      <c r="C352" s="98" t="s">
        <v>459</v>
      </c>
      <c r="D352" s="83"/>
      <c r="E352" s="101">
        <v>699.0</v>
      </c>
      <c r="F352" s="54">
        <v>834.9</v>
      </c>
      <c r="G352" s="54">
        <v>869.9</v>
      </c>
      <c r="H352" s="41">
        <f t="shared" si="19"/>
        <v>801.2666667</v>
      </c>
      <c r="I352" s="49">
        <f t="shared" si="2"/>
        <v>0.2444921316</v>
      </c>
      <c r="J352" s="43">
        <f t="shared" si="35"/>
        <v>0.0856560446</v>
      </c>
      <c r="K352" s="58">
        <v>45938.0</v>
      </c>
      <c r="L352" s="50">
        <f t="shared" si="32"/>
        <v>46120</v>
      </c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5.75" customHeight="1">
      <c r="A353" s="9"/>
      <c r="B353" s="97">
        <v>1.00010013E8</v>
      </c>
      <c r="C353" s="98" t="s">
        <v>460</v>
      </c>
      <c r="D353" s="83"/>
      <c r="E353" s="101">
        <v>249.9</v>
      </c>
      <c r="F353" s="54">
        <v>249.9</v>
      </c>
      <c r="G353" s="54">
        <v>249.9</v>
      </c>
      <c r="H353" s="41">
        <f t="shared" si="19"/>
        <v>249.9</v>
      </c>
      <c r="I353" s="49">
        <f t="shared" si="2"/>
        <v>0</v>
      </c>
      <c r="J353" s="43"/>
      <c r="K353" s="58">
        <v>45938.0</v>
      </c>
      <c r="L353" s="45">
        <f t="shared" si="32"/>
        <v>46120</v>
      </c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5.75" customHeight="1">
      <c r="A354" s="9"/>
      <c r="B354" s="97">
        <v>1.00010036E8</v>
      </c>
      <c r="C354" s="98" t="s">
        <v>461</v>
      </c>
      <c r="D354" s="83"/>
      <c r="E354" s="101">
        <v>75.23</v>
      </c>
      <c r="F354" s="54">
        <v>79.61</v>
      </c>
      <c r="G354" s="54">
        <v>81.45</v>
      </c>
      <c r="H354" s="41">
        <f t="shared" si="19"/>
        <v>78.76333333</v>
      </c>
      <c r="I354" s="49">
        <f t="shared" si="2"/>
        <v>0.082679782</v>
      </c>
      <c r="J354" s="43"/>
      <c r="K354" s="58">
        <v>45979.0</v>
      </c>
      <c r="L354" s="45">
        <f t="shared" si="32"/>
        <v>46160</v>
      </c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5.75" customHeight="1">
      <c r="A355" s="9"/>
      <c r="B355" s="97">
        <v>1.00012778E8</v>
      </c>
      <c r="C355" s="98" t="s">
        <v>462</v>
      </c>
      <c r="D355" s="83"/>
      <c r="E355" s="101">
        <v>1419.0</v>
      </c>
      <c r="F355" s="54">
        <v>1111.67</v>
      </c>
      <c r="G355" s="54">
        <v>1350.0</v>
      </c>
      <c r="H355" s="41">
        <f t="shared" si="19"/>
        <v>1293.556667</v>
      </c>
      <c r="I355" s="49">
        <f t="shared" si="2"/>
        <v>0.2764579417</v>
      </c>
      <c r="J355" s="43"/>
      <c r="K355" s="58">
        <v>45938.0</v>
      </c>
      <c r="L355" s="45">
        <f t="shared" si="32"/>
        <v>46120</v>
      </c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5.75" customHeight="1">
      <c r="A356" s="9"/>
      <c r="B356" s="97">
        <v>1.0001014E8</v>
      </c>
      <c r="C356" s="98" t="s">
        <v>463</v>
      </c>
      <c r="D356" s="113"/>
      <c r="E356" s="132">
        <v>1146.85</v>
      </c>
      <c r="F356" s="57">
        <v>1177.99</v>
      </c>
      <c r="G356" s="57">
        <v>1146.85</v>
      </c>
      <c r="H356" s="41">
        <f t="shared" si="19"/>
        <v>1157.23</v>
      </c>
      <c r="I356" s="49">
        <f t="shared" si="2"/>
        <v>0.02715263548</v>
      </c>
      <c r="J356" s="43">
        <f t="shared" ref="J356:J358" si="36">IF(ISERROR(MAX(E356:G356)/H356-1),"",(MAX(E356:G356)/H356-1))</f>
        <v>0.01793938975</v>
      </c>
      <c r="K356" s="78"/>
      <c r="L356" s="50">
        <f t="shared" si="32"/>
        <v>182</v>
      </c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5.75" customHeight="1">
      <c r="A357" s="9"/>
      <c r="B357" s="97">
        <v>1.00012778E8</v>
      </c>
      <c r="C357" s="98" t="s">
        <v>464</v>
      </c>
      <c r="D357" s="83"/>
      <c r="E357" s="132">
        <v>3866.0</v>
      </c>
      <c r="F357" s="57">
        <v>3648.0</v>
      </c>
      <c r="G357" s="57">
        <v>4114.07</v>
      </c>
      <c r="H357" s="41">
        <f t="shared" si="19"/>
        <v>3876.023333</v>
      </c>
      <c r="I357" s="49">
        <f t="shared" si="2"/>
        <v>0.1277604167</v>
      </c>
      <c r="J357" s="43">
        <f t="shared" si="36"/>
        <v>0.06141517896</v>
      </c>
      <c r="K357" s="58">
        <v>45938.0</v>
      </c>
      <c r="L357" s="50">
        <f t="shared" si="32"/>
        <v>46120</v>
      </c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5.75" customHeight="1">
      <c r="A358" s="9"/>
      <c r="B358" s="97">
        <v>1.00012289E8</v>
      </c>
      <c r="C358" s="98" t="s">
        <v>465</v>
      </c>
      <c r="D358" s="83"/>
      <c r="E358" s="132">
        <v>36068.44</v>
      </c>
      <c r="F358" s="180">
        <v>39500.0</v>
      </c>
      <c r="G358" s="180">
        <v>31022.72</v>
      </c>
      <c r="H358" s="41">
        <f t="shared" si="19"/>
        <v>35530.38667</v>
      </c>
      <c r="I358" s="49">
        <f t="shared" si="2"/>
        <v>0.2732603718</v>
      </c>
      <c r="J358" s="43">
        <f t="shared" si="36"/>
        <v>0.111724462</v>
      </c>
      <c r="K358" s="58">
        <v>45938.0</v>
      </c>
      <c r="L358" s="50">
        <f t="shared" si="32"/>
        <v>46120</v>
      </c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5.75" customHeight="1">
      <c r="A359" s="9"/>
      <c r="B359" s="97">
        <v>1.00012415E8</v>
      </c>
      <c r="C359" s="98" t="s">
        <v>466</v>
      </c>
      <c r="D359" s="83"/>
      <c r="E359" s="101">
        <v>14989.0</v>
      </c>
      <c r="F359" s="54">
        <v>14089.9</v>
      </c>
      <c r="G359" s="54">
        <v>13954.44</v>
      </c>
      <c r="H359" s="41">
        <f t="shared" si="19"/>
        <v>14344.44667</v>
      </c>
      <c r="I359" s="49">
        <f t="shared" si="2"/>
        <v>0.07413841043</v>
      </c>
      <c r="J359" s="43"/>
      <c r="K359" s="58">
        <v>45938.0</v>
      </c>
      <c r="L359" s="45">
        <f t="shared" si="32"/>
        <v>46120</v>
      </c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5.75" customHeight="1">
      <c r="A360" s="9"/>
      <c r="B360" s="97">
        <v>1.00012464E8</v>
      </c>
      <c r="C360" s="98" t="s">
        <v>467</v>
      </c>
      <c r="D360" s="83"/>
      <c r="E360" s="101">
        <v>3090.0</v>
      </c>
      <c r="F360" s="54">
        <v>3459.26</v>
      </c>
      <c r="G360" s="54">
        <v>3457.96</v>
      </c>
      <c r="H360" s="41">
        <f t="shared" si="19"/>
        <v>3335.74</v>
      </c>
      <c r="I360" s="49">
        <f t="shared" si="2"/>
        <v>0.1195016181</v>
      </c>
      <c r="J360" s="43"/>
      <c r="K360" s="58">
        <v>45938.0</v>
      </c>
      <c r="L360" s="45">
        <f t="shared" si="32"/>
        <v>46120</v>
      </c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5.75" customHeight="1">
      <c r="A361" s="9"/>
      <c r="B361" s="97">
        <v>1.00010684E8</v>
      </c>
      <c r="C361" s="98" t="s">
        <v>468</v>
      </c>
      <c r="D361" s="83"/>
      <c r="E361" s="101">
        <v>95.64</v>
      </c>
      <c r="F361" s="54">
        <v>87.89</v>
      </c>
      <c r="G361" s="54">
        <v>79.9</v>
      </c>
      <c r="H361" s="41">
        <f t="shared" si="19"/>
        <v>87.81</v>
      </c>
      <c r="I361" s="49">
        <f t="shared" si="2"/>
        <v>0.1969962453</v>
      </c>
      <c r="J361" s="43"/>
      <c r="K361" s="58">
        <v>45938.0</v>
      </c>
      <c r="L361" s="45">
        <f t="shared" si="32"/>
        <v>46120</v>
      </c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5.75" customHeight="1">
      <c r="A362" s="9"/>
      <c r="B362" s="97">
        <v>1.00012618E8</v>
      </c>
      <c r="C362" s="98" t="s">
        <v>469</v>
      </c>
      <c r="D362" s="83"/>
      <c r="E362" s="101">
        <v>19350.0</v>
      </c>
      <c r="F362" s="54">
        <v>17582.2</v>
      </c>
      <c r="G362" s="54">
        <v>17848.0</v>
      </c>
      <c r="H362" s="41">
        <f t="shared" si="19"/>
        <v>18260.06667</v>
      </c>
      <c r="I362" s="49">
        <f t="shared" si="2"/>
        <v>0.1005448692</v>
      </c>
      <c r="J362" s="43"/>
      <c r="K362" s="58">
        <v>45938.0</v>
      </c>
      <c r="L362" s="45">
        <f t="shared" si="32"/>
        <v>46120</v>
      </c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20.25" customHeight="1">
      <c r="A363" s="9"/>
      <c r="B363" s="97">
        <v>1.00013052E8</v>
      </c>
      <c r="C363" s="98" t="s">
        <v>470</v>
      </c>
      <c r="D363" s="83"/>
      <c r="E363" s="101">
        <v>5790.01</v>
      </c>
      <c r="F363" s="54">
        <v>5790.0</v>
      </c>
      <c r="G363" s="54">
        <v>5174.1</v>
      </c>
      <c r="H363" s="41">
        <f t="shared" si="19"/>
        <v>5584.703333</v>
      </c>
      <c r="I363" s="49">
        <f t="shared" si="2"/>
        <v>0.1190371272</v>
      </c>
      <c r="J363" s="43"/>
      <c r="K363" s="58">
        <v>45938.0</v>
      </c>
      <c r="L363" s="45">
        <f t="shared" si="32"/>
        <v>46120</v>
      </c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5.75" customHeight="1">
      <c r="A364" s="9"/>
      <c r="B364" s="97">
        <v>1.00012468E8</v>
      </c>
      <c r="C364" s="98" t="s">
        <v>471</v>
      </c>
      <c r="D364" s="83"/>
      <c r="E364" s="132">
        <v>5830.69</v>
      </c>
      <c r="F364" s="180">
        <v>6444.33</v>
      </c>
      <c r="G364" s="180">
        <v>6273.76</v>
      </c>
      <c r="H364" s="41">
        <f t="shared" si="19"/>
        <v>6182.926667</v>
      </c>
      <c r="I364" s="49">
        <f t="shared" si="2"/>
        <v>0.1052431187</v>
      </c>
      <c r="J364" s="43">
        <f t="shared" ref="J364:J366" si="37">IF(ISERROR(MAX(E364:G364)/H364-1),"",(MAX(E364:G364)/H364-1))</f>
        <v>0.04227825226</v>
      </c>
      <c r="K364" s="58">
        <v>45938.0</v>
      </c>
      <c r="L364" s="50">
        <f t="shared" si="32"/>
        <v>46120</v>
      </c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5.75" customHeight="1">
      <c r="A365" s="9"/>
      <c r="B365" s="97">
        <v>1.0001014E8</v>
      </c>
      <c r="C365" s="98" t="s">
        <v>472</v>
      </c>
      <c r="D365" s="83"/>
      <c r="E365" s="132">
        <v>1044.42</v>
      </c>
      <c r="F365" s="57">
        <v>1083.04</v>
      </c>
      <c r="G365" s="57">
        <v>1159.78</v>
      </c>
      <c r="H365" s="41">
        <f t="shared" si="19"/>
        <v>1095.746667</v>
      </c>
      <c r="I365" s="49">
        <f t="shared" si="2"/>
        <v>0.1104536489</v>
      </c>
      <c r="J365" s="43">
        <f t="shared" si="37"/>
        <v>0.0584380818</v>
      </c>
      <c r="K365" s="58">
        <v>45938.0</v>
      </c>
      <c r="L365" s="50">
        <f t="shared" si="32"/>
        <v>46120</v>
      </c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5.75" customHeight="1">
      <c r="A366" s="9"/>
      <c r="B366" s="97">
        <v>1.00012616E8</v>
      </c>
      <c r="C366" s="98" t="s">
        <v>473</v>
      </c>
      <c r="D366" s="83"/>
      <c r="E366" s="132">
        <v>7257.59</v>
      </c>
      <c r="F366" s="57">
        <v>7590.0</v>
      </c>
      <c r="G366" s="57">
        <v>6499.99</v>
      </c>
      <c r="H366" s="41">
        <f t="shared" si="19"/>
        <v>7115.86</v>
      </c>
      <c r="I366" s="49">
        <f t="shared" si="2"/>
        <v>0.1676941041</v>
      </c>
      <c r="J366" s="43">
        <f t="shared" si="37"/>
        <v>0.06663144019</v>
      </c>
      <c r="K366" s="58">
        <v>45938.0</v>
      </c>
      <c r="L366" s="50">
        <f t="shared" si="32"/>
        <v>46120</v>
      </c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15.75" customHeight="1">
      <c r="A367" s="9"/>
      <c r="B367" s="97">
        <v>1.00010069E8</v>
      </c>
      <c r="C367" s="98" t="s">
        <v>474</v>
      </c>
      <c r="D367" s="113"/>
      <c r="E367" s="101">
        <v>393.33</v>
      </c>
      <c r="F367" s="54">
        <v>339.9</v>
      </c>
      <c r="G367" s="54">
        <v>318.9</v>
      </c>
      <c r="H367" s="41">
        <f t="shared" si="19"/>
        <v>350.71</v>
      </c>
      <c r="I367" s="49">
        <f t="shared" si="2"/>
        <v>0.2333960489</v>
      </c>
      <c r="J367" s="43"/>
      <c r="K367" s="58">
        <v>45938.0</v>
      </c>
      <c r="L367" s="45">
        <f t="shared" si="32"/>
        <v>46120</v>
      </c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5.75" customHeight="1">
      <c r="A368" s="9"/>
      <c r="B368" s="97">
        <v>1.00012417E8</v>
      </c>
      <c r="C368" s="98" t="s">
        <v>475</v>
      </c>
      <c r="D368" s="83"/>
      <c r="E368" s="132">
        <v>13999.0</v>
      </c>
      <c r="F368" s="57">
        <v>12498.0</v>
      </c>
      <c r="G368" s="57">
        <v>11868.27</v>
      </c>
      <c r="H368" s="41">
        <f t="shared" si="19"/>
        <v>12788.42333</v>
      </c>
      <c r="I368" s="49">
        <f t="shared" si="2"/>
        <v>0.1795316419</v>
      </c>
      <c r="J368" s="43"/>
      <c r="K368" s="58">
        <v>45938.0</v>
      </c>
      <c r="L368" s="45">
        <f t="shared" si="32"/>
        <v>46120</v>
      </c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5.75" customHeight="1">
      <c r="A369" s="9"/>
      <c r="B369" s="97">
        <v>1.0001014E8</v>
      </c>
      <c r="C369" s="98" t="s">
        <v>476</v>
      </c>
      <c r="D369" s="83"/>
      <c r="E369" s="101">
        <v>1109.99</v>
      </c>
      <c r="F369" s="54">
        <v>1109.99</v>
      </c>
      <c r="G369" s="54">
        <v>1119.9</v>
      </c>
      <c r="H369" s="41">
        <f t="shared" si="19"/>
        <v>1113.293333</v>
      </c>
      <c r="I369" s="49">
        <f t="shared" si="2"/>
        <v>0.00892800836</v>
      </c>
      <c r="J369" s="43"/>
      <c r="K369" s="58">
        <v>45938.0</v>
      </c>
      <c r="L369" s="45">
        <f t="shared" si="32"/>
        <v>46120</v>
      </c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5.75" customHeight="1">
      <c r="A370" s="9"/>
      <c r="B370" s="97">
        <v>1.00010734E8</v>
      </c>
      <c r="C370" s="98" t="s">
        <v>477</v>
      </c>
      <c r="D370" s="83"/>
      <c r="E370" s="101">
        <v>1199.9</v>
      </c>
      <c r="F370" s="54">
        <v>1042.23</v>
      </c>
      <c r="G370" s="54">
        <v>990.0</v>
      </c>
      <c r="H370" s="41">
        <f t="shared" si="19"/>
        <v>1077.376667</v>
      </c>
      <c r="I370" s="49">
        <f t="shared" si="2"/>
        <v>0.212020202</v>
      </c>
      <c r="J370" s="43">
        <f t="shared" ref="J370:J390" si="38">IF(ISERROR(MAX(E370:G370)/H370-1),"",(MAX(E370:G370)/H370-1))</f>
        <v>0.1137237673</v>
      </c>
      <c r="K370" s="58">
        <v>45938.0</v>
      </c>
      <c r="L370" s="50">
        <f t="shared" si="32"/>
        <v>46120</v>
      </c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5.75" customHeight="1">
      <c r="A371" s="9"/>
      <c r="B371" s="137">
        <v>1.00012465E8</v>
      </c>
      <c r="C371" s="98" t="s">
        <v>478</v>
      </c>
      <c r="D371" s="113" t="s">
        <v>479</v>
      </c>
      <c r="E371" s="132">
        <v>299.0</v>
      </c>
      <c r="F371" s="57">
        <v>354.44</v>
      </c>
      <c r="G371" s="57">
        <v>387.5</v>
      </c>
      <c r="H371" s="41">
        <f t="shared" si="19"/>
        <v>346.98</v>
      </c>
      <c r="I371" s="49">
        <f t="shared" si="2"/>
        <v>0.2959866221</v>
      </c>
      <c r="J371" s="43">
        <f t="shared" si="38"/>
        <v>0.1167790651</v>
      </c>
      <c r="K371" s="58">
        <v>45938.0</v>
      </c>
      <c r="L371" s="50">
        <f t="shared" si="32"/>
        <v>46120</v>
      </c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5.75" customHeight="1">
      <c r="A372" s="9"/>
      <c r="B372" s="137">
        <v>1.00012465E8</v>
      </c>
      <c r="C372" s="98" t="s">
        <v>478</v>
      </c>
      <c r="D372" s="113" t="s">
        <v>480</v>
      </c>
      <c r="E372" s="132">
        <v>629.0</v>
      </c>
      <c r="F372" s="57">
        <v>556.9</v>
      </c>
      <c r="G372" s="57">
        <v>627.49</v>
      </c>
      <c r="H372" s="41">
        <f t="shared" si="19"/>
        <v>604.4633333</v>
      </c>
      <c r="I372" s="49">
        <f t="shared" si="2"/>
        <v>0.1294666906</v>
      </c>
      <c r="J372" s="43">
        <f t="shared" si="38"/>
        <v>0.04059248148</v>
      </c>
      <c r="K372" s="58">
        <v>45938.0</v>
      </c>
      <c r="L372" s="50">
        <f t="shared" si="32"/>
        <v>46120</v>
      </c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5.75" customHeight="1">
      <c r="A373" s="9"/>
      <c r="B373" s="137">
        <v>1.00012465E8</v>
      </c>
      <c r="C373" s="98" t="s">
        <v>478</v>
      </c>
      <c r="D373" s="113" t="s">
        <v>481</v>
      </c>
      <c r="E373" s="132">
        <v>379.0</v>
      </c>
      <c r="F373" s="57">
        <v>419.0</v>
      </c>
      <c r="G373" s="57">
        <v>444.43</v>
      </c>
      <c r="H373" s="41">
        <f t="shared" si="19"/>
        <v>414.1433333</v>
      </c>
      <c r="I373" s="49">
        <f t="shared" si="2"/>
        <v>0.1726385224</v>
      </c>
      <c r="J373" s="43">
        <f t="shared" si="38"/>
        <v>0.07313088061</v>
      </c>
      <c r="K373" s="58">
        <v>45938.0</v>
      </c>
      <c r="L373" s="50">
        <f t="shared" si="32"/>
        <v>46120</v>
      </c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5.75" customHeight="1">
      <c r="A374" s="9"/>
      <c r="B374" s="137">
        <v>1.00012465E8</v>
      </c>
      <c r="C374" s="98" t="s">
        <v>478</v>
      </c>
      <c r="D374" s="113" t="s">
        <v>482</v>
      </c>
      <c r="E374" s="132">
        <v>498.0</v>
      </c>
      <c r="F374" s="57">
        <v>514.43</v>
      </c>
      <c r="G374" s="57">
        <v>549.0</v>
      </c>
      <c r="H374" s="41">
        <f t="shared" si="19"/>
        <v>520.4766667</v>
      </c>
      <c r="I374" s="49">
        <f t="shared" si="2"/>
        <v>0.1024096386</v>
      </c>
      <c r="J374" s="43">
        <f t="shared" si="38"/>
        <v>0.05480232863</v>
      </c>
      <c r="K374" s="58">
        <v>45938.0</v>
      </c>
      <c r="L374" s="50">
        <f t="shared" si="32"/>
        <v>46120</v>
      </c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5.75" customHeight="1">
      <c r="A375" s="9"/>
      <c r="B375" s="137">
        <v>1.00012465E8</v>
      </c>
      <c r="C375" s="98" t="s">
        <v>478</v>
      </c>
      <c r="D375" s="113" t="s">
        <v>483</v>
      </c>
      <c r="E375" s="132">
        <v>1084.5</v>
      </c>
      <c r="F375" s="57">
        <v>1035.31</v>
      </c>
      <c r="G375" s="57">
        <v>905.9</v>
      </c>
      <c r="H375" s="41">
        <f t="shared" si="19"/>
        <v>1008.57</v>
      </c>
      <c r="I375" s="49">
        <f t="shared" si="2"/>
        <v>0.1971520035</v>
      </c>
      <c r="J375" s="43">
        <f t="shared" si="38"/>
        <v>0.07528480919</v>
      </c>
      <c r="K375" s="58">
        <v>45938.0</v>
      </c>
      <c r="L375" s="50">
        <f t="shared" si="32"/>
        <v>46120</v>
      </c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5.75" customHeight="1">
      <c r="A376" s="9"/>
      <c r="B376" s="137">
        <v>1.00012465E8</v>
      </c>
      <c r="C376" s="98" t="s">
        <v>478</v>
      </c>
      <c r="D376" s="113" t="s">
        <v>484</v>
      </c>
      <c r="E376" s="101">
        <v>717.32</v>
      </c>
      <c r="F376" s="54">
        <v>599.99</v>
      </c>
      <c r="G376" s="54">
        <v>599.99</v>
      </c>
      <c r="H376" s="41">
        <f t="shared" si="19"/>
        <v>639.1</v>
      </c>
      <c r="I376" s="49">
        <f t="shared" si="2"/>
        <v>0.1955532592</v>
      </c>
      <c r="J376" s="43">
        <f t="shared" si="38"/>
        <v>0.1223908621</v>
      </c>
      <c r="K376" s="58">
        <v>45938.0</v>
      </c>
      <c r="L376" s="50">
        <f t="shared" si="32"/>
        <v>46120</v>
      </c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5.75" customHeight="1">
      <c r="A377" s="9"/>
      <c r="B377" s="137">
        <v>1.00012465E8</v>
      </c>
      <c r="C377" s="98" t="s">
        <v>478</v>
      </c>
      <c r="D377" s="113" t="s">
        <v>485</v>
      </c>
      <c r="E377" s="101">
        <v>2569.95</v>
      </c>
      <c r="F377" s="54">
        <v>2293.92</v>
      </c>
      <c r="G377" s="54">
        <v>2179.99</v>
      </c>
      <c r="H377" s="41">
        <f t="shared" si="19"/>
        <v>2347.953333</v>
      </c>
      <c r="I377" s="49">
        <f t="shared" si="2"/>
        <v>0.1788815545</v>
      </c>
      <c r="J377" s="43">
        <f t="shared" si="38"/>
        <v>0.09454901148</v>
      </c>
      <c r="K377" s="58">
        <v>45938.0</v>
      </c>
      <c r="L377" s="50">
        <f t="shared" si="32"/>
        <v>46120</v>
      </c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5.75" customHeight="1">
      <c r="A378" s="9"/>
      <c r="B378" s="137">
        <v>1.00012465E8</v>
      </c>
      <c r="C378" s="98" t="s">
        <v>478</v>
      </c>
      <c r="D378" s="113" t="s">
        <v>486</v>
      </c>
      <c r="E378" s="101">
        <v>1207.39</v>
      </c>
      <c r="F378" s="138">
        <v>1478.0</v>
      </c>
      <c r="G378" s="54" t="s">
        <v>487</v>
      </c>
      <c r="H378" s="41">
        <f t="shared" si="19"/>
        <v>895.13</v>
      </c>
      <c r="I378" s="49">
        <f t="shared" si="2"/>
        <v>0.2241280779</v>
      </c>
      <c r="J378" s="43">
        <f t="shared" si="38"/>
        <v>0.6511568152</v>
      </c>
      <c r="K378" s="58">
        <v>45938.0</v>
      </c>
      <c r="L378" s="50">
        <f t="shared" si="32"/>
        <v>46120</v>
      </c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5.75" customHeight="1">
      <c r="A379" s="9"/>
      <c r="B379" s="137">
        <v>1.00012465E8</v>
      </c>
      <c r="C379" s="98" t="s">
        <v>478</v>
      </c>
      <c r="D379" s="175" t="s">
        <v>488</v>
      </c>
      <c r="E379" s="101">
        <v>2287.0</v>
      </c>
      <c r="F379" s="54">
        <v>2188.42</v>
      </c>
      <c r="G379" s="54">
        <v>2287.0</v>
      </c>
      <c r="H379" s="41">
        <f t="shared" si="19"/>
        <v>2254.14</v>
      </c>
      <c r="I379" s="49">
        <f t="shared" si="2"/>
        <v>0.04504619771</v>
      </c>
      <c r="J379" s="43">
        <f t="shared" si="38"/>
        <v>0.01457762162</v>
      </c>
      <c r="K379" s="58">
        <v>45938.0</v>
      </c>
      <c r="L379" s="50">
        <f t="shared" si="32"/>
        <v>46120</v>
      </c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5.75" customHeight="1">
      <c r="A380" s="9"/>
      <c r="B380" s="137">
        <v>1.00012465E8</v>
      </c>
      <c r="C380" s="98" t="s">
        <v>478</v>
      </c>
      <c r="D380" s="113" t="s">
        <v>489</v>
      </c>
      <c r="E380" s="57">
        <v>5959.0</v>
      </c>
      <c r="F380" s="57">
        <v>4809.0</v>
      </c>
      <c r="G380" s="57">
        <v>6111.0</v>
      </c>
      <c r="H380" s="41">
        <f t="shared" si="19"/>
        <v>5626.333333</v>
      </c>
      <c r="I380" s="49">
        <f t="shared" si="2"/>
        <v>0.2707423581</v>
      </c>
      <c r="J380" s="43">
        <f t="shared" si="38"/>
        <v>0.08614254399</v>
      </c>
      <c r="K380" s="58">
        <v>45938.0</v>
      </c>
      <c r="L380" s="50">
        <f t="shared" si="32"/>
        <v>46120</v>
      </c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5.75" customHeight="1">
      <c r="A381" s="9"/>
      <c r="B381" s="137">
        <v>1.00012465E8</v>
      </c>
      <c r="C381" s="98" t="s">
        <v>478</v>
      </c>
      <c r="D381" s="113" t="s">
        <v>490</v>
      </c>
      <c r="E381" s="132">
        <v>5794.0</v>
      </c>
      <c r="F381" s="57">
        <v>5163.17</v>
      </c>
      <c r="G381" s="57">
        <v>6299.0</v>
      </c>
      <c r="H381" s="41">
        <f t="shared" si="19"/>
        <v>5752.056667</v>
      </c>
      <c r="I381" s="49">
        <f t="shared" si="2"/>
        <v>0.219986946</v>
      </c>
      <c r="J381" s="43">
        <f t="shared" si="38"/>
        <v>0.09508656904</v>
      </c>
      <c r="K381" s="58">
        <v>45939.0</v>
      </c>
      <c r="L381" s="50">
        <f t="shared" si="32"/>
        <v>46121</v>
      </c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8.0" customHeight="1">
      <c r="A382" s="9"/>
      <c r="B382" s="97">
        <v>1.00010206E8</v>
      </c>
      <c r="C382" s="98" t="s">
        <v>491</v>
      </c>
      <c r="D382" s="83"/>
      <c r="E382" s="132">
        <v>1677.43</v>
      </c>
      <c r="F382" s="57">
        <v>1631.16</v>
      </c>
      <c r="G382" s="57">
        <v>1396.0</v>
      </c>
      <c r="H382" s="41">
        <f t="shared" si="19"/>
        <v>1568.196667</v>
      </c>
      <c r="I382" s="49">
        <f t="shared" si="2"/>
        <v>0.2015974212</v>
      </c>
      <c r="J382" s="43">
        <f t="shared" si="38"/>
        <v>0.06965537911</v>
      </c>
      <c r="K382" s="58">
        <v>45939.0</v>
      </c>
      <c r="L382" s="50">
        <f t="shared" si="32"/>
        <v>46121</v>
      </c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8.0" customHeight="1">
      <c r="A383" s="9"/>
      <c r="B383" s="97">
        <v>1.00010149E8</v>
      </c>
      <c r="C383" s="98" t="s">
        <v>492</v>
      </c>
      <c r="D383" s="83"/>
      <c r="E383" s="132">
        <v>1131.05</v>
      </c>
      <c r="F383" s="57">
        <v>1049.0</v>
      </c>
      <c r="G383" s="57">
        <v>1111.09</v>
      </c>
      <c r="H383" s="41">
        <f t="shared" si="19"/>
        <v>1097.046667</v>
      </c>
      <c r="I383" s="49">
        <f t="shared" si="2"/>
        <v>0.07821734986</v>
      </c>
      <c r="J383" s="43">
        <f t="shared" si="38"/>
        <v>0.030995339</v>
      </c>
      <c r="K383" s="58">
        <v>45939.0</v>
      </c>
      <c r="L383" s="50">
        <f t="shared" si="32"/>
        <v>46121</v>
      </c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5.75" customHeight="1">
      <c r="A384" s="9"/>
      <c r="B384" s="97">
        <v>1.00010219E8</v>
      </c>
      <c r="C384" s="98" t="s">
        <v>493</v>
      </c>
      <c r="D384" s="83"/>
      <c r="E384" s="132">
        <v>691.15</v>
      </c>
      <c r="F384" s="57">
        <v>657.09</v>
      </c>
      <c r="G384" s="57">
        <v>681.42</v>
      </c>
      <c r="H384" s="41">
        <f t="shared" si="19"/>
        <v>676.5533333</v>
      </c>
      <c r="I384" s="49">
        <f t="shared" si="2"/>
        <v>0.05183460409</v>
      </c>
      <c r="J384" s="43">
        <f t="shared" si="38"/>
        <v>0.02157504213</v>
      </c>
      <c r="K384" s="58">
        <v>45939.0</v>
      </c>
      <c r="L384" s="50">
        <f t="shared" si="32"/>
        <v>46121</v>
      </c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5.75" customHeight="1">
      <c r="A385" s="9"/>
      <c r="B385" s="97">
        <v>1.00010219E8</v>
      </c>
      <c r="C385" s="98" t="s">
        <v>494</v>
      </c>
      <c r="D385" s="83"/>
      <c r="E385" s="132">
        <v>1289.0</v>
      </c>
      <c r="F385" s="57">
        <v>1483.9</v>
      </c>
      <c r="G385" s="57">
        <v>1349.0</v>
      </c>
      <c r="H385" s="41">
        <f t="shared" si="19"/>
        <v>1373.966667</v>
      </c>
      <c r="I385" s="49">
        <f t="shared" si="2"/>
        <v>0.1512024825</v>
      </c>
      <c r="J385" s="43">
        <f t="shared" si="38"/>
        <v>0.08001164512</v>
      </c>
      <c r="K385" s="58">
        <v>45939.0</v>
      </c>
      <c r="L385" s="50">
        <f t="shared" si="32"/>
        <v>46121</v>
      </c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5.75" customHeight="1">
      <c r="A386" s="9"/>
      <c r="B386" s="97">
        <v>1.00010219E8</v>
      </c>
      <c r="C386" s="98" t="s">
        <v>495</v>
      </c>
      <c r="D386" s="83"/>
      <c r="E386" s="101">
        <v>1318.9</v>
      </c>
      <c r="F386" s="54">
        <v>1199.0</v>
      </c>
      <c r="G386" s="54">
        <v>1248.0</v>
      </c>
      <c r="H386" s="41">
        <f t="shared" si="19"/>
        <v>1255.3</v>
      </c>
      <c r="I386" s="49">
        <f t="shared" si="2"/>
        <v>0.1</v>
      </c>
      <c r="J386" s="43">
        <f t="shared" si="38"/>
        <v>0.05066517964</v>
      </c>
      <c r="K386" s="58">
        <v>45939.0</v>
      </c>
      <c r="L386" s="50">
        <f t="shared" si="32"/>
        <v>46121</v>
      </c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8.0" customHeight="1">
      <c r="A387" s="9"/>
      <c r="B387" s="97">
        <v>1.00010773E8</v>
      </c>
      <c r="C387" s="98" t="s">
        <v>496</v>
      </c>
      <c r="D387" s="113" t="s">
        <v>497</v>
      </c>
      <c r="E387" s="101">
        <v>739.0</v>
      </c>
      <c r="F387" s="54">
        <v>739.0</v>
      </c>
      <c r="G387" s="54">
        <v>641.0</v>
      </c>
      <c r="H387" s="41">
        <f t="shared" si="19"/>
        <v>706.3333333</v>
      </c>
      <c r="I387" s="49">
        <f t="shared" si="2"/>
        <v>0.1528861154</v>
      </c>
      <c r="J387" s="43">
        <f t="shared" si="38"/>
        <v>0.0462482303</v>
      </c>
      <c r="K387" s="136">
        <v>45939.0</v>
      </c>
      <c r="L387" s="50">
        <f t="shared" si="32"/>
        <v>46121</v>
      </c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5.75" customHeight="1">
      <c r="A388" s="9"/>
      <c r="B388" s="97">
        <v>1.00010773E8</v>
      </c>
      <c r="C388" s="98" t="s">
        <v>498</v>
      </c>
      <c r="D388" s="113" t="s">
        <v>499</v>
      </c>
      <c r="E388" s="132">
        <v>8636.96</v>
      </c>
      <c r="F388" s="57">
        <v>7790.25</v>
      </c>
      <c r="G388" s="57">
        <v>10199.0</v>
      </c>
      <c r="H388" s="41">
        <f t="shared" si="19"/>
        <v>8875.403333</v>
      </c>
      <c r="I388" s="49">
        <f t="shared" si="2"/>
        <v>0.3092006033</v>
      </c>
      <c r="J388" s="43">
        <f t="shared" si="38"/>
        <v>0.1491308752</v>
      </c>
      <c r="K388" s="58">
        <v>45939.0</v>
      </c>
      <c r="L388" s="50">
        <f t="shared" si="32"/>
        <v>46121</v>
      </c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5.75" customHeight="1">
      <c r="A389" s="9"/>
      <c r="B389" s="97">
        <v>1.00012262E8</v>
      </c>
      <c r="C389" s="98" t="s">
        <v>500</v>
      </c>
      <c r="D389" s="83"/>
      <c r="E389" s="101">
        <v>1199.9</v>
      </c>
      <c r="F389" s="54">
        <v>1199.9</v>
      </c>
      <c r="G389" s="54">
        <v>999.0</v>
      </c>
      <c r="H389" s="41">
        <f t="shared" si="19"/>
        <v>1132.933333</v>
      </c>
      <c r="I389" s="49">
        <f t="shared" si="2"/>
        <v>0.2011011011</v>
      </c>
      <c r="J389" s="43">
        <f t="shared" si="38"/>
        <v>0.05910909733</v>
      </c>
      <c r="K389" s="58">
        <v>45939.0</v>
      </c>
      <c r="L389" s="50">
        <f t="shared" si="32"/>
        <v>46121</v>
      </c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5.75" customHeight="1">
      <c r="A390" s="9"/>
      <c r="B390" s="97">
        <v>1.00012474E8</v>
      </c>
      <c r="C390" s="181" t="s">
        <v>501</v>
      </c>
      <c r="D390" s="83"/>
      <c r="E390" s="132">
        <v>4600.0</v>
      </c>
      <c r="F390" s="57">
        <v>4390.0</v>
      </c>
      <c r="G390" s="57">
        <v>5313.79</v>
      </c>
      <c r="H390" s="41">
        <f t="shared" si="19"/>
        <v>4767.93</v>
      </c>
      <c r="I390" s="49">
        <f t="shared" si="2"/>
        <v>0.2104305239</v>
      </c>
      <c r="J390" s="43">
        <f t="shared" si="38"/>
        <v>0.1144857412</v>
      </c>
      <c r="K390" s="58">
        <v>45939.0</v>
      </c>
      <c r="L390" s="50">
        <f t="shared" si="32"/>
        <v>46121</v>
      </c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23.25" customHeight="1">
      <c r="A391" s="9"/>
      <c r="B391" s="97">
        <v>1.00012005E8</v>
      </c>
      <c r="C391" s="98" t="s">
        <v>502</v>
      </c>
      <c r="D391" s="83"/>
      <c r="E391" s="101">
        <v>499.0</v>
      </c>
      <c r="F391" s="54">
        <v>565.8</v>
      </c>
      <c r="G391" s="54">
        <v>499.0</v>
      </c>
      <c r="H391" s="41">
        <f t="shared" si="19"/>
        <v>521.2666667</v>
      </c>
      <c r="I391" s="49">
        <f t="shared" si="2"/>
        <v>0.1338677355</v>
      </c>
      <c r="J391" s="43"/>
      <c r="K391" s="58">
        <v>45939.0</v>
      </c>
      <c r="L391" s="45">
        <f t="shared" si="32"/>
        <v>46121</v>
      </c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20.25" customHeight="1">
      <c r="A392" s="9"/>
      <c r="B392" s="97">
        <v>1.00012245E8</v>
      </c>
      <c r="C392" s="98" t="s">
        <v>503</v>
      </c>
      <c r="D392" s="83"/>
      <c r="E392" s="101">
        <v>251.44</v>
      </c>
      <c r="F392" s="54">
        <v>233.21</v>
      </c>
      <c r="G392" s="54">
        <v>248.64</v>
      </c>
      <c r="H392" s="41">
        <f t="shared" si="19"/>
        <v>244.43</v>
      </c>
      <c r="I392" s="49">
        <f t="shared" si="2"/>
        <v>0.0781698898</v>
      </c>
      <c r="J392" s="43"/>
      <c r="K392" s="58">
        <v>45939.0</v>
      </c>
      <c r="L392" s="45">
        <f t="shared" si="32"/>
        <v>46121</v>
      </c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5.75" customHeight="1">
      <c r="A393" s="9"/>
      <c r="B393" s="97">
        <v>1.00010146E8</v>
      </c>
      <c r="C393" s="98" t="s">
        <v>504</v>
      </c>
      <c r="D393" s="83"/>
      <c r="E393" s="101">
        <v>497.94</v>
      </c>
      <c r="F393" s="54">
        <v>497.94</v>
      </c>
      <c r="G393" s="54">
        <v>497.94</v>
      </c>
      <c r="H393" s="41">
        <f t="shared" si="19"/>
        <v>497.94</v>
      </c>
      <c r="I393" s="49">
        <f t="shared" si="2"/>
        <v>0</v>
      </c>
      <c r="J393" s="43">
        <f t="shared" ref="J393:J417" si="39">IF(ISERROR(MAX(E393:G393)/H393-1),"",(MAX(E393:G393)/H393-1))</f>
        <v>0</v>
      </c>
      <c r="K393" s="58">
        <v>45939.0</v>
      </c>
      <c r="L393" s="50">
        <f t="shared" si="32"/>
        <v>46121</v>
      </c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5.75" customHeight="1">
      <c r="A394" s="9"/>
      <c r="B394" s="97">
        <v>1.00010146E8</v>
      </c>
      <c r="C394" s="98" t="s">
        <v>505</v>
      </c>
      <c r="D394" s="83"/>
      <c r="E394" s="101">
        <v>287.77</v>
      </c>
      <c r="F394" s="54">
        <v>336.9</v>
      </c>
      <c r="G394" s="54">
        <v>299.0</v>
      </c>
      <c r="H394" s="41">
        <f t="shared" si="19"/>
        <v>307.89</v>
      </c>
      <c r="I394" s="49">
        <f t="shared" si="2"/>
        <v>0.170726622</v>
      </c>
      <c r="J394" s="43">
        <f t="shared" si="39"/>
        <v>0.09422196239</v>
      </c>
      <c r="K394" s="58">
        <v>45939.0</v>
      </c>
      <c r="L394" s="50">
        <f t="shared" si="32"/>
        <v>46121</v>
      </c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5.75" customHeight="1">
      <c r="A395" s="9"/>
      <c r="B395" s="97">
        <v>1.00010146E8</v>
      </c>
      <c r="C395" s="98" t="s">
        <v>506</v>
      </c>
      <c r="D395" s="83"/>
      <c r="E395" s="101">
        <v>739.0</v>
      </c>
      <c r="F395" s="54">
        <v>739.0</v>
      </c>
      <c r="G395" s="54">
        <v>739.0</v>
      </c>
      <c r="H395" s="41">
        <f t="shared" si="19"/>
        <v>739</v>
      </c>
      <c r="I395" s="49">
        <f t="shared" si="2"/>
        <v>0</v>
      </c>
      <c r="J395" s="43">
        <f t="shared" si="39"/>
        <v>0</v>
      </c>
      <c r="K395" s="58">
        <v>45939.0</v>
      </c>
      <c r="L395" s="50">
        <f t="shared" si="32"/>
        <v>46121</v>
      </c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5.75" customHeight="1">
      <c r="A396" s="9"/>
      <c r="B396" s="97">
        <v>1.00012614E8</v>
      </c>
      <c r="C396" s="98" t="s">
        <v>507</v>
      </c>
      <c r="D396" s="113" t="s">
        <v>508</v>
      </c>
      <c r="E396" s="101">
        <v>257.9</v>
      </c>
      <c r="F396" s="54">
        <v>289.9</v>
      </c>
      <c r="G396" s="54">
        <v>290.9</v>
      </c>
      <c r="H396" s="41">
        <f t="shared" si="19"/>
        <v>279.5666667</v>
      </c>
      <c r="I396" s="49">
        <f t="shared" si="2"/>
        <v>0.1279565723</v>
      </c>
      <c r="J396" s="43">
        <f t="shared" si="39"/>
        <v>0.0405389293</v>
      </c>
      <c r="K396" s="58">
        <v>45939.0</v>
      </c>
      <c r="L396" s="50">
        <f t="shared" si="32"/>
        <v>46121</v>
      </c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15.75" customHeight="1">
      <c r="A397" s="9"/>
      <c r="B397" s="97">
        <v>1.00012614E8</v>
      </c>
      <c r="C397" s="98" t="s">
        <v>507</v>
      </c>
      <c r="D397" s="113" t="s">
        <v>509</v>
      </c>
      <c r="E397" s="132">
        <v>111.1</v>
      </c>
      <c r="F397" s="57">
        <v>125.6</v>
      </c>
      <c r="G397" s="57">
        <v>111.1</v>
      </c>
      <c r="H397" s="41">
        <f t="shared" si="19"/>
        <v>115.9333333</v>
      </c>
      <c r="I397" s="49">
        <f t="shared" si="2"/>
        <v>0.1305130513</v>
      </c>
      <c r="J397" s="43">
        <f t="shared" si="39"/>
        <v>0.08338125359</v>
      </c>
      <c r="K397" s="58">
        <v>45939.0</v>
      </c>
      <c r="L397" s="50">
        <f t="shared" si="32"/>
        <v>46121</v>
      </c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18.75" customHeight="1">
      <c r="A398" s="9"/>
      <c r="B398" s="97">
        <v>1.00012356E8</v>
      </c>
      <c r="C398" s="98" t="s">
        <v>510</v>
      </c>
      <c r="D398" s="83"/>
      <c r="E398" s="132">
        <v>838.48</v>
      </c>
      <c r="F398" s="57">
        <v>867.0</v>
      </c>
      <c r="G398" s="57">
        <v>955.53</v>
      </c>
      <c r="H398" s="41">
        <f t="shared" si="19"/>
        <v>887.0033333</v>
      </c>
      <c r="I398" s="49">
        <f t="shared" si="2"/>
        <v>0.1395978437</v>
      </c>
      <c r="J398" s="43">
        <f t="shared" si="39"/>
        <v>0.0772563801</v>
      </c>
      <c r="K398" s="58">
        <v>45939.0</v>
      </c>
      <c r="L398" s="50">
        <f t="shared" si="32"/>
        <v>46121</v>
      </c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8.75" customHeight="1">
      <c r="A399" s="9"/>
      <c r="B399" s="97">
        <v>1.00012461E8</v>
      </c>
      <c r="C399" s="98" t="s">
        <v>511</v>
      </c>
      <c r="D399" s="83"/>
      <c r="E399" s="132">
        <v>288.87</v>
      </c>
      <c r="F399" s="57">
        <v>248.99</v>
      </c>
      <c r="G399" s="57">
        <v>299.98</v>
      </c>
      <c r="H399" s="41">
        <f t="shared" si="19"/>
        <v>279.28</v>
      </c>
      <c r="I399" s="49">
        <f t="shared" si="2"/>
        <v>0.2047873409</v>
      </c>
      <c r="J399" s="43">
        <f t="shared" si="39"/>
        <v>0.07411916356</v>
      </c>
      <c r="K399" s="58">
        <v>45939.0</v>
      </c>
      <c r="L399" s="50">
        <f t="shared" si="32"/>
        <v>46121</v>
      </c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5.75" customHeight="1">
      <c r="A400" s="9"/>
      <c r="B400" s="97">
        <v>1.00012511E8</v>
      </c>
      <c r="C400" s="98" t="s">
        <v>512</v>
      </c>
      <c r="D400" s="113" t="s">
        <v>513</v>
      </c>
      <c r="E400" s="101">
        <v>48578.01</v>
      </c>
      <c r="F400" s="54">
        <v>45936.48</v>
      </c>
      <c r="G400" s="54">
        <v>46369.14</v>
      </c>
      <c r="H400" s="41">
        <f t="shared" si="19"/>
        <v>46961.21</v>
      </c>
      <c r="I400" s="49">
        <f t="shared" si="2"/>
        <v>0.0575039707</v>
      </c>
      <c r="J400" s="43">
        <f t="shared" si="39"/>
        <v>0.03442841443</v>
      </c>
      <c r="K400" s="58">
        <v>45940.0</v>
      </c>
      <c r="L400" s="50">
        <f t="shared" si="32"/>
        <v>46122</v>
      </c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5.75" customHeight="1">
      <c r="A401" s="9"/>
      <c r="B401" s="97">
        <v>1.00010152E8</v>
      </c>
      <c r="C401" s="98" t="s">
        <v>514</v>
      </c>
      <c r="D401" s="83"/>
      <c r="E401" s="101"/>
      <c r="F401" s="54">
        <v>1879.0</v>
      </c>
      <c r="G401" s="54">
        <v>1699.0</v>
      </c>
      <c r="H401" s="41">
        <f t="shared" si="19"/>
        <v>1192.666667</v>
      </c>
      <c r="I401" s="49">
        <f t="shared" si="2"/>
        <v>0.1059446733</v>
      </c>
      <c r="J401" s="43">
        <f t="shared" si="39"/>
        <v>0.5754611515</v>
      </c>
      <c r="K401" s="182">
        <v>45940.0</v>
      </c>
      <c r="L401" s="50">
        <f t="shared" si="32"/>
        <v>46122</v>
      </c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5.75" customHeight="1">
      <c r="A402" s="9"/>
      <c r="B402" s="97">
        <v>1.00012468E8</v>
      </c>
      <c r="C402" s="98" t="s">
        <v>515</v>
      </c>
      <c r="D402" s="83"/>
      <c r="E402" s="101">
        <v>11111.0</v>
      </c>
      <c r="F402" s="54">
        <v>13843.17</v>
      </c>
      <c r="G402" s="54">
        <v>11339.7</v>
      </c>
      <c r="H402" s="41">
        <f t="shared" si="19"/>
        <v>12097.95667</v>
      </c>
      <c r="I402" s="49">
        <f t="shared" si="2"/>
        <v>0.245897759</v>
      </c>
      <c r="J402" s="43">
        <f t="shared" si="39"/>
        <v>0.1442568676</v>
      </c>
      <c r="K402" s="58">
        <v>45940.0</v>
      </c>
      <c r="L402" s="50">
        <f t="shared" si="32"/>
        <v>46122</v>
      </c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7.25" customHeight="1">
      <c r="A403" s="9"/>
      <c r="B403" s="97">
        <v>1.0001279E8</v>
      </c>
      <c r="C403" s="98" t="s">
        <v>516</v>
      </c>
      <c r="D403" s="83"/>
      <c r="E403" s="101">
        <v>1890.0</v>
      </c>
      <c r="F403" s="54">
        <v>1843.0</v>
      </c>
      <c r="G403" s="54">
        <v>1900.0</v>
      </c>
      <c r="H403" s="41">
        <f t="shared" si="19"/>
        <v>1877.666667</v>
      </c>
      <c r="I403" s="49">
        <f t="shared" si="2"/>
        <v>0.03092783505</v>
      </c>
      <c r="J403" s="43">
        <f t="shared" si="39"/>
        <v>0.01189419492</v>
      </c>
      <c r="K403" s="58">
        <v>45940.0</v>
      </c>
      <c r="L403" s="50">
        <f t="shared" si="32"/>
        <v>46122</v>
      </c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21.0" customHeight="1">
      <c r="A404" s="9"/>
      <c r="B404" s="97">
        <v>1.00012813E8</v>
      </c>
      <c r="C404" s="98" t="s">
        <v>517</v>
      </c>
      <c r="D404" s="83"/>
      <c r="E404" s="132">
        <v>777.76</v>
      </c>
      <c r="F404" s="57">
        <v>897.87</v>
      </c>
      <c r="G404" s="57">
        <v>738.52</v>
      </c>
      <c r="H404" s="41">
        <f t="shared" si="19"/>
        <v>804.7166667</v>
      </c>
      <c r="I404" s="49">
        <f t="shared" si="2"/>
        <v>0.2157693766</v>
      </c>
      <c r="J404" s="43">
        <f t="shared" si="39"/>
        <v>0.1157591699</v>
      </c>
      <c r="K404" s="58">
        <v>45940.0</v>
      </c>
      <c r="L404" s="50">
        <f t="shared" si="32"/>
        <v>46122</v>
      </c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5.75" customHeight="1">
      <c r="A405" s="9"/>
      <c r="B405" s="97">
        <v>1.00013119E8</v>
      </c>
      <c r="C405" s="98" t="s">
        <v>518</v>
      </c>
      <c r="D405" s="83"/>
      <c r="E405" s="101">
        <v>1129.0</v>
      </c>
      <c r="F405" s="54">
        <v>1254.44</v>
      </c>
      <c r="G405" s="54">
        <v>1452.98</v>
      </c>
      <c r="H405" s="41">
        <f t="shared" si="19"/>
        <v>1278.806667</v>
      </c>
      <c r="I405" s="49">
        <f t="shared" si="2"/>
        <v>0.2869619132</v>
      </c>
      <c r="J405" s="43">
        <f t="shared" si="39"/>
        <v>0.1361998947</v>
      </c>
      <c r="K405" s="58">
        <v>45940.0</v>
      </c>
      <c r="L405" s="50">
        <f t="shared" si="32"/>
        <v>46122</v>
      </c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5.75" customHeight="1">
      <c r="A406" s="9"/>
      <c r="B406" s="97">
        <v>1.00013058E8</v>
      </c>
      <c r="C406" s="98" t="s">
        <v>519</v>
      </c>
      <c r="D406" s="83"/>
      <c r="E406" s="101">
        <v>1795.0</v>
      </c>
      <c r="F406" s="54">
        <v>1483.96</v>
      </c>
      <c r="G406" s="54">
        <v>1792.0</v>
      </c>
      <c r="H406" s="41">
        <f t="shared" si="19"/>
        <v>1690.32</v>
      </c>
      <c r="I406" s="49">
        <f t="shared" si="2"/>
        <v>0.209601337</v>
      </c>
      <c r="J406" s="43">
        <f t="shared" si="39"/>
        <v>0.06192910218</v>
      </c>
      <c r="K406" s="58">
        <v>45940.0</v>
      </c>
      <c r="L406" s="50">
        <f t="shared" si="32"/>
        <v>46122</v>
      </c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5.75" customHeight="1">
      <c r="A407" s="9"/>
      <c r="B407" s="97">
        <v>1.00013081E8</v>
      </c>
      <c r="C407" s="98" t="s">
        <v>520</v>
      </c>
      <c r="D407" s="113">
        <v>5638.0</v>
      </c>
      <c r="E407" s="132">
        <v>5013.0</v>
      </c>
      <c r="F407" s="57">
        <v>5154.44</v>
      </c>
      <c r="G407" s="57">
        <v>4490.0</v>
      </c>
      <c r="H407" s="41">
        <f t="shared" si="19"/>
        <v>4885.813333</v>
      </c>
      <c r="I407" s="49">
        <f t="shared" si="2"/>
        <v>0.1479821826</v>
      </c>
      <c r="J407" s="43">
        <f t="shared" si="39"/>
        <v>0.05498095165</v>
      </c>
      <c r="K407" s="58">
        <v>45940.0</v>
      </c>
      <c r="L407" s="50">
        <f t="shared" si="32"/>
        <v>46122</v>
      </c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5.75" customHeight="1">
      <c r="A408" s="9"/>
      <c r="B408" s="97">
        <v>1.00013081E8</v>
      </c>
      <c r="C408" s="98" t="s">
        <v>520</v>
      </c>
      <c r="D408" s="113" t="s">
        <v>521</v>
      </c>
      <c r="E408" s="132">
        <v>2595.0</v>
      </c>
      <c r="F408" s="57">
        <v>2333.32</v>
      </c>
      <c r="G408" s="57">
        <v>2333.32</v>
      </c>
      <c r="H408" s="41">
        <f t="shared" si="19"/>
        <v>2420.546667</v>
      </c>
      <c r="I408" s="49">
        <f t="shared" si="2"/>
        <v>0.1121492123</v>
      </c>
      <c r="J408" s="43">
        <f t="shared" si="39"/>
        <v>0.07207187357</v>
      </c>
      <c r="K408" s="58">
        <v>45940.0</v>
      </c>
      <c r="L408" s="50">
        <f t="shared" ref="L408:L411" si="40">EDATE(K409,6)</f>
        <v>46122</v>
      </c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5.75" customHeight="1">
      <c r="A409" s="9"/>
      <c r="B409" s="97">
        <v>1.00012635E8</v>
      </c>
      <c r="C409" s="183" t="s">
        <v>522</v>
      </c>
      <c r="D409" s="83"/>
      <c r="E409" s="132">
        <v>1012.37</v>
      </c>
      <c r="F409" s="57">
        <v>805.98</v>
      </c>
      <c r="G409" s="181">
        <v>826.2</v>
      </c>
      <c r="H409" s="41">
        <f t="shared" si="19"/>
        <v>881.5166667</v>
      </c>
      <c r="I409" s="49">
        <f t="shared" si="2"/>
        <v>0.2560733517</v>
      </c>
      <c r="J409" s="43">
        <f t="shared" si="39"/>
        <v>0.1484411337</v>
      </c>
      <c r="K409" s="58">
        <v>45940.0</v>
      </c>
      <c r="L409" s="50">
        <f t="shared" si="40"/>
        <v>46122</v>
      </c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15.75" customHeight="1">
      <c r="A410" s="9"/>
      <c r="B410" s="97">
        <v>1.00013086E8</v>
      </c>
      <c r="C410" s="98" t="s">
        <v>523</v>
      </c>
      <c r="D410" s="135" t="s">
        <v>524</v>
      </c>
      <c r="E410" s="101">
        <v>1349.0</v>
      </c>
      <c r="F410" s="54">
        <v>1411.74</v>
      </c>
      <c r="G410" s="54">
        <v>1493.29</v>
      </c>
      <c r="H410" s="41">
        <f t="shared" si="19"/>
        <v>1418.01</v>
      </c>
      <c r="I410" s="49">
        <f t="shared" si="2"/>
        <v>0.1069607116</v>
      </c>
      <c r="J410" s="43">
        <f t="shared" si="39"/>
        <v>0.05308848316</v>
      </c>
      <c r="K410" s="58">
        <v>45940.0</v>
      </c>
      <c r="L410" s="50">
        <f t="shared" si="40"/>
        <v>46122</v>
      </c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5.75" customHeight="1">
      <c r="A411" s="9"/>
      <c r="B411" s="97">
        <v>1.00013086E8</v>
      </c>
      <c r="C411" s="98" t="s">
        <v>523</v>
      </c>
      <c r="D411" s="113" t="s">
        <v>525</v>
      </c>
      <c r="E411" s="132">
        <v>1849.0</v>
      </c>
      <c r="F411" s="57">
        <v>1941.15</v>
      </c>
      <c r="G411" s="57">
        <v>1941.15</v>
      </c>
      <c r="H411" s="41">
        <f t="shared" si="19"/>
        <v>1910.433333</v>
      </c>
      <c r="I411" s="49">
        <f t="shared" si="2"/>
        <v>0.04983775014</v>
      </c>
      <c r="J411" s="43">
        <f t="shared" si="39"/>
        <v>0.01607837663</v>
      </c>
      <c r="K411" s="58">
        <v>45940.0</v>
      </c>
      <c r="L411" s="50">
        <f t="shared" si="40"/>
        <v>46122</v>
      </c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5.75" customHeight="1">
      <c r="A412" s="9"/>
      <c r="B412" s="137">
        <v>1.00012737E8</v>
      </c>
      <c r="C412" s="98" t="s">
        <v>526</v>
      </c>
      <c r="D412" s="175" t="s">
        <v>527</v>
      </c>
      <c r="E412" s="101">
        <v>4657.61</v>
      </c>
      <c r="F412" s="54">
        <v>5500.0</v>
      </c>
      <c r="G412" s="54">
        <v>4444.9</v>
      </c>
      <c r="H412" s="41">
        <f t="shared" si="19"/>
        <v>4867.503333</v>
      </c>
      <c r="I412" s="49">
        <f t="shared" si="2"/>
        <v>0.2373731693</v>
      </c>
      <c r="J412" s="43">
        <f t="shared" si="39"/>
        <v>0.129942729</v>
      </c>
      <c r="K412" s="58">
        <v>45940.0</v>
      </c>
      <c r="L412" s="50">
        <f t="shared" ref="L412:L429" si="41">EDATE(K412,6)</f>
        <v>46122</v>
      </c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5.75" customHeight="1">
      <c r="A413" s="9"/>
      <c r="B413" s="137">
        <v>1.00012737E8</v>
      </c>
      <c r="C413" s="98" t="s">
        <v>526</v>
      </c>
      <c r="D413" s="113" t="s">
        <v>528</v>
      </c>
      <c r="E413" s="132">
        <v>629.99</v>
      </c>
      <c r="F413" s="57">
        <v>594.0</v>
      </c>
      <c r="G413" s="57">
        <v>555.5</v>
      </c>
      <c r="H413" s="41">
        <f t="shared" si="19"/>
        <v>593.1633333</v>
      </c>
      <c r="I413" s="49">
        <f t="shared" si="2"/>
        <v>0.1340954095</v>
      </c>
      <c r="J413" s="43">
        <f t="shared" si="39"/>
        <v>0.06208520419</v>
      </c>
      <c r="K413" s="58">
        <v>45940.0</v>
      </c>
      <c r="L413" s="50">
        <f t="shared" si="41"/>
        <v>46122</v>
      </c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5.75" customHeight="1">
      <c r="A414" s="9"/>
      <c r="B414" s="137">
        <v>1.00012737E8</v>
      </c>
      <c r="C414" s="98" t="s">
        <v>526</v>
      </c>
      <c r="D414" s="113" t="s">
        <v>529</v>
      </c>
      <c r="E414" s="132">
        <v>1205.8</v>
      </c>
      <c r="F414" s="184">
        <v>1325.06</v>
      </c>
      <c r="G414" s="57">
        <v>1299.0</v>
      </c>
      <c r="H414" s="41">
        <f t="shared" si="19"/>
        <v>1276.62</v>
      </c>
      <c r="I414" s="49">
        <f t="shared" si="2"/>
        <v>0.09890529109</v>
      </c>
      <c r="J414" s="43">
        <f t="shared" si="39"/>
        <v>0.03794394573</v>
      </c>
      <c r="K414" s="182">
        <v>45940.0</v>
      </c>
      <c r="L414" s="50">
        <f t="shared" si="41"/>
        <v>46122</v>
      </c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5.75" customHeight="1">
      <c r="A415" s="9"/>
      <c r="B415" s="97">
        <v>1.00013081E8</v>
      </c>
      <c r="C415" s="98" t="s">
        <v>530</v>
      </c>
      <c r="D415" s="113" t="s">
        <v>531</v>
      </c>
      <c r="E415" s="132">
        <v>805.0</v>
      </c>
      <c r="F415" s="57">
        <v>640.9</v>
      </c>
      <c r="G415" s="57">
        <v>754.0</v>
      </c>
      <c r="H415" s="41">
        <f t="shared" si="19"/>
        <v>733.3</v>
      </c>
      <c r="I415" s="49">
        <f t="shared" si="2"/>
        <v>0.2560461851</v>
      </c>
      <c r="J415" s="43">
        <f t="shared" si="39"/>
        <v>0.09777717169</v>
      </c>
      <c r="K415" s="58">
        <v>45940.0</v>
      </c>
      <c r="L415" s="50">
        <f t="shared" si="41"/>
        <v>46122</v>
      </c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5.75" customHeight="1">
      <c r="A416" s="9"/>
      <c r="B416" s="97">
        <v>1.00013081E8</v>
      </c>
      <c r="C416" s="98" t="s">
        <v>530</v>
      </c>
      <c r="D416" s="113" t="s">
        <v>532</v>
      </c>
      <c r="E416" s="101">
        <v>592.52</v>
      </c>
      <c r="F416" s="54">
        <v>559.99</v>
      </c>
      <c r="G416" s="54">
        <v>469.0</v>
      </c>
      <c r="H416" s="41">
        <f t="shared" si="19"/>
        <v>540.5033333</v>
      </c>
      <c r="I416" s="49">
        <f t="shared" si="2"/>
        <v>0.2633688699</v>
      </c>
      <c r="J416" s="43">
        <f t="shared" si="39"/>
        <v>0.09623745768</v>
      </c>
      <c r="K416" s="58">
        <v>45940.0</v>
      </c>
      <c r="L416" s="50">
        <f t="shared" si="41"/>
        <v>46122</v>
      </c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5.75" customHeight="1">
      <c r="A417" s="9"/>
      <c r="B417" s="97">
        <v>1.00013081E8</v>
      </c>
      <c r="C417" s="98" t="s">
        <v>530</v>
      </c>
      <c r="D417" s="113" t="s">
        <v>533</v>
      </c>
      <c r="E417" s="101">
        <v>776.09</v>
      </c>
      <c r="F417" s="54">
        <v>776.09</v>
      </c>
      <c r="G417" s="54">
        <v>890.0</v>
      </c>
      <c r="H417" s="41">
        <f t="shared" si="19"/>
        <v>814.06</v>
      </c>
      <c r="I417" s="49">
        <f t="shared" si="2"/>
        <v>0.1467742143</v>
      </c>
      <c r="J417" s="43">
        <f t="shared" si="39"/>
        <v>0.09328550721</v>
      </c>
      <c r="K417" s="58">
        <v>45940.0</v>
      </c>
      <c r="L417" s="50">
        <f t="shared" si="41"/>
        <v>46122</v>
      </c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5.75" customHeight="1">
      <c r="A418" s="9"/>
      <c r="B418" s="97">
        <v>1.00013081E8</v>
      </c>
      <c r="C418" s="98" t="s">
        <v>530</v>
      </c>
      <c r="D418" s="113" t="s">
        <v>534</v>
      </c>
      <c r="E418" s="101">
        <v>950.62</v>
      </c>
      <c r="F418" s="54">
        <v>1118.38</v>
      </c>
      <c r="G418" s="54">
        <v>1210.93</v>
      </c>
      <c r="H418" s="41">
        <f t="shared" si="19"/>
        <v>1093.31</v>
      </c>
      <c r="I418" s="49">
        <f t="shared" si="2"/>
        <v>0.273831815</v>
      </c>
      <c r="J418" s="125"/>
      <c r="K418" s="185">
        <v>45943.0</v>
      </c>
      <c r="L418" s="50">
        <f t="shared" si="41"/>
        <v>46125</v>
      </c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5.75" customHeight="1">
      <c r="A419" s="9"/>
      <c r="B419" s="97">
        <v>1.00012819E8</v>
      </c>
      <c r="C419" s="98" t="s">
        <v>535</v>
      </c>
      <c r="D419" s="83"/>
      <c r="E419" s="101">
        <v>7079.4</v>
      </c>
      <c r="F419" s="54">
        <v>5929.4</v>
      </c>
      <c r="G419" s="54">
        <v>5756.57</v>
      </c>
      <c r="H419" s="41">
        <f t="shared" si="19"/>
        <v>6255.123333</v>
      </c>
      <c r="I419" s="49">
        <f t="shared" si="2"/>
        <v>0.2297948257</v>
      </c>
      <c r="J419" s="43">
        <f t="shared" ref="J419:J431" si="42">IF(ISERROR(MAX(E419:G419)/H419-1),"",(MAX(E419:G419)/H419-1))</f>
        <v>0.1317762453</v>
      </c>
      <c r="K419" s="58">
        <v>45943.0</v>
      </c>
      <c r="L419" s="50">
        <f t="shared" si="41"/>
        <v>46125</v>
      </c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5.75" customHeight="1">
      <c r="A420" s="9"/>
      <c r="B420" s="97">
        <v>1.00013086E8</v>
      </c>
      <c r="C420" s="98" t="s">
        <v>536</v>
      </c>
      <c r="D420" s="113" t="s">
        <v>537</v>
      </c>
      <c r="E420" s="101">
        <v>1169.9</v>
      </c>
      <c r="F420" s="54">
        <v>1187.9</v>
      </c>
      <c r="G420" s="54">
        <v>1165.9</v>
      </c>
      <c r="H420" s="41">
        <f t="shared" si="19"/>
        <v>1174.566667</v>
      </c>
      <c r="I420" s="49">
        <f t="shared" si="2"/>
        <v>0.01886954284</v>
      </c>
      <c r="J420" s="43">
        <f t="shared" si="42"/>
        <v>0.01135170417</v>
      </c>
      <c r="K420" s="185">
        <v>45940.0</v>
      </c>
      <c r="L420" s="50">
        <f t="shared" si="41"/>
        <v>46122</v>
      </c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5.75" customHeight="1">
      <c r="A421" s="9"/>
      <c r="B421" s="97">
        <v>1.00013086E8</v>
      </c>
      <c r="C421" s="98" t="s">
        <v>536</v>
      </c>
      <c r="D421" s="113" t="s">
        <v>538</v>
      </c>
      <c r="E421" s="132">
        <v>1708.9</v>
      </c>
      <c r="F421" s="57">
        <v>1678.9</v>
      </c>
      <c r="G421" s="57">
        <v>1499.0</v>
      </c>
      <c r="H421" s="41">
        <f t="shared" si="19"/>
        <v>1628.933333</v>
      </c>
      <c r="I421" s="49">
        <f t="shared" si="2"/>
        <v>0.1400266845</v>
      </c>
      <c r="J421" s="43">
        <f t="shared" si="42"/>
        <v>0.04909142997</v>
      </c>
      <c r="K421" s="185">
        <v>45940.0</v>
      </c>
      <c r="L421" s="50">
        <f t="shared" si="41"/>
        <v>46122</v>
      </c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5.75" customHeight="1">
      <c r="A422" s="9"/>
      <c r="B422" s="97">
        <v>1.00013095E8</v>
      </c>
      <c r="C422" s="98" t="s">
        <v>539</v>
      </c>
      <c r="D422" s="113" t="s">
        <v>540</v>
      </c>
      <c r="E422" s="101">
        <v>707.99</v>
      </c>
      <c r="F422" s="54">
        <v>677.0</v>
      </c>
      <c r="G422" s="54">
        <v>707.99</v>
      </c>
      <c r="H422" s="41">
        <f t="shared" si="19"/>
        <v>697.66</v>
      </c>
      <c r="I422" s="49">
        <f t="shared" si="2"/>
        <v>0.04577548006</v>
      </c>
      <c r="J422" s="43">
        <f t="shared" si="42"/>
        <v>0.01480663934</v>
      </c>
      <c r="K422" s="185">
        <v>45940.0</v>
      </c>
      <c r="L422" s="50">
        <f t="shared" si="41"/>
        <v>46122</v>
      </c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5.75" customHeight="1">
      <c r="A423" s="9"/>
      <c r="B423" s="137">
        <v>1.00013121E8</v>
      </c>
      <c r="C423" s="98" t="s">
        <v>541</v>
      </c>
      <c r="D423" s="113" t="s">
        <v>542</v>
      </c>
      <c r="E423" s="101">
        <v>2512.9</v>
      </c>
      <c r="F423" s="54">
        <v>2499.0</v>
      </c>
      <c r="G423" s="54">
        <v>1918.73</v>
      </c>
      <c r="H423" s="41">
        <f t="shared" si="19"/>
        <v>2310.21</v>
      </c>
      <c r="I423" s="49">
        <f t="shared" si="2"/>
        <v>0.3096683744</v>
      </c>
      <c r="J423" s="43">
        <f t="shared" si="42"/>
        <v>0.08773661269</v>
      </c>
      <c r="K423" s="185">
        <v>45940.0</v>
      </c>
      <c r="L423" s="50">
        <f t="shared" si="41"/>
        <v>46122</v>
      </c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5.75" customHeight="1">
      <c r="A424" s="9"/>
      <c r="B424" s="137">
        <v>1.00013121E8</v>
      </c>
      <c r="C424" s="98" t="s">
        <v>541</v>
      </c>
      <c r="D424" s="113" t="s">
        <v>543</v>
      </c>
      <c r="E424" s="101">
        <v>1658.4</v>
      </c>
      <c r="F424" s="54">
        <v>1690.0</v>
      </c>
      <c r="G424" s="54">
        <v>1500.1</v>
      </c>
      <c r="H424" s="41">
        <f t="shared" si="19"/>
        <v>1616.166667</v>
      </c>
      <c r="I424" s="49">
        <f t="shared" si="2"/>
        <v>0.1265915606</v>
      </c>
      <c r="J424" s="43">
        <f t="shared" si="42"/>
        <v>0.04568423224</v>
      </c>
      <c r="K424" s="185">
        <v>45940.0</v>
      </c>
      <c r="L424" s="50">
        <f t="shared" si="41"/>
        <v>46122</v>
      </c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5.75" customHeight="1">
      <c r="A425" s="9"/>
      <c r="B425" s="150">
        <v>1.00013121E8</v>
      </c>
      <c r="C425" s="151" t="s">
        <v>541</v>
      </c>
      <c r="D425" s="152" t="s">
        <v>544</v>
      </c>
      <c r="E425" s="171"/>
      <c r="F425" s="172"/>
      <c r="G425" s="172"/>
      <c r="H425" s="155">
        <f t="shared" si="19"/>
        <v>0</v>
      </c>
      <c r="I425" s="156" t="str">
        <f t="shared" si="2"/>
        <v/>
      </c>
      <c r="J425" s="157" t="str">
        <f t="shared" si="42"/>
        <v/>
      </c>
      <c r="K425" s="186">
        <v>45940.0</v>
      </c>
      <c r="L425" s="159">
        <f t="shared" si="41"/>
        <v>46122</v>
      </c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5.75" customHeight="1">
      <c r="A426" s="9"/>
      <c r="B426" s="97">
        <v>1.0001311E8</v>
      </c>
      <c r="C426" s="98" t="s">
        <v>545</v>
      </c>
      <c r="D426" s="113" t="s">
        <v>546</v>
      </c>
      <c r="E426" s="101">
        <v>1998.0</v>
      </c>
      <c r="F426" s="54">
        <v>1742.3</v>
      </c>
      <c r="G426" s="54">
        <v>1892.83</v>
      </c>
      <c r="H426" s="41">
        <f t="shared" si="19"/>
        <v>1877.71</v>
      </c>
      <c r="I426" s="49">
        <f t="shared" si="2"/>
        <v>0.1467600298</v>
      </c>
      <c r="J426" s="43">
        <f t="shared" si="42"/>
        <v>0.06406207561</v>
      </c>
      <c r="K426" s="185">
        <v>45940.0</v>
      </c>
      <c r="L426" s="50">
        <f t="shared" si="41"/>
        <v>46122</v>
      </c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5.75" customHeight="1">
      <c r="A427" s="9"/>
      <c r="B427" s="97">
        <v>1.0001311E8</v>
      </c>
      <c r="C427" s="98" t="s">
        <v>545</v>
      </c>
      <c r="D427" s="113" t="s">
        <v>547</v>
      </c>
      <c r="E427" s="101">
        <v>1285.0</v>
      </c>
      <c r="F427" s="54">
        <v>1257.7</v>
      </c>
      <c r="G427" s="54">
        <v>1048.0</v>
      </c>
      <c r="H427" s="41">
        <f t="shared" si="19"/>
        <v>1196.9</v>
      </c>
      <c r="I427" s="49">
        <f t="shared" si="2"/>
        <v>0.2261450382</v>
      </c>
      <c r="J427" s="43">
        <f t="shared" si="42"/>
        <v>0.07360681761</v>
      </c>
      <c r="K427" s="58">
        <v>45943.0</v>
      </c>
      <c r="L427" s="50">
        <f t="shared" si="41"/>
        <v>46125</v>
      </c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5.75" customHeight="1">
      <c r="A428" s="9"/>
      <c r="B428" s="97">
        <v>1.00013096E8</v>
      </c>
      <c r="C428" s="98" t="s">
        <v>548</v>
      </c>
      <c r="D428" s="126"/>
      <c r="E428" s="132">
        <v>524.46</v>
      </c>
      <c r="F428" s="57">
        <v>549.0</v>
      </c>
      <c r="G428" s="57">
        <v>619.0</v>
      </c>
      <c r="H428" s="41">
        <f t="shared" si="19"/>
        <v>564.1533333</v>
      </c>
      <c r="I428" s="49">
        <f t="shared" si="2"/>
        <v>0.1802616024</v>
      </c>
      <c r="J428" s="43">
        <f t="shared" si="42"/>
        <v>0.09721943207</v>
      </c>
      <c r="K428" s="58">
        <v>45943.0</v>
      </c>
      <c r="L428" s="50">
        <f t="shared" si="41"/>
        <v>46125</v>
      </c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5.75" customHeight="1">
      <c r="A429" s="9"/>
      <c r="B429" s="97">
        <v>1.00010291E8</v>
      </c>
      <c r="C429" s="98" t="s">
        <v>549</v>
      </c>
      <c r="D429" s="83"/>
      <c r="E429" s="132">
        <v>466.66</v>
      </c>
      <c r="F429" s="57">
        <v>480.21</v>
      </c>
      <c r="G429" s="57">
        <v>440.1</v>
      </c>
      <c r="H429" s="41">
        <f t="shared" si="19"/>
        <v>462.3233333</v>
      </c>
      <c r="I429" s="49">
        <f t="shared" si="2"/>
        <v>0.09113837764</v>
      </c>
      <c r="J429" s="43">
        <f t="shared" si="42"/>
        <v>0.03868865224</v>
      </c>
      <c r="K429" s="58">
        <v>45943.0</v>
      </c>
      <c r="L429" s="50">
        <f t="shared" si="41"/>
        <v>46125</v>
      </c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5.75" customHeight="1">
      <c r="A430" s="187"/>
      <c r="B430" s="97">
        <v>1.00002248E8</v>
      </c>
      <c r="C430" s="98" t="s">
        <v>105</v>
      </c>
      <c r="D430" s="188" t="s">
        <v>550</v>
      </c>
      <c r="E430" s="101">
        <v>23838.22</v>
      </c>
      <c r="F430" s="54">
        <v>20555.29</v>
      </c>
      <c r="G430" s="54">
        <v>21990.0</v>
      </c>
      <c r="H430" s="41">
        <f t="shared" si="19"/>
        <v>22127.83667</v>
      </c>
      <c r="I430" s="49">
        <f t="shared" si="2"/>
        <v>0.1597121714</v>
      </c>
      <c r="J430" s="43">
        <f t="shared" si="42"/>
        <v>0.07729555126</v>
      </c>
      <c r="K430" s="182">
        <v>45943.0</v>
      </c>
      <c r="L430" s="50">
        <f>EDATE(K429,6)</f>
        <v>46125</v>
      </c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5.75" customHeight="1">
      <c r="A431" s="9"/>
      <c r="B431" s="97">
        <v>1.0000225E8</v>
      </c>
      <c r="C431" s="98" t="s">
        <v>551</v>
      </c>
      <c r="D431" s="113"/>
      <c r="E431" s="132">
        <v>45979.0</v>
      </c>
      <c r="F431" s="57">
        <v>44799.84</v>
      </c>
      <c r="G431" s="57">
        <v>44500.0</v>
      </c>
      <c r="H431" s="41">
        <f t="shared" si="19"/>
        <v>45092.94667</v>
      </c>
      <c r="I431" s="49">
        <f t="shared" si="2"/>
        <v>0.03323595506</v>
      </c>
      <c r="J431" s="43">
        <f t="shared" si="42"/>
        <v>0.01964948842</v>
      </c>
      <c r="K431" s="58">
        <v>45943.0</v>
      </c>
      <c r="L431" s="50">
        <f t="shared" ref="L431:L500" si="43">EDATE(K431,6)</f>
        <v>46125</v>
      </c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5.75" customHeight="1">
      <c r="A432" s="9"/>
      <c r="B432" s="97">
        <v>1.0000225E8</v>
      </c>
      <c r="C432" s="98" t="s">
        <v>551</v>
      </c>
      <c r="D432" s="113" t="s">
        <v>552</v>
      </c>
      <c r="E432" s="132">
        <v>5900.0</v>
      </c>
      <c r="F432" s="57">
        <v>5451.0</v>
      </c>
      <c r="G432" s="57">
        <v>5150.0</v>
      </c>
      <c r="H432" s="41">
        <f t="shared" si="19"/>
        <v>5500.333333</v>
      </c>
      <c r="I432" s="49">
        <f t="shared" si="2"/>
        <v>0.145631068</v>
      </c>
      <c r="J432" s="43"/>
      <c r="K432" s="58">
        <v>45943.0</v>
      </c>
      <c r="L432" s="50">
        <f t="shared" si="43"/>
        <v>46125</v>
      </c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5.75" customHeight="1">
      <c r="A433" s="9"/>
      <c r="B433" s="97">
        <v>1.00010717E8</v>
      </c>
      <c r="C433" s="98" t="s">
        <v>553</v>
      </c>
      <c r="D433" s="113" t="s">
        <v>552</v>
      </c>
      <c r="E433" s="132">
        <v>2959.99</v>
      </c>
      <c r="F433" s="57">
        <v>2690.0</v>
      </c>
      <c r="G433" s="57">
        <v>2773.0</v>
      </c>
      <c r="H433" s="41">
        <f t="shared" si="19"/>
        <v>2807.663333</v>
      </c>
      <c r="I433" s="49">
        <f t="shared" si="2"/>
        <v>0.1003680297</v>
      </c>
      <c r="J433" s="43"/>
      <c r="K433" s="58">
        <v>45944.0</v>
      </c>
      <c r="L433" s="50">
        <f t="shared" si="43"/>
        <v>46126</v>
      </c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5.75" customHeight="1">
      <c r="A434" s="9"/>
      <c r="B434" s="97">
        <v>1.00010717E8</v>
      </c>
      <c r="C434" s="98" t="s">
        <v>553</v>
      </c>
      <c r="D434" s="113" t="s">
        <v>554</v>
      </c>
      <c r="E434" s="132">
        <v>3770.1</v>
      </c>
      <c r="F434" s="57">
        <v>3550.0</v>
      </c>
      <c r="G434" s="57">
        <v>3550.0</v>
      </c>
      <c r="H434" s="41">
        <f t="shared" si="19"/>
        <v>3623.366667</v>
      </c>
      <c r="I434" s="49">
        <f t="shared" si="2"/>
        <v>0.062</v>
      </c>
      <c r="J434" s="43"/>
      <c r="K434" s="58">
        <v>45944.0</v>
      </c>
      <c r="L434" s="50">
        <f t="shared" si="43"/>
        <v>46126</v>
      </c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5.75" customHeight="1">
      <c r="A435" s="9"/>
      <c r="B435" s="97">
        <v>1.00012829E8</v>
      </c>
      <c r="C435" s="98" t="s">
        <v>555</v>
      </c>
      <c r="D435" s="83"/>
      <c r="E435" s="101">
        <v>1179.55</v>
      </c>
      <c r="F435" s="54">
        <v>1050.0</v>
      </c>
      <c r="G435" s="54">
        <v>1188.42</v>
      </c>
      <c r="H435" s="41">
        <f t="shared" si="19"/>
        <v>1139.323333</v>
      </c>
      <c r="I435" s="49">
        <f t="shared" si="2"/>
        <v>0.1318285714</v>
      </c>
      <c r="J435" s="43">
        <f t="shared" ref="J435:J462" si="44">IF(ISERROR(MAX(E435:G435)/H435-1),"",(MAX(E435:G435)/H435-1))</f>
        <v>0.04309282995</v>
      </c>
      <c r="K435" s="182">
        <v>45943.0</v>
      </c>
      <c r="L435" s="50">
        <f t="shared" si="43"/>
        <v>46125</v>
      </c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5.75" customHeight="1">
      <c r="A436" s="9"/>
      <c r="B436" s="97">
        <v>1.00013113E8</v>
      </c>
      <c r="C436" s="98" t="s">
        <v>556</v>
      </c>
      <c r="D436" s="113" t="s">
        <v>557</v>
      </c>
      <c r="E436" s="101">
        <v>1447.9</v>
      </c>
      <c r="F436" s="54">
        <v>1369.77</v>
      </c>
      <c r="G436" s="54">
        <v>1275.0</v>
      </c>
      <c r="H436" s="41">
        <f t="shared" si="19"/>
        <v>1364.223333</v>
      </c>
      <c r="I436" s="49">
        <f t="shared" si="2"/>
        <v>0.1356078431</v>
      </c>
      <c r="J436" s="43">
        <f t="shared" si="44"/>
        <v>0.06133648694</v>
      </c>
      <c r="K436" s="58">
        <v>45943.0</v>
      </c>
      <c r="L436" s="50">
        <f t="shared" si="43"/>
        <v>46125</v>
      </c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5.75" customHeight="1">
      <c r="A437" s="9"/>
      <c r="B437" s="97">
        <v>1.0001261E8</v>
      </c>
      <c r="C437" s="98" t="s">
        <v>558</v>
      </c>
      <c r="D437" s="83"/>
      <c r="E437" s="101">
        <v>988.0</v>
      </c>
      <c r="F437" s="54">
        <v>872.98</v>
      </c>
      <c r="G437" s="54">
        <v>999.0</v>
      </c>
      <c r="H437" s="41">
        <f t="shared" si="19"/>
        <v>953.3266667</v>
      </c>
      <c r="I437" s="49">
        <f t="shared" si="2"/>
        <v>0.1443561135</v>
      </c>
      <c r="J437" s="43">
        <f t="shared" si="44"/>
        <v>0.04790942594</v>
      </c>
      <c r="K437" s="58">
        <v>45943.0</v>
      </c>
      <c r="L437" s="50">
        <f t="shared" si="43"/>
        <v>46125</v>
      </c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5.75" customHeight="1">
      <c r="A438" s="9"/>
      <c r="B438" s="97">
        <v>1.00013113E8</v>
      </c>
      <c r="C438" s="98" t="s">
        <v>556</v>
      </c>
      <c r="D438" s="128"/>
      <c r="E438" s="101">
        <v>2545.0</v>
      </c>
      <c r="F438" s="54">
        <v>2442.0</v>
      </c>
      <c r="G438" s="54">
        <v>2442.0</v>
      </c>
      <c r="H438" s="41">
        <f t="shared" si="19"/>
        <v>2476.333333</v>
      </c>
      <c r="I438" s="49">
        <f t="shared" si="2"/>
        <v>0.04217854218</v>
      </c>
      <c r="J438" s="43">
        <f t="shared" si="44"/>
        <v>0.02772916947</v>
      </c>
      <c r="K438" s="58">
        <v>45943.0</v>
      </c>
      <c r="L438" s="50">
        <f t="shared" si="43"/>
        <v>46125</v>
      </c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5.75" customHeight="1">
      <c r="A439" s="9"/>
      <c r="B439" s="97">
        <v>1.00012873E8</v>
      </c>
      <c r="C439" s="98" t="s">
        <v>559</v>
      </c>
      <c r="D439" s="83"/>
      <c r="E439" s="101">
        <v>77714.61</v>
      </c>
      <c r="F439" s="54">
        <v>70371.51</v>
      </c>
      <c r="G439" s="54">
        <v>71595.37</v>
      </c>
      <c r="H439" s="41">
        <f t="shared" si="19"/>
        <v>73227.16333</v>
      </c>
      <c r="I439" s="49">
        <f t="shared" si="2"/>
        <v>0.1043476259</v>
      </c>
      <c r="J439" s="43">
        <f t="shared" si="44"/>
        <v>0.06128117576</v>
      </c>
      <c r="K439" s="58">
        <v>45944.0</v>
      </c>
      <c r="L439" s="50">
        <f t="shared" si="43"/>
        <v>46126</v>
      </c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5.75" customHeight="1">
      <c r="A440" s="9"/>
      <c r="B440" s="97">
        <v>1.00012751E8</v>
      </c>
      <c r="C440" s="98" t="s">
        <v>560</v>
      </c>
      <c r="D440" s="83"/>
      <c r="E440" s="101">
        <v>1107.96</v>
      </c>
      <c r="F440" s="54">
        <v>1107.96</v>
      </c>
      <c r="G440" s="54">
        <v>1154.99</v>
      </c>
      <c r="H440" s="41">
        <f t="shared" si="19"/>
        <v>1123.636667</v>
      </c>
      <c r="I440" s="49">
        <f t="shared" si="2"/>
        <v>0.04244738077</v>
      </c>
      <c r="J440" s="43">
        <f t="shared" si="44"/>
        <v>0.02790344447</v>
      </c>
      <c r="K440" s="58">
        <v>45944.0</v>
      </c>
      <c r="L440" s="50">
        <f t="shared" si="43"/>
        <v>46126</v>
      </c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5.75" customHeight="1">
      <c r="A441" s="9"/>
      <c r="B441" s="97">
        <v>1.00012783E8</v>
      </c>
      <c r="C441" s="98" t="s">
        <v>561</v>
      </c>
      <c r="D441" s="83"/>
      <c r="E441" s="132">
        <v>89.19</v>
      </c>
      <c r="F441" s="57">
        <v>79.36</v>
      </c>
      <c r="G441" s="57">
        <v>82.0</v>
      </c>
      <c r="H441" s="41">
        <f t="shared" si="19"/>
        <v>83.51666667</v>
      </c>
      <c r="I441" s="49">
        <f t="shared" si="2"/>
        <v>0.1238659274</v>
      </c>
      <c r="J441" s="43">
        <f t="shared" si="44"/>
        <v>0.06793055278</v>
      </c>
      <c r="K441" s="58">
        <v>45944.0</v>
      </c>
      <c r="L441" s="50">
        <f t="shared" si="43"/>
        <v>46126</v>
      </c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5.75" customHeight="1">
      <c r="A442" s="9"/>
      <c r="B442" s="97">
        <v>1.00012806E8</v>
      </c>
      <c r="C442" s="98" t="s">
        <v>562</v>
      </c>
      <c r="D442" s="83"/>
      <c r="E442" s="101">
        <v>142.7</v>
      </c>
      <c r="F442" s="54">
        <v>152.0</v>
      </c>
      <c r="G442" s="54">
        <v>136.67</v>
      </c>
      <c r="H442" s="41">
        <f t="shared" si="19"/>
        <v>143.79</v>
      </c>
      <c r="I442" s="49">
        <f t="shared" si="2"/>
        <v>0.1121679959</v>
      </c>
      <c r="J442" s="43">
        <f t="shared" si="44"/>
        <v>0.05709715557</v>
      </c>
      <c r="K442" s="58">
        <v>45944.0</v>
      </c>
      <c r="L442" s="50">
        <f t="shared" si="43"/>
        <v>46126</v>
      </c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5.75" customHeight="1">
      <c r="A443" s="9"/>
      <c r="B443" s="97">
        <v>1.00012841E8</v>
      </c>
      <c r="C443" s="98" t="s">
        <v>563</v>
      </c>
      <c r="D443" s="83"/>
      <c r="E443" s="132">
        <v>9790.0</v>
      </c>
      <c r="F443" s="57">
        <v>9842.9</v>
      </c>
      <c r="G443" s="57">
        <v>9898.0</v>
      </c>
      <c r="H443" s="41">
        <f t="shared" si="19"/>
        <v>9843.633333</v>
      </c>
      <c r="I443" s="49">
        <f t="shared" si="2"/>
        <v>0.01103166496</v>
      </c>
      <c r="J443" s="43">
        <f t="shared" si="44"/>
        <v>0.005523028421</v>
      </c>
      <c r="K443" s="58">
        <v>45944.0</v>
      </c>
      <c r="L443" s="50">
        <f t="shared" si="43"/>
        <v>46126</v>
      </c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5.75" customHeight="1">
      <c r="A444" s="9"/>
      <c r="B444" s="97"/>
      <c r="C444" s="98"/>
      <c r="D444" s="83"/>
      <c r="E444" s="101">
        <v>9490.0</v>
      </c>
      <c r="F444" s="54">
        <v>7990.0</v>
      </c>
      <c r="G444" s="54">
        <v>9932.42</v>
      </c>
      <c r="H444" s="41">
        <f t="shared" si="19"/>
        <v>9137.473333</v>
      </c>
      <c r="I444" s="49">
        <f t="shared" si="2"/>
        <v>0.243106383</v>
      </c>
      <c r="J444" s="43">
        <f t="shared" si="44"/>
        <v>0.08699852111</v>
      </c>
      <c r="K444" s="58">
        <v>45943.0</v>
      </c>
      <c r="L444" s="50">
        <f t="shared" si="43"/>
        <v>46125</v>
      </c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5.75" customHeight="1">
      <c r="A445" s="9"/>
      <c r="B445" s="97">
        <v>1.00012843E8</v>
      </c>
      <c r="C445" s="98" t="s">
        <v>564</v>
      </c>
      <c r="D445" s="83"/>
      <c r="E445" s="132">
        <v>299.8</v>
      </c>
      <c r="F445" s="57">
        <v>299.0</v>
      </c>
      <c r="G445" s="57">
        <v>304.0</v>
      </c>
      <c r="H445" s="41">
        <f t="shared" si="19"/>
        <v>300.9333333</v>
      </c>
      <c r="I445" s="49">
        <f t="shared" si="2"/>
        <v>0.01672240803</v>
      </c>
      <c r="J445" s="43">
        <f t="shared" si="44"/>
        <v>0.01019051839</v>
      </c>
      <c r="K445" s="58">
        <v>45944.0</v>
      </c>
      <c r="L445" s="50">
        <f t="shared" si="43"/>
        <v>46126</v>
      </c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5.75" customHeight="1">
      <c r="A446" s="9"/>
      <c r="B446" s="97">
        <v>1.00013093E8</v>
      </c>
      <c r="C446" s="98" t="s">
        <v>565</v>
      </c>
      <c r="D446" s="83"/>
      <c r="E446" s="101">
        <v>30500.0</v>
      </c>
      <c r="F446" s="54">
        <v>35499.0</v>
      </c>
      <c r="G446" s="54">
        <v>31110.71</v>
      </c>
      <c r="H446" s="41">
        <f t="shared" si="19"/>
        <v>32369.90333</v>
      </c>
      <c r="I446" s="49">
        <f t="shared" si="2"/>
        <v>0.1639016393</v>
      </c>
      <c r="J446" s="43">
        <f t="shared" si="44"/>
        <v>0.09666685237</v>
      </c>
      <c r="K446" s="58">
        <v>45944.0</v>
      </c>
      <c r="L446" s="50">
        <f t="shared" si="43"/>
        <v>46126</v>
      </c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20.25" customHeight="1">
      <c r="A447" s="9"/>
      <c r="B447" s="97">
        <v>1.00002274E8</v>
      </c>
      <c r="C447" s="98" t="s">
        <v>566</v>
      </c>
      <c r="D447" s="83"/>
      <c r="E447" s="101">
        <v>1149.0</v>
      </c>
      <c r="F447" s="54">
        <v>1378.55</v>
      </c>
      <c r="G447" s="54">
        <v>1533.22</v>
      </c>
      <c r="H447" s="41">
        <f t="shared" si="19"/>
        <v>1353.59</v>
      </c>
      <c r="I447" s="49">
        <f t="shared" si="2"/>
        <v>0.3343951262</v>
      </c>
      <c r="J447" s="43">
        <f t="shared" si="44"/>
        <v>0.1327063586</v>
      </c>
      <c r="K447" s="58">
        <v>45944.0</v>
      </c>
      <c r="L447" s="50">
        <f t="shared" si="43"/>
        <v>46126</v>
      </c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5.75" customHeight="1">
      <c r="A448" s="9"/>
      <c r="B448" s="97">
        <v>1.00010841E8</v>
      </c>
      <c r="C448" s="98" t="s">
        <v>567</v>
      </c>
      <c r="D448" s="83"/>
      <c r="E448" s="101" t="s">
        <v>568</v>
      </c>
      <c r="F448" s="54">
        <v>1903.41</v>
      </c>
      <c r="G448" s="54">
        <v>1999.0</v>
      </c>
      <c r="H448" s="41">
        <f t="shared" si="19"/>
        <v>1300.803333</v>
      </c>
      <c r="I448" s="49">
        <f t="shared" si="2"/>
        <v>0.05022039392</v>
      </c>
      <c r="J448" s="43">
        <f t="shared" si="44"/>
        <v>0.5367426795</v>
      </c>
      <c r="K448" s="58">
        <v>45944.0</v>
      </c>
      <c r="L448" s="50">
        <f t="shared" si="43"/>
        <v>46126</v>
      </c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5.75" customHeight="1">
      <c r="A449" s="9"/>
      <c r="B449" s="97">
        <v>1.00012906E8</v>
      </c>
      <c r="C449" s="179" t="s">
        <v>569</v>
      </c>
      <c r="D449" s="83"/>
      <c r="E449" s="101">
        <v>21688.28</v>
      </c>
      <c r="F449" s="54">
        <v>26900.0</v>
      </c>
      <c r="G449" s="54">
        <v>22468.39</v>
      </c>
      <c r="H449" s="41">
        <f t="shared" si="19"/>
        <v>23685.55667</v>
      </c>
      <c r="I449" s="49">
        <f t="shared" si="2"/>
        <v>0.2403012134</v>
      </c>
      <c r="J449" s="43">
        <f t="shared" si="44"/>
        <v>0.1357132272</v>
      </c>
      <c r="K449" s="58">
        <v>45944.0</v>
      </c>
      <c r="L449" s="50">
        <f t="shared" si="43"/>
        <v>46126</v>
      </c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5.75" customHeight="1">
      <c r="A450" s="9"/>
      <c r="B450" s="97">
        <v>1.00010105E8</v>
      </c>
      <c r="C450" s="98" t="s">
        <v>570</v>
      </c>
      <c r="D450" s="83"/>
      <c r="E450" s="101">
        <v>510.0</v>
      </c>
      <c r="F450" s="54">
        <v>540.0</v>
      </c>
      <c r="G450" s="54">
        <v>629.0</v>
      </c>
      <c r="H450" s="41">
        <f t="shared" si="19"/>
        <v>559.6666667</v>
      </c>
      <c r="I450" s="49">
        <f t="shared" si="2"/>
        <v>0.2333333333</v>
      </c>
      <c r="J450" s="43">
        <f t="shared" si="44"/>
        <v>0.1238832638</v>
      </c>
      <c r="K450" s="58">
        <v>45944.0</v>
      </c>
      <c r="L450" s="50">
        <f t="shared" si="43"/>
        <v>46126</v>
      </c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5.75" customHeight="1">
      <c r="A451" s="9"/>
      <c r="B451" s="97">
        <v>1.00012354E8</v>
      </c>
      <c r="C451" s="98" t="s">
        <v>571</v>
      </c>
      <c r="D451" s="83"/>
      <c r="E451" s="132">
        <v>1051.63</v>
      </c>
      <c r="F451" s="57">
        <v>900.78</v>
      </c>
      <c r="G451" s="57">
        <v>910.48</v>
      </c>
      <c r="H451" s="41">
        <f t="shared" si="19"/>
        <v>954.2966667</v>
      </c>
      <c r="I451" s="49">
        <f t="shared" si="2"/>
        <v>0.1674659739</v>
      </c>
      <c r="J451" s="43">
        <f t="shared" si="44"/>
        <v>0.1019948374</v>
      </c>
      <c r="K451" s="58">
        <v>45944.0</v>
      </c>
      <c r="L451" s="50">
        <f t="shared" si="43"/>
        <v>46126</v>
      </c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5.75" customHeight="1">
      <c r="A452" s="9"/>
      <c r="B452" s="97">
        <v>1.00010711E8</v>
      </c>
      <c r="C452" s="98" t="s">
        <v>572</v>
      </c>
      <c r="D452" s="83"/>
      <c r="E452" s="132">
        <v>9457.0</v>
      </c>
      <c r="F452" s="57">
        <v>10835.8</v>
      </c>
      <c r="G452" s="57">
        <v>10836.0</v>
      </c>
      <c r="H452" s="41">
        <f t="shared" si="19"/>
        <v>10376.26667</v>
      </c>
      <c r="I452" s="49">
        <f t="shared" si="2"/>
        <v>0.1458179127</v>
      </c>
      <c r="J452" s="43">
        <f t="shared" si="44"/>
        <v>0.04430623731</v>
      </c>
      <c r="K452" s="58">
        <v>45944.0</v>
      </c>
      <c r="L452" s="50">
        <f t="shared" si="43"/>
        <v>46126</v>
      </c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18.75" customHeight="1">
      <c r="A453" s="9"/>
      <c r="B453" s="97">
        <v>1.00010571E8</v>
      </c>
      <c r="C453" s="98" t="s">
        <v>573</v>
      </c>
      <c r="D453" s="83"/>
      <c r="E453" s="132">
        <v>41.6</v>
      </c>
      <c r="F453" s="57">
        <v>43.9</v>
      </c>
      <c r="G453" s="57">
        <v>39.9</v>
      </c>
      <c r="H453" s="41">
        <f t="shared" si="19"/>
        <v>41.8</v>
      </c>
      <c r="I453" s="49">
        <f t="shared" si="2"/>
        <v>0.1002506266</v>
      </c>
      <c r="J453" s="43">
        <f t="shared" si="44"/>
        <v>0.05023923445</v>
      </c>
      <c r="K453" s="58">
        <v>45945.0</v>
      </c>
      <c r="L453" s="50">
        <f t="shared" si="43"/>
        <v>46127</v>
      </c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5.75" customHeight="1">
      <c r="A454" s="9"/>
      <c r="B454" s="97">
        <v>1.00010572E8</v>
      </c>
      <c r="C454" s="98" t="s">
        <v>574</v>
      </c>
      <c r="D454" s="83"/>
      <c r="E454" s="101">
        <v>45.9</v>
      </c>
      <c r="F454" s="54">
        <v>47.9</v>
      </c>
      <c r="G454" s="54">
        <v>47.6</v>
      </c>
      <c r="H454" s="41">
        <f t="shared" si="19"/>
        <v>47.13333333</v>
      </c>
      <c r="I454" s="49">
        <f t="shared" si="2"/>
        <v>0.04357298475</v>
      </c>
      <c r="J454" s="43">
        <f t="shared" si="44"/>
        <v>0.01626591231</v>
      </c>
      <c r="K454" s="58">
        <v>45945.0</v>
      </c>
      <c r="L454" s="50">
        <f t="shared" si="43"/>
        <v>46127</v>
      </c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5.75" customHeight="1">
      <c r="A455" s="9"/>
      <c r="B455" s="137">
        <v>1.00013082E8</v>
      </c>
      <c r="C455" s="189" t="s">
        <v>575</v>
      </c>
      <c r="D455" s="113" t="s">
        <v>576</v>
      </c>
      <c r="E455" s="101">
        <v>931.61</v>
      </c>
      <c r="F455" s="54">
        <v>1178.78</v>
      </c>
      <c r="G455" s="54">
        <v>931.61</v>
      </c>
      <c r="H455" s="41">
        <f t="shared" si="19"/>
        <v>1014</v>
      </c>
      <c r="I455" s="49">
        <f t="shared" si="2"/>
        <v>0.265314885</v>
      </c>
      <c r="J455" s="43">
        <f t="shared" si="44"/>
        <v>0.162504931</v>
      </c>
      <c r="K455" s="78"/>
      <c r="L455" s="50">
        <f t="shared" si="43"/>
        <v>182</v>
      </c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5.75" customHeight="1">
      <c r="A456" s="9"/>
      <c r="B456" s="137">
        <v>1.00013082E8</v>
      </c>
      <c r="C456" s="189" t="s">
        <v>575</v>
      </c>
      <c r="D456" s="113" t="s">
        <v>577</v>
      </c>
      <c r="E456" s="101">
        <v>3790.0</v>
      </c>
      <c r="F456" s="54">
        <v>3445.44</v>
      </c>
      <c r="G456" s="54">
        <v>3589.0</v>
      </c>
      <c r="H456" s="41">
        <f t="shared" si="19"/>
        <v>3608.146667</v>
      </c>
      <c r="I456" s="49">
        <f t="shared" si="2"/>
        <v>0.1000046438</v>
      </c>
      <c r="J456" s="43">
        <f t="shared" si="44"/>
        <v>0.05040075976</v>
      </c>
      <c r="K456" s="78"/>
      <c r="L456" s="50">
        <f t="shared" si="43"/>
        <v>182</v>
      </c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5.75" customHeight="1">
      <c r="A457" s="9"/>
      <c r="B457" s="137">
        <v>1.00013082E8</v>
      </c>
      <c r="C457" s="189" t="s">
        <v>575</v>
      </c>
      <c r="D457" s="113" t="s">
        <v>578</v>
      </c>
      <c r="E457" s="101">
        <v>2100.0</v>
      </c>
      <c r="F457" s="54">
        <v>2390.0</v>
      </c>
      <c r="G457" s="54">
        <v>2489.0</v>
      </c>
      <c r="H457" s="41">
        <f t="shared" si="19"/>
        <v>2326.333333</v>
      </c>
      <c r="I457" s="49">
        <f t="shared" si="2"/>
        <v>0.1852380952</v>
      </c>
      <c r="J457" s="43">
        <f t="shared" si="44"/>
        <v>0.06992405789</v>
      </c>
      <c r="K457" s="78"/>
      <c r="L457" s="50">
        <f t="shared" si="43"/>
        <v>182</v>
      </c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5.75" customHeight="1">
      <c r="A458" s="9"/>
      <c r="B458" s="137">
        <v>1.00013082E8</v>
      </c>
      <c r="C458" s="189" t="s">
        <v>575</v>
      </c>
      <c r="D458" s="113" t="s">
        <v>579</v>
      </c>
      <c r="E458" s="101">
        <v>4526.55</v>
      </c>
      <c r="F458" s="54">
        <v>3914.91</v>
      </c>
      <c r="G458" s="54">
        <v>3505.5</v>
      </c>
      <c r="H458" s="41">
        <f t="shared" si="19"/>
        <v>3982.32</v>
      </c>
      <c r="I458" s="49">
        <f t="shared" si="2"/>
        <v>0.2912708601</v>
      </c>
      <c r="J458" s="43">
        <f t="shared" si="44"/>
        <v>0.136661544</v>
      </c>
      <c r="K458" s="78"/>
      <c r="L458" s="50">
        <f t="shared" si="43"/>
        <v>182</v>
      </c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5.75" customHeight="1">
      <c r="A459" s="9"/>
      <c r="B459" s="190">
        <v>1.00013082E8</v>
      </c>
      <c r="C459" s="191" t="s">
        <v>575</v>
      </c>
      <c r="D459" s="104" t="s">
        <v>580</v>
      </c>
      <c r="E459" s="107">
        <v>9900.0</v>
      </c>
      <c r="F459" s="106">
        <v>7900.0</v>
      </c>
      <c r="G459" s="106">
        <v>9590.0</v>
      </c>
      <c r="H459" s="108">
        <f t="shared" si="19"/>
        <v>9130</v>
      </c>
      <c r="I459" s="109">
        <f t="shared" si="2"/>
        <v>0.253164557</v>
      </c>
      <c r="J459" s="110">
        <f t="shared" si="44"/>
        <v>0.0843373494</v>
      </c>
      <c r="K459" s="111"/>
      <c r="L459" s="192">
        <f t="shared" si="43"/>
        <v>182</v>
      </c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21.0" customHeight="1">
      <c r="A460" s="9"/>
      <c r="B460" s="97">
        <v>1.00010579E8</v>
      </c>
      <c r="C460" s="98" t="s">
        <v>581</v>
      </c>
      <c r="D460" s="83"/>
      <c r="E460" s="101">
        <v>56.9</v>
      </c>
      <c r="F460" s="54">
        <v>46.0</v>
      </c>
      <c r="G460" s="54">
        <v>52.33</v>
      </c>
      <c r="H460" s="41">
        <f t="shared" si="19"/>
        <v>51.74333333</v>
      </c>
      <c r="I460" s="49">
        <f t="shared" si="2"/>
        <v>0.2369565217</v>
      </c>
      <c r="J460" s="43">
        <f t="shared" si="44"/>
        <v>0.09965857115</v>
      </c>
      <c r="K460" s="58">
        <v>45945.0</v>
      </c>
      <c r="L460" s="50">
        <f t="shared" si="43"/>
        <v>46127</v>
      </c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5.75" customHeight="1">
      <c r="A461" s="9"/>
      <c r="B461" s="97">
        <v>1.00010626E8</v>
      </c>
      <c r="C461" s="98" t="s">
        <v>582</v>
      </c>
      <c r="D461" s="83"/>
      <c r="E461" s="101">
        <v>64.9</v>
      </c>
      <c r="F461" s="54">
        <v>63.66</v>
      </c>
      <c r="G461" s="54">
        <v>63.99</v>
      </c>
      <c r="H461" s="41">
        <f t="shared" si="19"/>
        <v>64.18333333</v>
      </c>
      <c r="I461" s="49">
        <f t="shared" si="2"/>
        <v>0.01947847942</v>
      </c>
      <c r="J461" s="43">
        <f t="shared" si="44"/>
        <v>0.01116593093</v>
      </c>
      <c r="K461" s="58">
        <v>45945.0</v>
      </c>
      <c r="L461" s="50">
        <f t="shared" si="43"/>
        <v>46127</v>
      </c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5.75" customHeight="1">
      <c r="A462" s="9"/>
      <c r="B462" s="97">
        <v>1.00012856E8</v>
      </c>
      <c r="C462" s="98" t="s">
        <v>583</v>
      </c>
      <c r="D462" s="83"/>
      <c r="E462" s="101">
        <v>23.7</v>
      </c>
      <c r="F462" s="54">
        <v>23.99</v>
      </c>
      <c r="G462" s="54">
        <v>23.6</v>
      </c>
      <c r="H462" s="41">
        <f t="shared" si="19"/>
        <v>23.76333333</v>
      </c>
      <c r="I462" s="49">
        <f t="shared" si="2"/>
        <v>0.01652542373</v>
      </c>
      <c r="J462" s="43">
        <f t="shared" si="44"/>
        <v>0.009538504699</v>
      </c>
      <c r="K462" s="58">
        <v>45945.0</v>
      </c>
      <c r="L462" s="50">
        <f t="shared" si="43"/>
        <v>46127</v>
      </c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5.75" customHeight="1">
      <c r="A463" s="9"/>
      <c r="B463" s="97">
        <v>1.00012857E8</v>
      </c>
      <c r="C463" s="98" t="s">
        <v>584</v>
      </c>
      <c r="D463" s="83"/>
      <c r="E463" s="101">
        <v>81.39</v>
      </c>
      <c r="F463" s="54">
        <v>69.9</v>
      </c>
      <c r="G463" s="54">
        <v>74.18</v>
      </c>
      <c r="H463" s="41">
        <f t="shared" si="19"/>
        <v>75.15666667</v>
      </c>
      <c r="I463" s="49">
        <f t="shared" si="2"/>
        <v>0.1643776824</v>
      </c>
      <c r="J463" s="43"/>
      <c r="K463" s="58">
        <v>45945.0</v>
      </c>
      <c r="L463" s="50">
        <f t="shared" si="43"/>
        <v>46127</v>
      </c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5.75" customHeight="1">
      <c r="A464" s="9"/>
      <c r="B464" s="97">
        <v>1.00012883E8</v>
      </c>
      <c r="C464" s="98" t="s">
        <v>585</v>
      </c>
      <c r="D464" s="83"/>
      <c r="E464" s="101">
        <v>280.0</v>
      </c>
      <c r="F464" s="54">
        <v>352.0</v>
      </c>
      <c r="G464" s="54">
        <v>296.0</v>
      </c>
      <c r="H464" s="41">
        <f t="shared" si="19"/>
        <v>309.3333333</v>
      </c>
      <c r="I464" s="49">
        <f t="shared" si="2"/>
        <v>0.2571428571</v>
      </c>
      <c r="J464" s="43">
        <f t="shared" ref="J464:J465" si="45">IF(ISERROR(MAX(E464:G464)/H464-1),"",(MAX(E464:G464)/H464-1))</f>
        <v>0.1379310345</v>
      </c>
      <c r="K464" s="58">
        <v>45945.0</v>
      </c>
      <c r="L464" s="50">
        <f t="shared" si="43"/>
        <v>46127</v>
      </c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5.75" customHeight="1">
      <c r="A465" s="9"/>
      <c r="B465" s="193">
        <v>1.00010239E8</v>
      </c>
      <c r="C465" s="189" t="s">
        <v>586</v>
      </c>
      <c r="D465" s="113"/>
      <c r="E465" s="101">
        <v>965.0</v>
      </c>
      <c r="F465" s="54">
        <v>799.0</v>
      </c>
      <c r="G465" s="54">
        <v>799.0</v>
      </c>
      <c r="H465" s="41">
        <f t="shared" si="19"/>
        <v>854.3333333</v>
      </c>
      <c r="I465" s="49">
        <f t="shared" si="2"/>
        <v>0.2077596996</v>
      </c>
      <c r="J465" s="43">
        <f t="shared" si="45"/>
        <v>0.1295357004</v>
      </c>
      <c r="K465" s="58">
        <v>45945.0</v>
      </c>
      <c r="L465" s="50">
        <f t="shared" si="43"/>
        <v>46127</v>
      </c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15.75" customHeight="1">
      <c r="A466" s="9"/>
      <c r="B466" s="193">
        <v>1.00010239E8</v>
      </c>
      <c r="C466" s="189" t="s">
        <v>586</v>
      </c>
      <c r="D466" s="113" t="s">
        <v>587</v>
      </c>
      <c r="E466" s="132">
        <v>41209.73</v>
      </c>
      <c r="F466" s="57">
        <v>41209.73</v>
      </c>
      <c r="G466" s="57">
        <v>41209.73</v>
      </c>
      <c r="H466" s="41">
        <f t="shared" si="19"/>
        <v>41209.73</v>
      </c>
      <c r="I466" s="49">
        <f t="shared" si="2"/>
        <v>0</v>
      </c>
      <c r="J466" s="43"/>
      <c r="K466" s="58">
        <v>45951.0</v>
      </c>
      <c r="L466" s="50">
        <f t="shared" si="43"/>
        <v>46133</v>
      </c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5.75" customHeight="1">
      <c r="A467" s="9"/>
      <c r="B467" s="97">
        <v>1.00002319E8</v>
      </c>
      <c r="C467" s="98" t="s">
        <v>588</v>
      </c>
      <c r="D467" s="113" t="s">
        <v>589</v>
      </c>
      <c r="E467" s="132">
        <v>1590.0</v>
      </c>
      <c r="F467" s="57">
        <v>2000.0</v>
      </c>
      <c r="G467" s="57">
        <v>1750.0</v>
      </c>
      <c r="H467" s="41">
        <f t="shared" si="19"/>
        <v>1780</v>
      </c>
      <c r="I467" s="49">
        <f t="shared" si="2"/>
        <v>0.2578616352</v>
      </c>
      <c r="J467" s="43">
        <f>IF(ISERROR(MAX(E467:G467)/H467-1),"",(MAX(E467:G467)/H467-1))</f>
        <v>0.1235955056</v>
      </c>
      <c r="K467" s="58">
        <v>45945.0</v>
      </c>
      <c r="L467" s="50">
        <f t="shared" si="43"/>
        <v>46127</v>
      </c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5.75" customHeight="1">
      <c r="A468" s="9"/>
      <c r="B468" s="97">
        <v>1.000126E8</v>
      </c>
      <c r="C468" s="98" t="s">
        <v>590</v>
      </c>
      <c r="D468" s="83"/>
      <c r="E468" s="101">
        <v>2379.0</v>
      </c>
      <c r="F468" s="54">
        <v>2423.22</v>
      </c>
      <c r="G468" s="54">
        <v>2399.0</v>
      </c>
      <c r="H468" s="41">
        <f t="shared" si="19"/>
        <v>2400.406667</v>
      </c>
      <c r="I468" s="49">
        <f t="shared" si="2"/>
        <v>0.01858764187</v>
      </c>
      <c r="J468" s="43"/>
      <c r="K468" s="58">
        <v>45945.0</v>
      </c>
      <c r="L468" s="50">
        <f t="shared" si="43"/>
        <v>46127</v>
      </c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5.75" customHeight="1">
      <c r="A469" s="9"/>
      <c r="B469" s="97">
        <v>1.00012605E8</v>
      </c>
      <c r="C469" s="98" t="s">
        <v>591</v>
      </c>
      <c r="D469" s="83"/>
      <c r="E469" s="101">
        <v>32.4</v>
      </c>
      <c r="F469" s="54">
        <v>32.35</v>
      </c>
      <c r="G469" s="54">
        <v>29.9</v>
      </c>
      <c r="H469" s="41">
        <f t="shared" si="19"/>
        <v>31.55</v>
      </c>
      <c r="I469" s="49">
        <f t="shared" si="2"/>
        <v>0.08361204013</v>
      </c>
      <c r="J469" s="43">
        <f t="shared" ref="J469:J490" si="46">IF(ISERROR(MAX(E469:G469)/H469-1),"",(MAX(E469:G469)/H469-1))</f>
        <v>0.02694136292</v>
      </c>
      <c r="K469" s="58">
        <v>45945.0</v>
      </c>
      <c r="L469" s="50">
        <f t="shared" si="43"/>
        <v>46127</v>
      </c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5.75" customHeight="1">
      <c r="A470" s="9"/>
      <c r="B470" s="97">
        <v>1.00013123E8</v>
      </c>
      <c r="C470" s="98" t="s">
        <v>592</v>
      </c>
      <c r="D470" s="83"/>
      <c r="E470" s="101">
        <v>9831.58</v>
      </c>
      <c r="F470" s="138">
        <v>10000.0</v>
      </c>
      <c r="G470" s="54">
        <v>8961.54</v>
      </c>
      <c r="H470" s="41">
        <f t="shared" si="19"/>
        <v>9597.706667</v>
      </c>
      <c r="I470" s="49">
        <f t="shared" si="2"/>
        <v>0.1158796368</v>
      </c>
      <c r="J470" s="43">
        <f t="shared" si="46"/>
        <v>0.04191556872</v>
      </c>
      <c r="K470" s="58">
        <v>45945.0</v>
      </c>
      <c r="L470" s="50">
        <f t="shared" si="43"/>
        <v>46127</v>
      </c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5.75" customHeight="1">
      <c r="A471" s="9"/>
      <c r="B471" s="97">
        <v>1.00002315E8</v>
      </c>
      <c r="C471" s="98" t="s">
        <v>593</v>
      </c>
      <c r="D471" s="83"/>
      <c r="E471" s="101">
        <v>1016.9</v>
      </c>
      <c r="F471" s="54">
        <v>1084.9</v>
      </c>
      <c r="G471" s="54">
        <v>1098.9</v>
      </c>
      <c r="H471" s="41">
        <f t="shared" si="19"/>
        <v>1066.9</v>
      </c>
      <c r="I471" s="49">
        <f t="shared" si="2"/>
        <v>0.0806372308</v>
      </c>
      <c r="J471" s="43">
        <f t="shared" si="46"/>
        <v>0.02999343894</v>
      </c>
      <c r="K471" s="58">
        <v>45946.0</v>
      </c>
      <c r="L471" s="50">
        <f t="shared" si="43"/>
        <v>46128</v>
      </c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5.75" customHeight="1">
      <c r="A472" s="9"/>
      <c r="B472" s="97">
        <v>1.00002338E8</v>
      </c>
      <c r="C472" s="98" t="s">
        <v>594</v>
      </c>
      <c r="D472" s="188" t="s">
        <v>595</v>
      </c>
      <c r="E472" s="101">
        <v>1003.63</v>
      </c>
      <c r="F472" s="54">
        <v>956.9</v>
      </c>
      <c r="G472" s="54">
        <v>909.89</v>
      </c>
      <c r="H472" s="41">
        <f t="shared" si="19"/>
        <v>956.8066667</v>
      </c>
      <c r="I472" s="49">
        <f t="shared" si="2"/>
        <v>0.1030234424</v>
      </c>
      <c r="J472" s="43">
        <f t="shared" si="46"/>
        <v>0.04893708935</v>
      </c>
      <c r="K472" s="58">
        <v>45946.0</v>
      </c>
      <c r="L472" s="50">
        <f t="shared" si="43"/>
        <v>46128</v>
      </c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5.75" customHeight="1">
      <c r="A473" s="9"/>
      <c r="B473" s="97">
        <v>1.00002338E8</v>
      </c>
      <c r="C473" s="98" t="s">
        <v>594</v>
      </c>
      <c r="D473" s="113" t="s">
        <v>596</v>
      </c>
      <c r="E473" s="101">
        <v>1799.0</v>
      </c>
      <c r="F473" s="54">
        <v>1999.62</v>
      </c>
      <c r="G473" s="54">
        <v>1905.19</v>
      </c>
      <c r="H473" s="41">
        <f t="shared" si="19"/>
        <v>1901.27</v>
      </c>
      <c r="I473" s="49">
        <f t="shared" si="2"/>
        <v>0.1115175097</v>
      </c>
      <c r="J473" s="43">
        <f t="shared" si="46"/>
        <v>0.05172858142</v>
      </c>
      <c r="K473" s="58">
        <v>45946.0</v>
      </c>
      <c r="L473" s="50">
        <f t="shared" si="43"/>
        <v>46128</v>
      </c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5.75" customHeight="1">
      <c r="A474" s="9"/>
      <c r="B474" s="194">
        <v>1.00011698E8</v>
      </c>
      <c r="C474" s="98" t="s">
        <v>597</v>
      </c>
      <c r="D474" s="113" t="s">
        <v>598</v>
      </c>
      <c r="E474" s="101">
        <v>740.63</v>
      </c>
      <c r="F474" s="54">
        <v>649.0</v>
      </c>
      <c r="G474" s="54">
        <v>649.9</v>
      </c>
      <c r="H474" s="41">
        <f t="shared" si="19"/>
        <v>679.8433333</v>
      </c>
      <c r="I474" s="49">
        <f t="shared" si="2"/>
        <v>0.1411864407</v>
      </c>
      <c r="J474" s="43">
        <f t="shared" si="46"/>
        <v>0.08941275686</v>
      </c>
      <c r="K474" s="58">
        <v>45946.0</v>
      </c>
      <c r="L474" s="50">
        <f t="shared" si="43"/>
        <v>46128</v>
      </c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5.75" customHeight="1">
      <c r="A475" s="9"/>
      <c r="B475" s="97">
        <v>1.00012888E8</v>
      </c>
      <c r="C475" s="98" t="s">
        <v>599</v>
      </c>
      <c r="D475" s="113"/>
      <c r="E475" s="101">
        <v>1313.0</v>
      </c>
      <c r="F475" s="54">
        <v>1049.0</v>
      </c>
      <c r="G475" s="54">
        <v>1110.0</v>
      </c>
      <c r="H475" s="41">
        <f t="shared" si="19"/>
        <v>1157.333333</v>
      </c>
      <c r="I475" s="49">
        <f t="shared" si="2"/>
        <v>0.2516682555</v>
      </c>
      <c r="J475" s="43">
        <f t="shared" si="46"/>
        <v>0.1345046083</v>
      </c>
      <c r="K475" s="58">
        <v>45946.0</v>
      </c>
      <c r="L475" s="50">
        <f t="shared" si="43"/>
        <v>46128</v>
      </c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5.75" customHeight="1">
      <c r="A476" s="9"/>
      <c r="B476" s="97">
        <v>1.00011698E8</v>
      </c>
      <c r="C476" s="98" t="s">
        <v>600</v>
      </c>
      <c r="D476" s="113" t="s">
        <v>601</v>
      </c>
      <c r="E476" s="101">
        <v>1949.6</v>
      </c>
      <c r="F476" s="54">
        <v>1690.43</v>
      </c>
      <c r="G476" s="54">
        <v>1805.68</v>
      </c>
      <c r="H476" s="41">
        <f t="shared" si="19"/>
        <v>1815.236667</v>
      </c>
      <c r="I476" s="49">
        <f t="shared" si="2"/>
        <v>0.1533160202</v>
      </c>
      <c r="J476" s="43">
        <f t="shared" si="46"/>
        <v>0.07401973296</v>
      </c>
      <c r="K476" s="58">
        <v>45947.0</v>
      </c>
      <c r="L476" s="50">
        <f t="shared" si="43"/>
        <v>46129</v>
      </c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5.75" customHeight="1">
      <c r="A477" s="9"/>
      <c r="B477" s="97">
        <v>1.00012898E8</v>
      </c>
      <c r="C477" s="98" t="s">
        <v>602</v>
      </c>
      <c r="D477" s="113" t="s">
        <v>596</v>
      </c>
      <c r="E477" s="101">
        <v>1990.0</v>
      </c>
      <c r="F477" s="54">
        <v>2159.0</v>
      </c>
      <c r="G477" s="54">
        <v>1873.0</v>
      </c>
      <c r="H477" s="41">
        <f t="shared" si="19"/>
        <v>2007.333333</v>
      </c>
      <c r="I477" s="49">
        <f t="shared" si="2"/>
        <v>0.1526962093</v>
      </c>
      <c r="J477" s="43">
        <f t="shared" si="46"/>
        <v>0.07555629359</v>
      </c>
      <c r="K477" s="58">
        <v>45947.0</v>
      </c>
      <c r="L477" s="50">
        <f t="shared" si="43"/>
        <v>46129</v>
      </c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5.75" customHeight="1">
      <c r="A478" s="9"/>
      <c r="B478" s="97">
        <v>1.00012287E8</v>
      </c>
      <c r="C478" s="98" t="s">
        <v>603</v>
      </c>
      <c r="D478" s="83"/>
      <c r="E478" s="101">
        <v>386.0</v>
      </c>
      <c r="F478" s="54">
        <v>349.99</v>
      </c>
      <c r="G478" s="54">
        <v>314.99</v>
      </c>
      <c r="H478" s="41">
        <f t="shared" si="19"/>
        <v>350.3266667</v>
      </c>
      <c r="I478" s="49">
        <f t="shared" si="2"/>
        <v>0.2254357281</v>
      </c>
      <c r="J478" s="43">
        <f t="shared" si="46"/>
        <v>0.1018287693</v>
      </c>
      <c r="K478" s="58">
        <v>45947.0</v>
      </c>
      <c r="L478" s="50">
        <f t="shared" si="43"/>
        <v>46129</v>
      </c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5.75" customHeight="1">
      <c r="A479" s="9"/>
      <c r="B479" s="97">
        <v>1.00010721E8</v>
      </c>
      <c r="C479" s="98" t="s">
        <v>604</v>
      </c>
      <c r="D479" s="113" t="s">
        <v>605</v>
      </c>
      <c r="E479" s="101">
        <v>1147.9</v>
      </c>
      <c r="F479" s="54">
        <v>1448.9</v>
      </c>
      <c r="G479" s="54">
        <v>1147.9</v>
      </c>
      <c r="H479" s="41">
        <f t="shared" si="19"/>
        <v>1248.233333</v>
      </c>
      <c r="I479" s="49">
        <f t="shared" si="2"/>
        <v>0.2622179632</v>
      </c>
      <c r="J479" s="43">
        <f t="shared" si="46"/>
        <v>0.1607605416</v>
      </c>
      <c r="K479" s="58">
        <v>45943.0</v>
      </c>
      <c r="L479" s="50">
        <f t="shared" si="43"/>
        <v>46125</v>
      </c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5.75" customHeight="1">
      <c r="A480" s="9"/>
      <c r="B480" s="97">
        <v>1.00002279E8</v>
      </c>
      <c r="C480" s="98" t="s">
        <v>606</v>
      </c>
      <c r="D480" s="113" t="s">
        <v>607</v>
      </c>
      <c r="E480" s="101">
        <v>1789.37</v>
      </c>
      <c r="F480" s="54">
        <v>1542.32</v>
      </c>
      <c r="G480" s="54">
        <v>1699.9</v>
      </c>
      <c r="H480" s="41">
        <f t="shared" si="19"/>
        <v>1677.196667</v>
      </c>
      <c r="I480" s="49">
        <f t="shared" si="2"/>
        <v>0.1601807666</v>
      </c>
      <c r="J480" s="43">
        <f t="shared" si="46"/>
        <v>0.06688144304</v>
      </c>
      <c r="K480" s="58">
        <v>45943.0</v>
      </c>
      <c r="L480" s="50">
        <f t="shared" si="43"/>
        <v>46125</v>
      </c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5.75" customHeight="1">
      <c r="A481" s="9"/>
      <c r="B481" s="97">
        <v>1.00010059E8</v>
      </c>
      <c r="C481" s="98" t="s">
        <v>608</v>
      </c>
      <c r="D481" s="83"/>
      <c r="E481" s="101">
        <v>369.9</v>
      </c>
      <c r="F481" s="54">
        <v>369.9</v>
      </c>
      <c r="G481" s="54">
        <v>399.9</v>
      </c>
      <c r="H481" s="41">
        <f t="shared" si="19"/>
        <v>379.9</v>
      </c>
      <c r="I481" s="49">
        <f t="shared" si="2"/>
        <v>0.08110300081</v>
      </c>
      <c r="J481" s="43">
        <f t="shared" si="46"/>
        <v>0.05264543301</v>
      </c>
      <c r="K481" s="58">
        <v>45943.0</v>
      </c>
      <c r="L481" s="50">
        <f t="shared" si="43"/>
        <v>46125</v>
      </c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5.75" customHeight="1">
      <c r="A482" s="9"/>
      <c r="B482" s="97">
        <v>1.00002354E8</v>
      </c>
      <c r="C482" s="98" t="s">
        <v>609</v>
      </c>
      <c r="D482" s="83"/>
      <c r="E482" s="101">
        <v>7068.4</v>
      </c>
      <c r="F482" s="54">
        <v>7548.0</v>
      </c>
      <c r="G482" s="54">
        <v>7128.0</v>
      </c>
      <c r="H482" s="41">
        <f t="shared" si="19"/>
        <v>7248.133333</v>
      </c>
      <c r="I482" s="49">
        <f t="shared" si="2"/>
        <v>0.06785128176</v>
      </c>
      <c r="J482" s="43">
        <f t="shared" si="46"/>
        <v>0.04137157153</v>
      </c>
      <c r="K482" s="58">
        <v>45945.0</v>
      </c>
      <c r="L482" s="50">
        <f t="shared" si="43"/>
        <v>46127</v>
      </c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5.75" customHeight="1">
      <c r="A483" s="9"/>
      <c r="B483" s="97">
        <v>1.0001006E8</v>
      </c>
      <c r="C483" s="98" t="s">
        <v>610</v>
      </c>
      <c r="D483" s="113" t="s">
        <v>611</v>
      </c>
      <c r="E483" s="132">
        <v>952.74</v>
      </c>
      <c r="F483" s="57">
        <v>950.0</v>
      </c>
      <c r="G483" s="57">
        <v>974.69</v>
      </c>
      <c r="H483" s="41">
        <f t="shared" si="19"/>
        <v>959.1433333</v>
      </c>
      <c r="I483" s="49">
        <f t="shared" si="2"/>
        <v>0.02598947368</v>
      </c>
      <c r="J483" s="43">
        <f t="shared" si="46"/>
        <v>0.01620890864</v>
      </c>
      <c r="K483" s="58">
        <v>45945.0</v>
      </c>
      <c r="L483" s="50">
        <f t="shared" si="43"/>
        <v>46127</v>
      </c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5.75" customHeight="1">
      <c r="A484" s="9"/>
      <c r="B484" s="97">
        <v>1.0001015E8</v>
      </c>
      <c r="C484" s="98" t="s">
        <v>612</v>
      </c>
      <c r="D484" s="113" t="s">
        <v>613</v>
      </c>
      <c r="E484" s="132">
        <v>1433.78</v>
      </c>
      <c r="F484" s="57">
        <v>1677.9</v>
      </c>
      <c r="G484" s="57">
        <v>1543.64</v>
      </c>
      <c r="H484" s="41">
        <f t="shared" si="19"/>
        <v>1551.773333</v>
      </c>
      <c r="I484" s="49">
        <f t="shared" si="2"/>
        <v>0.1702632203</v>
      </c>
      <c r="J484" s="43">
        <f t="shared" si="46"/>
        <v>0.08127905278</v>
      </c>
      <c r="K484" s="58">
        <v>45946.0</v>
      </c>
      <c r="L484" s="50">
        <f t="shared" si="43"/>
        <v>46128</v>
      </c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5.75" customHeight="1">
      <c r="A485" s="9"/>
      <c r="B485" s="97">
        <v>1.0001015E8</v>
      </c>
      <c r="C485" s="98" t="s">
        <v>612</v>
      </c>
      <c r="D485" s="113" t="s">
        <v>614</v>
      </c>
      <c r="E485" s="132">
        <v>2406.55</v>
      </c>
      <c r="F485" s="57">
        <v>2607.33</v>
      </c>
      <c r="G485" s="57">
        <v>2579.89</v>
      </c>
      <c r="H485" s="41">
        <f t="shared" si="19"/>
        <v>2531.256667</v>
      </c>
      <c r="I485" s="49">
        <f t="shared" si="2"/>
        <v>0.08343063722</v>
      </c>
      <c r="J485" s="43">
        <f t="shared" si="46"/>
        <v>0.0300535834</v>
      </c>
      <c r="K485" s="58">
        <v>45946.0</v>
      </c>
      <c r="L485" s="50">
        <f t="shared" si="43"/>
        <v>46128</v>
      </c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5.75" customHeight="1">
      <c r="A486" s="9"/>
      <c r="B486" s="97">
        <v>1.0001094E8</v>
      </c>
      <c r="C486" s="98" t="s">
        <v>615</v>
      </c>
      <c r="D486" s="83"/>
      <c r="E486" s="132">
        <v>159.14</v>
      </c>
      <c r="F486" s="57">
        <v>159.14</v>
      </c>
      <c r="G486" s="57">
        <v>140.4</v>
      </c>
      <c r="H486" s="41">
        <f t="shared" si="19"/>
        <v>152.8933333</v>
      </c>
      <c r="I486" s="49">
        <f t="shared" si="2"/>
        <v>0.1334757835</v>
      </c>
      <c r="J486" s="43">
        <f t="shared" si="46"/>
        <v>0.04085637045</v>
      </c>
      <c r="K486" s="58">
        <v>45947.0</v>
      </c>
      <c r="L486" s="50">
        <f t="shared" si="43"/>
        <v>46129</v>
      </c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5.75" customHeight="1">
      <c r="A487" s="9"/>
      <c r="B487" s="97">
        <v>1.00012324E8</v>
      </c>
      <c r="C487" s="98" t="s">
        <v>616</v>
      </c>
      <c r="D487" s="83"/>
      <c r="E487" s="132">
        <v>322.2</v>
      </c>
      <c r="F487" s="57">
        <v>322.2</v>
      </c>
      <c r="G487" s="57">
        <v>348.8</v>
      </c>
      <c r="H487" s="41">
        <f t="shared" si="19"/>
        <v>331.0666667</v>
      </c>
      <c r="I487" s="49">
        <f t="shared" si="2"/>
        <v>0.08255741775</v>
      </c>
      <c r="J487" s="43">
        <f t="shared" si="46"/>
        <v>0.05356423681</v>
      </c>
      <c r="K487" s="58">
        <v>45947.0</v>
      </c>
      <c r="L487" s="50">
        <f t="shared" si="43"/>
        <v>46129</v>
      </c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5.75" customHeight="1">
      <c r="A488" s="9"/>
      <c r="B488" s="97">
        <v>1.00012371E8</v>
      </c>
      <c r="C488" s="98" t="s">
        <v>617</v>
      </c>
      <c r="D488" s="83"/>
      <c r="E488" s="132">
        <v>9500.0</v>
      </c>
      <c r="F488" s="57">
        <v>9567.8</v>
      </c>
      <c r="G488" s="57">
        <v>9017.8</v>
      </c>
      <c r="H488" s="41">
        <f t="shared" si="19"/>
        <v>9361.866667</v>
      </c>
      <c r="I488" s="49">
        <f t="shared" si="2"/>
        <v>0.06099048548</v>
      </c>
      <c r="J488" s="43">
        <f t="shared" si="46"/>
        <v>0.02199703763</v>
      </c>
      <c r="K488" s="58">
        <v>45947.0</v>
      </c>
      <c r="L488" s="50">
        <f t="shared" si="43"/>
        <v>46129</v>
      </c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5.75" customHeight="1">
      <c r="A489" s="9"/>
      <c r="B489" s="193">
        <v>1.00010455E8</v>
      </c>
      <c r="C489" s="195" t="s">
        <v>618</v>
      </c>
      <c r="D489" s="83"/>
      <c r="E489" s="132">
        <v>11310.0</v>
      </c>
      <c r="F489" s="57">
        <v>9188.5</v>
      </c>
      <c r="G489" s="196">
        <v>8719.15</v>
      </c>
      <c r="H489" s="41">
        <f t="shared" si="19"/>
        <v>9739.216667</v>
      </c>
      <c r="I489" s="49">
        <f t="shared" si="2"/>
        <v>0.2971447905</v>
      </c>
      <c r="J489" s="43">
        <f t="shared" si="46"/>
        <v>0.1612843607</v>
      </c>
      <c r="K489" s="58">
        <v>45924.0</v>
      </c>
      <c r="L489" s="50">
        <f t="shared" si="43"/>
        <v>46105</v>
      </c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5.75" customHeight="1">
      <c r="A490" s="9"/>
      <c r="B490" s="150">
        <v>1.00012595E8</v>
      </c>
      <c r="C490" s="151" t="s">
        <v>63</v>
      </c>
      <c r="D490" s="170"/>
      <c r="E490" s="171">
        <v>230.41</v>
      </c>
      <c r="F490" s="172">
        <v>298.43</v>
      </c>
      <c r="G490" s="172">
        <v>286.2</v>
      </c>
      <c r="H490" s="155">
        <f t="shared" si="19"/>
        <v>271.68</v>
      </c>
      <c r="I490" s="156">
        <f t="shared" si="2"/>
        <v>0.2952128814</v>
      </c>
      <c r="J490" s="157">
        <f t="shared" si="46"/>
        <v>0.09846142521</v>
      </c>
      <c r="K490" s="165"/>
      <c r="L490" s="159">
        <f t="shared" si="43"/>
        <v>182</v>
      </c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5.75" customHeight="1">
      <c r="A491" s="187"/>
      <c r="B491" s="97">
        <v>1.00012653E8</v>
      </c>
      <c r="C491" s="98" t="s">
        <v>619</v>
      </c>
      <c r="D491" s="83"/>
      <c r="E491" s="101">
        <v>1160.0</v>
      </c>
      <c r="F491" s="54">
        <v>1075.22</v>
      </c>
      <c r="G491" s="54">
        <v>909.99</v>
      </c>
      <c r="H491" s="41">
        <f t="shared" si="19"/>
        <v>1048.403333</v>
      </c>
      <c r="I491" s="49">
        <f t="shared" si="2"/>
        <v>0.2747392828</v>
      </c>
      <c r="J491" s="43"/>
      <c r="K491" s="58">
        <v>45930.0</v>
      </c>
      <c r="L491" s="50">
        <f t="shared" si="43"/>
        <v>46111</v>
      </c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5.75" customHeight="1">
      <c r="A492" s="9"/>
      <c r="B492" s="97">
        <v>1.0001276E8</v>
      </c>
      <c r="C492" s="98" t="s">
        <v>620</v>
      </c>
      <c r="D492" s="197" t="s">
        <v>621</v>
      </c>
      <c r="E492" s="101">
        <v>659.0</v>
      </c>
      <c r="F492" s="54">
        <v>575.5</v>
      </c>
      <c r="G492" s="54">
        <v>640.0</v>
      </c>
      <c r="H492" s="41">
        <f t="shared" si="19"/>
        <v>624.8333333</v>
      </c>
      <c r="I492" s="49">
        <f t="shared" si="2"/>
        <v>0.145091225</v>
      </c>
      <c r="J492" s="43"/>
      <c r="K492" s="58">
        <v>45930.0</v>
      </c>
      <c r="L492" s="50">
        <f t="shared" si="43"/>
        <v>46111</v>
      </c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5.75" customHeight="1">
      <c r="A493" s="9"/>
      <c r="B493" s="97">
        <v>1.00012274E8</v>
      </c>
      <c r="C493" s="98" t="s">
        <v>622</v>
      </c>
      <c r="D493" s="83"/>
      <c r="E493" s="101">
        <v>4190.9</v>
      </c>
      <c r="F493" s="54">
        <v>3990.0</v>
      </c>
      <c r="G493" s="198">
        <v>4000.0</v>
      </c>
      <c r="H493" s="41">
        <f t="shared" si="19"/>
        <v>4060.3</v>
      </c>
      <c r="I493" s="49">
        <f t="shared" si="2"/>
        <v>0.05035087719</v>
      </c>
      <c r="J493" s="43">
        <f>IF(ISERROR(MAX(E493:G493)/H493-1),"",(MAX(E493:G493)/H493-1))</f>
        <v>0.03216511095</v>
      </c>
      <c r="K493" s="58">
        <v>45930.0</v>
      </c>
      <c r="L493" s="50">
        <f t="shared" si="43"/>
        <v>46111</v>
      </c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5.75" customHeight="1">
      <c r="A494" s="9"/>
      <c r="B494" s="97">
        <v>1.00012487E8</v>
      </c>
      <c r="C494" s="98" t="s">
        <v>623</v>
      </c>
      <c r="D494" s="113" t="s">
        <v>624</v>
      </c>
      <c r="E494" s="101">
        <v>329.14</v>
      </c>
      <c r="F494" s="54">
        <v>391.18</v>
      </c>
      <c r="G494" s="54">
        <v>355.44</v>
      </c>
      <c r="H494" s="41">
        <f t="shared" si="19"/>
        <v>358.5866667</v>
      </c>
      <c r="I494" s="49">
        <f t="shared" si="2"/>
        <v>0.1884912195</v>
      </c>
      <c r="J494" s="43"/>
      <c r="K494" s="58">
        <v>45946.0</v>
      </c>
      <c r="L494" s="50">
        <f t="shared" si="43"/>
        <v>46128</v>
      </c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5.75" customHeight="1">
      <c r="A495" s="9"/>
      <c r="B495" s="97">
        <v>1.00010154E8</v>
      </c>
      <c r="C495" s="98" t="s">
        <v>625</v>
      </c>
      <c r="D495" s="83"/>
      <c r="E495" s="101">
        <v>804.5</v>
      </c>
      <c r="F495" s="54">
        <v>795.2</v>
      </c>
      <c r="G495" s="54">
        <v>789.2</v>
      </c>
      <c r="H495" s="41">
        <f t="shared" si="19"/>
        <v>796.3</v>
      </c>
      <c r="I495" s="49">
        <f t="shared" si="2"/>
        <v>0.01938672073</v>
      </c>
      <c r="J495" s="43"/>
      <c r="K495" s="58">
        <v>45951.0</v>
      </c>
      <c r="L495" s="50">
        <f t="shared" si="43"/>
        <v>46133</v>
      </c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5.75" customHeight="1">
      <c r="A496" s="9"/>
      <c r="B496" s="97">
        <v>1.00012487E8</v>
      </c>
      <c r="C496" s="98" t="s">
        <v>626</v>
      </c>
      <c r="D496" s="113" t="s">
        <v>627</v>
      </c>
      <c r="E496" s="101">
        <v>399.0</v>
      </c>
      <c r="F496" s="54">
        <v>349.0</v>
      </c>
      <c r="G496" s="54">
        <v>369.99</v>
      </c>
      <c r="H496" s="41">
        <f t="shared" si="19"/>
        <v>372.6633333</v>
      </c>
      <c r="I496" s="49">
        <f t="shared" si="2"/>
        <v>0.1432664756</v>
      </c>
      <c r="J496" s="43"/>
      <c r="K496" s="58">
        <v>45946.0</v>
      </c>
      <c r="L496" s="50">
        <f t="shared" si="43"/>
        <v>46128</v>
      </c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5.75" customHeight="1">
      <c r="A497" s="9"/>
      <c r="B497" s="97">
        <v>1.00012501E8</v>
      </c>
      <c r="C497" s="98" t="s">
        <v>628</v>
      </c>
      <c r="D497" s="113" t="s">
        <v>629</v>
      </c>
      <c r="E497" s="101">
        <v>939.87</v>
      </c>
      <c r="F497" s="54">
        <v>1025.56</v>
      </c>
      <c r="G497" s="54">
        <v>943.07</v>
      </c>
      <c r="H497" s="41">
        <f t="shared" si="19"/>
        <v>969.5</v>
      </c>
      <c r="I497" s="49">
        <f t="shared" si="2"/>
        <v>0.09117218339</v>
      </c>
      <c r="J497" s="43">
        <f t="shared" ref="J497:J505" si="47">IF(ISERROR(MAX(E497:G497)/H497-1),"",(MAX(E497:G497)/H497-1))</f>
        <v>0.05782362042</v>
      </c>
      <c r="K497" s="58">
        <v>45929.0</v>
      </c>
      <c r="L497" s="50">
        <f t="shared" si="43"/>
        <v>46110</v>
      </c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5.75" customHeight="1">
      <c r="A498" s="9"/>
      <c r="B498" s="97">
        <v>1.00012535E8</v>
      </c>
      <c r="C498" s="98" t="s">
        <v>630</v>
      </c>
      <c r="D498" s="83"/>
      <c r="E498" s="101">
        <v>99.9</v>
      </c>
      <c r="F498" s="54">
        <v>114.0</v>
      </c>
      <c r="G498" s="54">
        <v>126.0</v>
      </c>
      <c r="H498" s="41">
        <f t="shared" si="19"/>
        <v>113.3</v>
      </c>
      <c r="I498" s="49">
        <f t="shared" si="2"/>
        <v>0.2612612613</v>
      </c>
      <c r="J498" s="43">
        <f t="shared" si="47"/>
        <v>0.1120917917</v>
      </c>
      <c r="K498" s="58">
        <v>45929.0</v>
      </c>
      <c r="L498" s="50">
        <f t="shared" si="43"/>
        <v>46110</v>
      </c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5.75" customHeight="1">
      <c r="A499" s="9"/>
      <c r="B499" s="97">
        <v>1.00012536E8</v>
      </c>
      <c r="C499" s="98" t="s">
        <v>631</v>
      </c>
      <c r="D499" s="83"/>
      <c r="E499" s="101">
        <v>199.9</v>
      </c>
      <c r="F499" s="138">
        <v>218.0</v>
      </c>
      <c r="G499" s="54">
        <v>213.99</v>
      </c>
      <c r="H499" s="41">
        <f t="shared" si="19"/>
        <v>210.63</v>
      </c>
      <c r="I499" s="49">
        <f t="shared" si="2"/>
        <v>0.09054527264</v>
      </c>
      <c r="J499" s="43">
        <f t="shared" si="47"/>
        <v>0.03499026729</v>
      </c>
      <c r="K499" s="58">
        <v>45929.0</v>
      </c>
      <c r="L499" s="50">
        <f t="shared" si="43"/>
        <v>46110</v>
      </c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5.75" customHeight="1">
      <c r="A500" s="9"/>
      <c r="B500" s="97">
        <v>1.00002252E8</v>
      </c>
      <c r="C500" s="98" t="s">
        <v>632</v>
      </c>
      <c r="D500" s="83"/>
      <c r="E500" s="132">
        <v>109.98</v>
      </c>
      <c r="F500" s="57">
        <v>113.4</v>
      </c>
      <c r="G500" s="57">
        <v>97.9</v>
      </c>
      <c r="H500" s="41">
        <f t="shared" si="19"/>
        <v>107.0933333</v>
      </c>
      <c r="I500" s="49">
        <f t="shared" si="2"/>
        <v>0.1583248212</v>
      </c>
      <c r="J500" s="43">
        <f t="shared" si="47"/>
        <v>0.05888944223</v>
      </c>
      <c r="K500" s="58">
        <v>45926.0</v>
      </c>
      <c r="L500" s="50">
        <f t="shared" si="43"/>
        <v>46107</v>
      </c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5.75" customHeight="1">
      <c r="A501" s="9"/>
      <c r="B501" s="97">
        <v>1.00002265E8</v>
      </c>
      <c r="C501" s="98" t="s">
        <v>633</v>
      </c>
      <c r="D501" s="83"/>
      <c r="E501" s="132">
        <v>298.75</v>
      </c>
      <c r="F501" s="57">
        <v>309.0</v>
      </c>
      <c r="G501" s="57">
        <v>341.21</v>
      </c>
      <c r="H501" s="41">
        <f t="shared" si="19"/>
        <v>316.32</v>
      </c>
      <c r="I501" s="49">
        <f t="shared" si="2"/>
        <v>0.142125523</v>
      </c>
      <c r="J501" s="43">
        <f t="shared" si="47"/>
        <v>0.07868614062</v>
      </c>
      <c r="K501" s="78"/>
      <c r="L501" s="50">
        <v>44680.0</v>
      </c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5.75" customHeight="1">
      <c r="A502" s="9"/>
      <c r="B502" s="97">
        <v>1.00002381E8</v>
      </c>
      <c r="C502" s="98" t="s">
        <v>634</v>
      </c>
      <c r="D502" s="83"/>
      <c r="E502" s="101">
        <v>127.0</v>
      </c>
      <c r="F502" s="54">
        <v>107.94</v>
      </c>
      <c r="G502" s="138">
        <v>105.95</v>
      </c>
      <c r="H502" s="41">
        <f t="shared" si="19"/>
        <v>113.63</v>
      </c>
      <c r="I502" s="49">
        <f t="shared" si="2"/>
        <v>0.198678622</v>
      </c>
      <c r="J502" s="43">
        <f t="shared" si="47"/>
        <v>0.1176625891</v>
      </c>
      <c r="K502" s="78"/>
      <c r="L502" s="50">
        <f t="shared" ref="L502:L503" si="48">EDATE(K502,6)</f>
        <v>182</v>
      </c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5.75" customHeight="1">
      <c r="A503" s="9"/>
      <c r="B503" s="97">
        <v>1.00012554E8</v>
      </c>
      <c r="C503" s="98" t="s">
        <v>635</v>
      </c>
      <c r="D503" s="83"/>
      <c r="E503" s="101">
        <v>709.0</v>
      </c>
      <c r="F503" s="54">
        <v>756.0</v>
      </c>
      <c r="G503" s="54">
        <v>599.89</v>
      </c>
      <c r="H503" s="41">
        <f t="shared" si="19"/>
        <v>688.2966667</v>
      </c>
      <c r="I503" s="49">
        <f t="shared" si="2"/>
        <v>0.2602310424</v>
      </c>
      <c r="J503" s="43">
        <f t="shared" si="47"/>
        <v>0.09836359322</v>
      </c>
      <c r="K503" s="78"/>
      <c r="L503" s="50">
        <f t="shared" si="48"/>
        <v>182</v>
      </c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5.75" customHeight="1">
      <c r="A504" s="9"/>
      <c r="B504" s="97">
        <v>1.00012554E8</v>
      </c>
      <c r="C504" s="98" t="s">
        <v>636</v>
      </c>
      <c r="D504" s="83"/>
      <c r="E504" s="132">
        <v>842.0</v>
      </c>
      <c r="F504" s="57">
        <v>953.15</v>
      </c>
      <c r="G504" s="57">
        <v>899.0</v>
      </c>
      <c r="H504" s="41">
        <f t="shared" si="19"/>
        <v>898.05</v>
      </c>
      <c r="I504" s="49">
        <f t="shared" si="2"/>
        <v>0.1320071259</v>
      </c>
      <c r="J504" s="43">
        <f t="shared" si="47"/>
        <v>0.0613551584</v>
      </c>
      <c r="K504" s="78"/>
      <c r="L504" s="50">
        <v>44680.0</v>
      </c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5.75" customHeight="1">
      <c r="A505" s="9"/>
      <c r="B505" s="97">
        <v>1.00012554E8</v>
      </c>
      <c r="C505" s="98" t="s">
        <v>637</v>
      </c>
      <c r="D505" s="83"/>
      <c r="E505" s="101">
        <v>628.0</v>
      </c>
      <c r="F505" s="54">
        <v>645.0</v>
      </c>
      <c r="G505" s="54">
        <v>659.9</v>
      </c>
      <c r="H505" s="41">
        <f t="shared" si="19"/>
        <v>644.3</v>
      </c>
      <c r="I505" s="49">
        <f t="shared" si="2"/>
        <v>0.05079617834</v>
      </c>
      <c r="J505" s="43">
        <f t="shared" si="47"/>
        <v>0.02421232345</v>
      </c>
      <c r="K505" s="78"/>
      <c r="L505" s="50">
        <f t="shared" ref="L505:L554" si="49">EDATE(K505,6)</f>
        <v>182</v>
      </c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5.75" customHeight="1">
      <c r="A506" s="9"/>
      <c r="B506" s="97">
        <v>1.00012554E8</v>
      </c>
      <c r="C506" s="98" t="s">
        <v>638</v>
      </c>
      <c r="D506" s="83"/>
      <c r="E506" s="101">
        <v>486.4</v>
      </c>
      <c r="F506" s="54">
        <v>595.01</v>
      </c>
      <c r="G506" s="54">
        <v>599.99</v>
      </c>
      <c r="H506" s="41">
        <f t="shared" si="19"/>
        <v>560.4666667</v>
      </c>
      <c r="I506" s="49">
        <f t="shared" si="2"/>
        <v>0.2335320724</v>
      </c>
      <c r="J506" s="43"/>
      <c r="K506" s="78"/>
      <c r="L506" s="50">
        <f t="shared" si="49"/>
        <v>182</v>
      </c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5.75" customHeight="1">
      <c r="A507" s="9"/>
      <c r="B507" s="97">
        <v>1.00012554E8</v>
      </c>
      <c r="C507" s="98" t="s">
        <v>639</v>
      </c>
      <c r="D507" s="113" t="s">
        <v>640</v>
      </c>
      <c r="E507" s="101">
        <v>812.0</v>
      </c>
      <c r="F507" s="54">
        <v>899.0</v>
      </c>
      <c r="G507" s="54">
        <v>895.73</v>
      </c>
      <c r="H507" s="41">
        <f t="shared" si="19"/>
        <v>868.91</v>
      </c>
      <c r="I507" s="49">
        <f t="shared" si="2"/>
        <v>0.1071428571</v>
      </c>
      <c r="J507" s="43">
        <f t="shared" ref="J507:J554" si="50">IF(ISERROR(MAX(E507:G507)/H507-1),"",(MAX(E507:G507)/H507-1))</f>
        <v>0.0346295934</v>
      </c>
      <c r="K507" s="78"/>
      <c r="L507" s="50">
        <f t="shared" si="49"/>
        <v>182</v>
      </c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5.75" customHeight="1">
      <c r="A508" s="9"/>
      <c r="B508" s="97">
        <v>1.00012554E8</v>
      </c>
      <c r="C508" s="98" t="s">
        <v>641</v>
      </c>
      <c r="D508" s="83"/>
      <c r="E508" s="132">
        <v>719.0</v>
      </c>
      <c r="F508" s="57">
        <v>639.0</v>
      </c>
      <c r="G508" s="57">
        <v>632.22</v>
      </c>
      <c r="H508" s="41">
        <f t="shared" si="19"/>
        <v>663.4066667</v>
      </c>
      <c r="I508" s="49">
        <f t="shared" si="2"/>
        <v>0.1372623454</v>
      </c>
      <c r="J508" s="43">
        <f t="shared" si="50"/>
        <v>0.08379978093</v>
      </c>
      <c r="K508" s="78"/>
      <c r="L508" s="50">
        <f t="shared" si="49"/>
        <v>182</v>
      </c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5.75" customHeight="1">
      <c r="A509" s="9"/>
      <c r="B509" s="97">
        <v>1.00010101E8</v>
      </c>
      <c r="C509" s="98" t="s">
        <v>642</v>
      </c>
      <c r="D509" s="113" t="s">
        <v>643</v>
      </c>
      <c r="E509" s="132">
        <v>639.9</v>
      </c>
      <c r="F509" s="57">
        <v>667.71</v>
      </c>
      <c r="G509" s="57">
        <v>596.17</v>
      </c>
      <c r="H509" s="41">
        <f t="shared" si="19"/>
        <v>634.5933333</v>
      </c>
      <c r="I509" s="49">
        <f t="shared" si="2"/>
        <v>0.1199993291</v>
      </c>
      <c r="J509" s="43">
        <f t="shared" si="50"/>
        <v>0.0521856517</v>
      </c>
      <c r="K509" s="58">
        <v>45950.0</v>
      </c>
      <c r="L509" s="50">
        <f t="shared" si="49"/>
        <v>46132</v>
      </c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5.75" customHeight="1">
      <c r="A510" s="9"/>
      <c r="B510" s="97">
        <v>1.00010101E8</v>
      </c>
      <c r="C510" s="98" t="s">
        <v>644</v>
      </c>
      <c r="D510" s="113" t="s">
        <v>643</v>
      </c>
      <c r="E510" s="132">
        <v>13083.53</v>
      </c>
      <c r="F510" s="57">
        <v>13877.42</v>
      </c>
      <c r="G510" s="57">
        <v>14662.94</v>
      </c>
      <c r="H510" s="41">
        <f t="shared" si="19"/>
        <v>13874.63</v>
      </c>
      <c r="I510" s="49">
        <f t="shared" si="2"/>
        <v>0.1207174211</v>
      </c>
      <c r="J510" s="43">
        <f t="shared" si="50"/>
        <v>0.05681665025</v>
      </c>
      <c r="K510" s="58">
        <v>45950.0</v>
      </c>
      <c r="L510" s="50">
        <f t="shared" si="49"/>
        <v>46132</v>
      </c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5.75" customHeight="1">
      <c r="A511" s="9"/>
      <c r="B511" s="97">
        <v>1.00010684E8</v>
      </c>
      <c r="C511" s="98" t="s">
        <v>468</v>
      </c>
      <c r="D511" s="83"/>
      <c r="E511" s="132">
        <v>95.64</v>
      </c>
      <c r="F511" s="57">
        <v>87.89</v>
      </c>
      <c r="G511" s="57">
        <v>79.9</v>
      </c>
      <c r="H511" s="41">
        <f t="shared" si="19"/>
        <v>87.81</v>
      </c>
      <c r="I511" s="49">
        <f t="shared" si="2"/>
        <v>0.1969962453</v>
      </c>
      <c r="J511" s="43">
        <f t="shared" si="50"/>
        <v>0.08916979843</v>
      </c>
      <c r="K511" s="78"/>
      <c r="L511" s="50">
        <f t="shared" si="49"/>
        <v>182</v>
      </c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5.75" customHeight="1">
      <c r="A512" s="9"/>
      <c r="B512" s="97">
        <v>1.00002323E8</v>
      </c>
      <c r="C512" s="98" t="s">
        <v>645</v>
      </c>
      <c r="D512" s="199" t="s">
        <v>646</v>
      </c>
      <c r="E512" s="200">
        <v>20592.74</v>
      </c>
      <c r="F512" s="201">
        <v>20592.74</v>
      </c>
      <c r="G512" s="57">
        <v>20592.74</v>
      </c>
      <c r="H512" s="41">
        <f t="shared" si="19"/>
        <v>20592.74</v>
      </c>
      <c r="I512" s="49">
        <f t="shared" si="2"/>
        <v>0</v>
      </c>
      <c r="J512" s="43">
        <f t="shared" si="50"/>
        <v>0</v>
      </c>
      <c r="K512" s="78"/>
      <c r="L512" s="50">
        <f t="shared" si="49"/>
        <v>182</v>
      </c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5.75" customHeight="1">
      <c r="A513" s="9"/>
      <c r="B513" s="97">
        <v>1.00002323E8</v>
      </c>
      <c r="C513" s="98" t="s">
        <v>647</v>
      </c>
      <c r="D513" s="202" t="s">
        <v>646</v>
      </c>
      <c r="E513" s="200">
        <v>17861.32</v>
      </c>
      <c r="F513" s="200">
        <v>17861.32</v>
      </c>
      <c r="G513" s="201">
        <v>17861.32</v>
      </c>
      <c r="H513" s="41">
        <f t="shared" si="19"/>
        <v>17861.32</v>
      </c>
      <c r="I513" s="49">
        <f t="shared" si="2"/>
        <v>0</v>
      </c>
      <c r="J513" s="43">
        <f t="shared" si="50"/>
        <v>0</v>
      </c>
      <c r="K513" s="78"/>
      <c r="L513" s="50">
        <f t="shared" si="49"/>
        <v>182</v>
      </c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5.75" customHeight="1">
      <c r="A514" s="9"/>
      <c r="B514" s="97">
        <v>1.00002323E8</v>
      </c>
      <c r="C514" s="98" t="s">
        <v>648</v>
      </c>
      <c r="D514" s="113" t="s">
        <v>646</v>
      </c>
      <c r="E514" s="203">
        <v>357753.0</v>
      </c>
      <c r="F514" s="54">
        <v>357753.0</v>
      </c>
      <c r="G514" s="54">
        <v>357753.0</v>
      </c>
      <c r="H514" s="41">
        <f t="shared" si="19"/>
        <v>357753</v>
      </c>
      <c r="I514" s="49">
        <f t="shared" si="2"/>
        <v>0</v>
      </c>
      <c r="J514" s="43">
        <f t="shared" si="50"/>
        <v>0</v>
      </c>
      <c r="K514" s="78"/>
      <c r="L514" s="50">
        <f t="shared" si="49"/>
        <v>182</v>
      </c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5.75" customHeight="1">
      <c r="A515" s="9"/>
      <c r="B515" s="97">
        <v>1.00002325E8</v>
      </c>
      <c r="C515" s="98" t="s">
        <v>649</v>
      </c>
      <c r="D515" s="113" t="s">
        <v>646</v>
      </c>
      <c r="E515" s="101">
        <v>8.12</v>
      </c>
      <c r="F515" s="54">
        <v>8.12</v>
      </c>
      <c r="G515" s="54">
        <v>8.12</v>
      </c>
      <c r="H515" s="41">
        <f t="shared" si="19"/>
        <v>8.12</v>
      </c>
      <c r="I515" s="49">
        <f t="shared" si="2"/>
        <v>0</v>
      </c>
      <c r="J515" s="43">
        <f t="shared" si="50"/>
        <v>0</v>
      </c>
      <c r="K515" s="78"/>
      <c r="L515" s="50">
        <f t="shared" si="49"/>
        <v>182</v>
      </c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5.75" customHeight="1">
      <c r="A516" s="9"/>
      <c r="B516" s="97">
        <v>1.00002353E8</v>
      </c>
      <c r="C516" s="98" t="s">
        <v>650</v>
      </c>
      <c r="D516" s="113" t="s">
        <v>646</v>
      </c>
      <c r="E516" s="101">
        <v>23016.02</v>
      </c>
      <c r="F516" s="54">
        <v>23016.02</v>
      </c>
      <c r="G516" s="54">
        <v>23016.02</v>
      </c>
      <c r="H516" s="41">
        <f t="shared" si="19"/>
        <v>23016.02</v>
      </c>
      <c r="I516" s="49">
        <f t="shared" si="2"/>
        <v>0</v>
      </c>
      <c r="J516" s="43">
        <f t="shared" si="50"/>
        <v>0</v>
      </c>
      <c r="K516" s="78"/>
      <c r="L516" s="50">
        <f t="shared" si="49"/>
        <v>182</v>
      </c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5.75" customHeight="1">
      <c r="A517" s="9"/>
      <c r="B517" s="97">
        <v>1.00002326E8</v>
      </c>
      <c r="C517" s="98" t="s">
        <v>651</v>
      </c>
      <c r="D517" s="113" t="s">
        <v>646</v>
      </c>
      <c r="E517" s="203">
        <v>60750.2</v>
      </c>
      <c r="F517" s="203">
        <v>60750.2</v>
      </c>
      <c r="G517" s="203">
        <v>60750.2</v>
      </c>
      <c r="H517" s="41">
        <f t="shared" si="19"/>
        <v>60750.2</v>
      </c>
      <c r="I517" s="49">
        <f t="shared" si="2"/>
        <v>0</v>
      </c>
      <c r="J517" s="43">
        <f t="shared" si="50"/>
        <v>0</v>
      </c>
      <c r="K517" s="78"/>
      <c r="L517" s="50">
        <f t="shared" si="49"/>
        <v>182</v>
      </c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5.75" customHeight="1">
      <c r="A518" s="9"/>
      <c r="B518" s="97">
        <v>1.00002328E8</v>
      </c>
      <c r="C518" s="98" t="s">
        <v>652</v>
      </c>
      <c r="D518" s="113" t="s">
        <v>653</v>
      </c>
      <c r="E518" s="101">
        <v>5384.0</v>
      </c>
      <c r="F518" s="54">
        <v>4645.94</v>
      </c>
      <c r="G518" s="54">
        <v>5000.0</v>
      </c>
      <c r="H518" s="41">
        <f t="shared" si="19"/>
        <v>5009.98</v>
      </c>
      <c r="I518" s="49">
        <f t="shared" si="2"/>
        <v>0.1588612853</v>
      </c>
      <c r="J518" s="43">
        <f t="shared" si="50"/>
        <v>0.07465498864</v>
      </c>
      <c r="K518" s="78"/>
      <c r="L518" s="50">
        <f t="shared" si="49"/>
        <v>182</v>
      </c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5.75" customHeight="1">
      <c r="A519" s="9"/>
      <c r="B519" s="97">
        <v>1.00012817E8</v>
      </c>
      <c r="C519" s="98" t="s">
        <v>654</v>
      </c>
      <c r="D519" s="83"/>
      <c r="E519" s="101">
        <v>194.4</v>
      </c>
      <c r="F519" s="54">
        <v>250.0</v>
      </c>
      <c r="G519" s="54">
        <v>215.36</v>
      </c>
      <c r="H519" s="41">
        <f t="shared" si="19"/>
        <v>219.92</v>
      </c>
      <c r="I519" s="49">
        <f t="shared" si="2"/>
        <v>0.2860082305</v>
      </c>
      <c r="J519" s="43">
        <f t="shared" si="50"/>
        <v>0.1367770098</v>
      </c>
      <c r="K519" s="58">
        <v>45951.0</v>
      </c>
      <c r="L519" s="50">
        <f t="shared" si="49"/>
        <v>46133</v>
      </c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5.75" customHeight="1">
      <c r="A520" s="9"/>
      <c r="B520" s="97">
        <v>1.00002321E8</v>
      </c>
      <c r="C520" s="98" t="s">
        <v>655</v>
      </c>
      <c r="D520" s="113" t="s">
        <v>646</v>
      </c>
      <c r="E520" s="101">
        <v>4540.76</v>
      </c>
      <c r="F520" s="54">
        <v>4540.76</v>
      </c>
      <c r="G520" s="65"/>
      <c r="H520" s="41">
        <f t="shared" si="19"/>
        <v>3027.173333</v>
      </c>
      <c r="I520" s="49">
        <f t="shared" si="2"/>
        <v>0</v>
      </c>
      <c r="J520" s="43">
        <f t="shared" si="50"/>
        <v>0.5</v>
      </c>
      <c r="K520" s="78"/>
      <c r="L520" s="50">
        <f t="shared" si="49"/>
        <v>182</v>
      </c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5.75" customHeight="1">
      <c r="A521" s="9"/>
      <c r="B521" s="97">
        <v>1.00012596E8</v>
      </c>
      <c r="C521" s="98" t="s">
        <v>656</v>
      </c>
      <c r="D521" s="113" t="s">
        <v>646</v>
      </c>
      <c r="E521" s="204">
        <v>76138.77</v>
      </c>
      <c r="F521" s="54">
        <v>76138.77</v>
      </c>
      <c r="G521" s="54">
        <v>76138.77</v>
      </c>
      <c r="H521" s="41">
        <f t="shared" si="19"/>
        <v>76138.77</v>
      </c>
      <c r="I521" s="49">
        <f t="shared" si="2"/>
        <v>0</v>
      </c>
      <c r="J521" s="43">
        <f t="shared" si="50"/>
        <v>0</v>
      </c>
      <c r="K521" s="78"/>
      <c r="L521" s="50">
        <f t="shared" si="49"/>
        <v>182</v>
      </c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5.75" customHeight="1">
      <c r="A522" s="9"/>
      <c r="B522" s="97">
        <v>1.00012577E8</v>
      </c>
      <c r="C522" s="98" t="s">
        <v>657</v>
      </c>
      <c r="D522" s="113" t="s">
        <v>646</v>
      </c>
      <c r="E522" s="205">
        <v>127790.29</v>
      </c>
      <c r="F522" s="205">
        <v>127790.29</v>
      </c>
      <c r="G522" s="205">
        <v>127790.29</v>
      </c>
      <c r="H522" s="41">
        <f t="shared" si="19"/>
        <v>127790.29</v>
      </c>
      <c r="I522" s="49">
        <f t="shared" si="2"/>
        <v>0</v>
      </c>
      <c r="J522" s="43">
        <f t="shared" si="50"/>
        <v>0</v>
      </c>
      <c r="K522" s="78"/>
      <c r="L522" s="50">
        <f t="shared" si="49"/>
        <v>182</v>
      </c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5.75" customHeight="1">
      <c r="A523" s="9"/>
      <c r="B523" s="97">
        <v>1.0001252E8</v>
      </c>
      <c r="C523" s="98" t="s">
        <v>658</v>
      </c>
      <c r="D523" s="128"/>
      <c r="E523" s="101">
        <v>273.78</v>
      </c>
      <c r="F523" s="54">
        <v>220.0</v>
      </c>
      <c r="G523" s="54">
        <v>289.9</v>
      </c>
      <c r="H523" s="41">
        <f t="shared" si="19"/>
        <v>261.2266667</v>
      </c>
      <c r="I523" s="49">
        <f t="shared" si="2"/>
        <v>0.3177272727</v>
      </c>
      <c r="J523" s="43">
        <f t="shared" si="50"/>
        <v>0.1097641895</v>
      </c>
      <c r="K523" s="58">
        <v>45951.0</v>
      </c>
      <c r="L523" s="50">
        <f t="shared" si="49"/>
        <v>46133</v>
      </c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5.75" customHeight="1">
      <c r="A524" s="9"/>
      <c r="B524" s="97">
        <v>1.00012578E8</v>
      </c>
      <c r="C524" s="98" t="s">
        <v>659</v>
      </c>
      <c r="D524" s="188" t="s">
        <v>646</v>
      </c>
      <c r="E524" s="101">
        <v>103028.48</v>
      </c>
      <c r="F524" s="54">
        <v>103028.48</v>
      </c>
      <c r="G524" s="54">
        <v>103028.48</v>
      </c>
      <c r="H524" s="41">
        <f t="shared" si="19"/>
        <v>103028.48</v>
      </c>
      <c r="I524" s="49">
        <f t="shared" si="2"/>
        <v>0</v>
      </c>
      <c r="J524" s="43">
        <f t="shared" si="50"/>
        <v>0</v>
      </c>
      <c r="K524" s="78"/>
      <c r="L524" s="50">
        <f t="shared" si="49"/>
        <v>182</v>
      </c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5.75" customHeight="1">
      <c r="A525" s="9"/>
      <c r="B525" s="97">
        <v>1.00012823E8</v>
      </c>
      <c r="C525" s="98" t="s">
        <v>660</v>
      </c>
      <c r="D525" s="113" t="s">
        <v>646</v>
      </c>
      <c r="E525" s="132">
        <v>63672.36</v>
      </c>
      <c r="F525" s="57">
        <v>63672.36</v>
      </c>
      <c r="G525" s="57">
        <v>63672.36</v>
      </c>
      <c r="H525" s="41">
        <f t="shared" si="19"/>
        <v>63672.36</v>
      </c>
      <c r="I525" s="49">
        <f t="shared" si="2"/>
        <v>0</v>
      </c>
      <c r="J525" s="43">
        <f t="shared" si="50"/>
        <v>0</v>
      </c>
      <c r="K525" s="78"/>
      <c r="L525" s="50">
        <f t="shared" si="49"/>
        <v>182</v>
      </c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5.75" customHeight="1">
      <c r="A526" s="9"/>
      <c r="B526" s="97">
        <v>1.00012507E8</v>
      </c>
      <c r="C526" s="98" t="s">
        <v>661</v>
      </c>
      <c r="D526" s="83"/>
      <c r="E526" s="132">
        <v>2005.95</v>
      </c>
      <c r="F526" s="57">
        <v>2005.95</v>
      </c>
      <c r="G526" s="57">
        <v>2005.95</v>
      </c>
      <c r="H526" s="41">
        <f t="shared" si="19"/>
        <v>2005.95</v>
      </c>
      <c r="I526" s="49">
        <f t="shared" si="2"/>
        <v>0</v>
      </c>
      <c r="J526" s="43">
        <f t="shared" si="50"/>
        <v>0</v>
      </c>
      <c r="K526" s="78"/>
      <c r="L526" s="50">
        <f t="shared" si="49"/>
        <v>182</v>
      </c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5.75" customHeight="1">
      <c r="A527" s="9"/>
      <c r="B527" s="97">
        <v>1.00012412E8</v>
      </c>
      <c r="C527" s="98" t="s">
        <v>662</v>
      </c>
      <c r="D527" s="83"/>
      <c r="E527" s="132">
        <v>98683.73</v>
      </c>
      <c r="F527" s="57">
        <v>98683.73</v>
      </c>
      <c r="G527" s="57">
        <v>98683.73</v>
      </c>
      <c r="H527" s="41">
        <f t="shared" si="19"/>
        <v>98683.73</v>
      </c>
      <c r="I527" s="49">
        <f t="shared" si="2"/>
        <v>0</v>
      </c>
      <c r="J527" s="43">
        <f t="shared" si="50"/>
        <v>0</v>
      </c>
      <c r="K527" s="78"/>
      <c r="L527" s="50">
        <f t="shared" si="49"/>
        <v>182</v>
      </c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5.75" customHeight="1">
      <c r="A528" s="9"/>
      <c r="B528" s="97">
        <v>1.00010095E8</v>
      </c>
      <c r="C528" s="98" t="s">
        <v>663</v>
      </c>
      <c r="D528" s="113" t="s">
        <v>653</v>
      </c>
      <c r="E528" s="132">
        <v>3452.53</v>
      </c>
      <c r="F528" s="57">
        <v>3398.0</v>
      </c>
      <c r="G528" s="57">
        <v>3090.0</v>
      </c>
      <c r="H528" s="41">
        <f t="shared" si="19"/>
        <v>3313.51</v>
      </c>
      <c r="I528" s="49">
        <f t="shared" si="2"/>
        <v>0.1173236246</v>
      </c>
      <c r="J528" s="43">
        <f t="shared" si="50"/>
        <v>0.04195550941</v>
      </c>
      <c r="K528" s="78"/>
      <c r="L528" s="50">
        <f t="shared" si="49"/>
        <v>182</v>
      </c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5.75" customHeight="1">
      <c r="A529" s="9"/>
      <c r="B529" s="97">
        <v>1.00010095E8</v>
      </c>
      <c r="C529" s="98" t="s">
        <v>664</v>
      </c>
      <c r="D529" s="113" t="s">
        <v>653</v>
      </c>
      <c r="E529" s="101">
        <v>5799.9</v>
      </c>
      <c r="F529" s="54">
        <v>5989.9</v>
      </c>
      <c r="G529" s="54">
        <v>6231.7</v>
      </c>
      <c r="H529" s="41">
        <f t="shared" si="19"/>
        <v>6007.166667</v>
      </c>
      <c r="I529" s="49">
        <f t="shared" si="2"/>
        <v>0.07444955948</v>
      </c>
      <c r="J529" s="43">
        <f t="shared" si="50"/>
        <v>0.03737757678</v>
      </c>
      <c r="K529" s="78"/>
      <c r="L529" s="50">
        <f t="shared" si="49"/>
        <v>182</v>
      </c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5.75" customHeight="1">
      <c r="A530" s="9"/>
      <c r="B530" s="97">
        <v>1.00002275E8</v>
      </c>
      <c r="C530" s="98" t="s">
        <v>665</v>
      </c>
      <c r="D530" s="128"/>
      <c r="E530" s="101">
        <v>1549.0</v>
      </c>
      <c r="F530" s="54">
        <v>1599.0</v>
      </c>
      <c r="G530" s="54">
        <v>1590.0</v>
      </c>
      <c r="H530" s="41">
        <f t="shared" si="19"/>
        <v>1579.333333</v>
      </c>
      <c r="I530" s="49">
        <f t="shared" si="2"/>
        <v>0.03227888961</v>
      </c>
      <c r="J530" s="43">
        <f t="shared" si="50"/>
        <v>0.01245251161</v>
      </c>
      <c r="K530" s="78"/>
      <c r="L530" s="50">
        <f t="shared" si="49"/>
        <v>182</v>
      </c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5.75" customHeight="1">
      <c r="A531" s="9"/>
      <c r="B531" s="97">
        <v>1.00002276E8</v>
      </c>
      <c r="C531" s="98" t="s">
        <v>666</v>
      </c>
      <c r="D531" s="113" t="s">
        <v>646</v>
      </c>
      <c r="E531" s="204">
        <v>200175.73</v>
      </c>
      <c r="F531" s="204">
        <v>200175.73</v>
      </c>
      <c r="G531" s="204">
        <v>200175.73</v>
      </c>
      <c r="H531" s="41">
        <f t="shared" si="19"/>
        <v>200175.73</v>
      </c>
      <c r="I531" s="49">
        <f t="shared" si="2"/>
        <v>0</v>
      </c>
      <c r="J531" s="43">
        <f t="shared" si="50"/>
        <v>0</v>
      </c>
      <c r="K531" s="78"/>
      <c r="L531" s="50">
        <f t="shared" si="49"/>
        <v>182</v>
      </c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5.75" customHeight="1">
      <c r="A532" s="9"/>
      <c r="B532" s="97">
        <v>1.00002277E8</v>
      </c>
      <c r="C532" s="98" t="s">
        <v>667</v>
      </c>
      <c r="D532" s="113" t="s">
        <v>646</v>
      </c>
      <c r="E532" s="101">
        <v>117305.77</v>
      </c>
      <c r="F532" s="54">
        <v>117305.77</v>
      </c>
      <c r="G532" s="54">
        <v>117305.77</v>
      </c>
      <c r="H532" s="41">
        <f t="shared" si="19"/>
        <v>117305.77</v>
      </c>
      <c r="I532" s="49">
        <f t="shared" si="2"/>
        <v>0</v>
      </c>
      <c r="J532" s="43">
        <f t="shared" si="50"/>
        <v>0</v>
      </c>
      <c r="K532" s="78"/>
      <c r="L532" s="50">
        <f t="shared" si="49"/>
        <v>182</v>
      </c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5.75" customHeight="1">
      <c r="A533" s="9"/>
      <c r="B533" s="97">
        <v>1.00002277E8</v>
      </c>
      <c r="C533" s="98" t="s">
        <v>668</v>
      </c>
      <c r="D533" s="113" t="s">
        <v>646</v>
      </c>
      <c r="E533" s="101">
        <v>7115.24</v>
      </c>
      <c r="F533" s="54">
        <v>7115.24</v>
      </c>
      <c r="G533" s="54">
        <v>7115.24</v>
      </c>
      <c r="H533" s="41">
        <f t="shared" si="19"/>
        <v>7115.24</v>
      </c>
      <c r="I533" s="49">
        <f t="shared" si="2"/>
        <v>0</v>
      </c>
      <c r="J533" s="43">
        <f t="shared" si="50"/>
        <v>0</v>
      </c>
      <c r="K533" s="78"/>
      <c r="L533" s="50">
        <f t="shared" si="49"/>
        <v>182</v>
      </c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5.75" customHeight="1">
      <c r="A534" s="9"/>
      <c r="B534" s="97">
        <v>1.0001006E8</v>
      </c>
      <c r="C534" s="98" t="s">
        <v>610</v>
      </c>
      <c r="D534" s="113" t="s">
        <v>646</v>
      </c>
      <c r="E534" s="132">
        <v>23313.64</v>
      </c>
      <c r="F534" s="57">
        <v>23313.64</v>
      </c>
      <c r="G534" s="57">
        <v>23313.64</v>
      </c>
      <c r="H534" s="41">
        <f t="shared" si="19"/>
        <v>23313.64</v>
      </c>
      <c r="I534" s="49">
        <f t="shared" si="2"/>
        <v>0</v>
      </c>
      <c r="J534" s="43">
        <f t="shared" si="50"/>
        <v>0</v>
      </c>
      <c r="K534" s="78"/>
      <c r="L534" s="50">
        <f t="shared" si="49"/>
        <v>182</v>
      </c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5.75" customHeight="1">
      <c r="A535" s="9"/>
      <c r="B535" s="97">
        <v>1.00010721E8</v>
      </c>
      <c r="C535" s="98" t="s">
        <v>669</v>
      </c>
      <c r="D535" s="113" t="s">
        <v>646</v>
      </c>
      <c r="E535" s="101">
        <v>1500.93</v>
      </c>
      <c r="F535" s="54">
        <v>1500.93</v>
      </c>
      <c r="G535" s="54">
        <v>1500.93</v>
      </c>
      <c r="H535" s="41">
        <f t="shared" si="19"/>
        <v>1500.93</v>
      </c>
      <c r="I535" s="49">
        <f t="shared" si="2"/>
        <v>0</v>
      </c>
      <c r="J535" s="43">
        <f t="shared" si="50"/>
        <v>0</v>
      </c>
      <c r="K535" s="78"/>
      <c r="L535" s="50">
        <f t="shared" si="49"/>
        <v>182</v>
      </c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5.75" customHeight="1">
      <c r="A536" s="9"/>
      <c r="B536" s="97">
        <v>1.00012256E8</v>
      </c>
      <c r="C536" s="98" t="s">
        <v>670</v>
      </c>
      <c r="D536" s="113" t="s">
        <v>646</v>
      </c>
      <c r="E536" s="132">
        <v>29320.67</v>
      </c>
      <c r="F536" s="57">
        <v>29320.67</v>
      </c>
      <c r="G536" s="57">
        <v>29320.67</v>
      </c>
      <c r="H536" s="41">
        <f t="shared" si="19"/>
        <v>29320.67</v>
      </c>
      <c r="I536" s="49">
        <f t="shared" si="2"/>
        <v>0</v>
      </c>
      <c r="J536" s="43">
        <f t="shared" si="50"/>
        <v>0</v>
      </c>
      <c r="K536" s="78"/>
      <c r="L536" s="50">
        <f t="shared" si="49"/>
        <v>182</v>
      </c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5.75" customHeight="1">
      <c r="A537" s="9"/>
      <c r="B537" s="97">
        <v>1.00002369E8</v>
      </c>
      <c r="C537" s="189" t="s">
        <v>671</v>
      </c>
      <c r="D537" s="206" t="s">
        <v>653</v>
      </c>
      <c r="E537" s="101">
        <v>250.84</v>
      </c>
      <c r="F537" s="138">
        <v>250.84</v>
      </c>
      <c r="G537" s="138">
        <v>234.5</v>
      </c>
      <c r="H537" s="41">
        <f t="shared" si="19"/>
        <v>245.3933333</v>
      </c>
      <c r="I537" s="49">
        <f t="shared" si="2"/>
        <v>0.06968017058</v>
      </c>
      <c r="J537" s="43">
        <f t="shared" si="50"/>
        <v>0.02219565867</v>
      </c>
      <c r="K537" s="78"/>
      <c r="L537" s="50">
        <f t="shared" si="49"/>
        <v>182</v>
      </c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5.75" customHeight="1">
      <c r="A538" s="9"/>
      <c r="B538" s="97">
        <v>1.00013092E8</v>
      </c>
      <c r="C538" s="98" t="s">
        <v>672</v>
      </c>
      <c r="D538" s="83"/>
      <c r="E538" s="132">
        <v>723.0</v>
      </c>
      <c r="F538" s="57">
        <v>669.89</v>
      </c>
      <c r="G538" s="57">
        <v>590.0</v>
      </c>
      <c r="H538" s="41">
        <f t="shared" si="19"/>
        <v>660.9633333</v>
      </c>
      <c r="I538" s="49">
        <f t="shared" si="2"/>
        <v>0.2254237288</v>
      </c>
      <c r="J538" s="43">
        <f t="shared" si="50"/>
        <v>0.0938579548</v>
      </c>
      <c r="K538" s="78"/>
      <c r="L538" s="50">
        <f t="shared" si="49"/>
        <v>182</v>
      </c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5.75" customHeight="1">
      <c r="A539" s="9"/>
      <c r="B539" s="97">
        <v>1.00010292E8</v>
      </c>
      <c r="C539" s="98" t="s">
        <v>673</v>
      </c>
      <c r="D539" s="113" t="s">
        <v>646</v>
      </c>
      <c r="E539" s="130">
        <v>919055.76</v>
      </c>
      <c r="F539" s="130">
        <v>919055.76</v>
      </c>
      <c r="G539" s="130">
        <v>919055.76</v>
      </c>
      <c r="H539" s="41">
        <f t="shared" si="19"/>
        <v>919055.76</v>
      </c>
      <c r="I539" s="49">
        <f t="shared" si="2"/>
        <v>0</v>
      </c>
      <c r="J539" s="43">
        <f t="shared" si="50"/>
        <v>0</v>
      </c>
      <c r="K539" s="78"/>
      <c r="L539" s="50">
        <f t="shared" si="49"/>
        <v>182</v>
      </c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5.75" customHeight="1">
      <c r="A540" s="9"/>
      <c r="B540" s="97">
        <v>1.00010292E8</v>
      </c>
      <c r="C540" s="98" t="s">
        <v>674</v>
      </c>
      <c r="D540" s="113" t="s">
        <v>646</v>
      </c>
      <c r="E540" s="132">
        <v>92136.37</v>
      </c>
      <c r="F540" s="132">
        <v>92136.37</v>
      </c>
      <c r="G540" s="132">
        <v>92136.37</v>
      </c>
      <c r="H540" s="41">
        <f t="shared" si="19"/>
        <v>92136.37</v>
      </c>
      <c r="I540" s="49">
        <f t="shared" si="2"/>
        <v>0</v>
      </c>
      <c r="J540" s="43">
        <f t="shared" si="50"/>
        <v>0</v>
      </c>
      <c r="K540" s="78"/>
      <c r="L540" s="50">
        <f t="shared" si="49"/>
        <v>182</v>
      </c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5.75" customHeight="1">
      <c r="A541" s="9"/>
      <c r="B541" s="97">
        <v>1.00010292E8</v>
      </c>
      <c r="C541" s="98" t="s">
        <v>675</v>
      </c>
      <c r="D541" s="113" t="s">
        <v>646</v>
      </c>
      <c r="E541" s="101">
        <v>373083.84</v>
      </c>
      <c r="F541" s="101">
        <v>373083.84</v>
      </c>
      <c r="G541" s="101">
        <v>373083.84</v>
      </c>
      <c r="H541" s="41">
        <f t="shared" si="19"/>
        <v>373083.84</v>
      </c>
      <c r="I541" s="49">
        <f t="shared" si="2"/>
        <v>0</v>
      </c>
      <c r="J541" s="43">
        <f t="shared" si="50"/>
        <v>0</v>
      </c>
      <c r="K541" s="78"/>
      <c r="L541" s="50">
        <f t="shared" si="49"/>
        <v>182</v>
      </c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5.75" customHeight="1">
      <c r="A542" s="9"/>
      <c r="B542" s="97">
        <v>1.00010292E8</v>
      </c>
      <c r="C542" s="98" t="s">
        <v>676</v>
      </c>
      <c r="D542" s="113" t="s">
        <v>646</v>
      </c>
      <c r="E542" s="101">
        <v>506839.75</v>
      </c>
      <c r="F542" s="101">
        <v>506839.75</v>
      </c>
      <c r="G542" s="101">
        <v>506839.75</v>
      </c>
      <c r="H542" s="41">
        <f t="shared" si="19"/>
        <v>506839.75</v>
      </c>
      <c r="I542" s="49">
        <f t="shared" si="2"/>
        <v>0</v>
      </c>
      <c r="J542" s="43">
        <f t="shared" si="50"/>
        <v>0</v>
      </c>
      <c r="K542" s="78"/>
      <c r="L542" s="50">
        <f t="shared" si="49"/>
        <v>182</v>
      </c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5.75" customHeight="1">
      <c r="A543" s="9"/>
      <c r="B543" s="97">
        <v>1.00010292E8</v>
      </c>
      <c r="C543" s="98" t="s">
        <v>677</v>
      </c>
      <c r="D543" s="113" t="s">
        <v>646</v>
      </c>
      <c r="E543" s="101">
        <v>87592.57</v>
      </c>
      <c r="F543" s="101">
        <v>87592.57</v>
      </c>
      <c r="G543" s="101">
        <v>87592.57</v>
      </c>
      <c r="H543" s="41">
        <f t="shared" si="19"/>
        <v>87592.57</v>
      </c>
      <c r="I543" s="49">
        <f t="shared" si="2"/>
        <v>0</v>
      </c>
      <c r="J543" s="43">
        <f t="shared" si="50"/>
        <v>0</v>
      </c>
      <c r="K543" s="78"/>
      <c r="L543" s="50">
        <f t="shared" si="49"/>
        <v>182</v>
      </c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5.75" customHeight="1">
      <c r="A544" s="9"/>
      <c r="B544" s="97">
        <v>1.00010292E8</v>
      </c>
      <c r="C544" s="98" t="s">
        <v>678</v>
      </c>
      <c r="D544" s="113" t="s">
        <v>646</v>
      </c>
      <c r="E544" s="101">
        <v>208035.76</v>
      </c>
      <c r="F544" s="101">
        <v>208035.76</v>
      </c>
      <c r="G544" s="101">
        <v>208035.76</v>
      </c>
      <c r="H544" s="41">
        <f t="shared" si="19"/>
        <v>208035.76</v>
      </c>
      <c r="I544" s="49">
        <f t="shared" si="2"/>
        <v>0</v>
      </c>
      <c r="J544" s="43">
        <f t="shared" si="50"/>
        <v>0</v>
      </c>
      <c r="K544" s="78"/>
      <c r="L544" s="50">
        <f t="shared" si="49"/>
        <v>182</v>
      </c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5.75" customHeight="1">
      <c r="A545" s="9"/>
      <c r="B545" s="97">
        <v>1.00010272E8</v>
      </c>
      <c r="C545" s="98" t="s">
        <v>679</v>
      </c>
      <c r="D545" s="83"/>
      <c r="E545" s="132">
        <v>1005.9</v>
      </c>
      <c r="F545" s="132">
        <v>1005.9</v>
      </c>
      <c r="G545" s="132">
        <v>1005.9</v>
      </c>
      <c r="H545" s="41">
        <f t="shared" si="19"/>
        <v>1005.9</v>
      </c>
      <c r="I545" s="49">
        <f t="shared" si="2"/>
        <v>0</v>
      </c>
      <c r="J545" s="43">
        <f t="shared" si="50"/>
        <v>0</v>
      </c>
      <c r="K545" s="78"/>
      <c r="L545" s="50">
        <f t="shared" si="49"/>
        <v>182</v>
      </c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5.75" customHeight="1">
      <c r="A546" s="9"/>
      <c r="B546" s="97">
        <v>1.0001288E8</v>
      </c>
      <c r="C546" s="98" t="s">
        <v>680</v>
      </c>
      <c r="D546" s="113" t="s">
        <v>646</v>
      </c>
      <c r="E546" s="101">
        <v>7674.62</v>
      </c>
      <c r="F546" s="54">
        <v>7674.62</v>
      </c>
      <c r="G546" s="54">
        <v>7674.62</v>
      </c>
      <c r="H546" s="41">
        <f t="shared" si="19"/>
        <v>7674.62</v>
      </c>
      <c r="I546" s="49">
        <f t="shared" si="2"/>
        <v>0</v>
      </c>
      <c r="J546" s="43">
        <f t="shared" si="50"/>
        <v>0</v>
      </c>
      <c r="K546" s="58">
        <v>45951.0</v>
      </c>
      <c r="L546" s="50">
        <f t="shared" si="49"/>
        <v>46133</v>
      </c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5.75" customHeight="1">
      <c r="A547" s="9"/>
      <c r="B547" s="97">
        <v>1.00013116E8</v>
      </c>
      <c r="C547" s="98" t="s">
        <v>681</v>
      </c>
      <c r="D547" s="113" t="s">
        <v>646</v>
      </c>
      <c r="E547" s="132">
        <v>5839.75</v>
      </c>
      <c r="F547" s="132">
        <v>5839.75</v>
      </c>
      <c r="G547" s="132">
        <v>5839.75</v>
      </c>
      <c r="H547" s="41">
        <f t="shared" si="19"/>
        <v>5839.75</v>
      </c>
      <c r="I547" s="49">
        <f t="shared" si="2"/>
        <v>0</v>
      </c>
      <c r="J547" s="43">
        <f t="shared" si="50"/>
        <v>0</v>
      </c>
      <c r="K547" s="78"/>
      <c r="L547" s="50">
        <f t="shared" si="49"/>
        <v>182</v>
      </c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5.75" customHeight="1">
      <c r="A548" s="9"/>
      <c r="B548" s="97">
        <v>1.00010242E8</v>
      </c>
      <c r="C548" s="98" t="s">
        <v>682</v>
      </c>
      <c r="D548" s="126"/>
      <c r="E548" s="132">
        <v>700.58</v>
      </c>
      <c r="F548" s="57">
        <v>721.3</v>
      </c>
      <c r="G548" s="57">
        <v>768.91</v>
      </c>
      <c r="H548" s="41">
        <f t="shared" si="19"/>
        <v>730.2633333</v>
      </c>
      <c r="I548" s="49">
        <f t="shared" si="2"/>
        <v>0.09753347227</v>
      </c>
      <c r="J548" s="43">
        <f t="shared" si="50"/>
        <v>0.05292154885</v>
      </c>
      <c r="K548" s="78"/>
      <c r="L548" s="50">
        <f t="shared" si="49"/>
        <v>182</v>
      </c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5.75" customHeight="1">
      <c r="A549" s="9"/>
      <c r="B549" s="97">
        <v>1.00012332E8</v>
      </c>
      <c r="C549" s="98" t="s">
        <v>683</v>
      </c>
      <c r="D549" s="83"/>
      <c r="E549" s="101">
        <v>11079.47</v>
      </c>
      <c r="F549" s="54">
        <v>14890.0</v>
      </c>
      <c r="G549" s="54">
        <v>13840.0</v>
      </c>
      <c r="H549" s="41">
        <f t="shared" si="19"/>
        <v>13269.82333</v>
      </c>
      <c r="I549" s="49">
        <f t="shared" si="2"/>
        <v>0.3439271012</v>
      </c>
      <c r="J549" s="43">
        <f t="shared" si="50"/>
        <v>0.1220948181</v>
      </c>
      <c r="K549" s="58">
        <v>45951.0</v>
      </c>
      <c r="L549" s="50">
        <f t="shared" si="49"/>
        <v>46133</v>
      </c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5.75" customHeight="1">
      <c r="A550" s="9"/>
      <c r="B550" s="97">
        <v>1.00012696E8</v>
      </c>
      <c r="C550" s="98" t="s">
        <v>684</v>
      </c>
      <c r="D550" s="113" t="s">
        <v>646</v>
      </c>
      <c r="E550" s="101">
        <v>11252.53</v>
      </c>
      <c r="F550" s="101">
        <v>11252.53</v>
      </c>
      <c r="G550" s="101">
        <v>11252.53</v>
      </c>
      <c r="H550" s="41">
        <f t="shared" si="19"/>
        <v>11252.53</v>
      </c>
      <c r="I550" s="49">
        <f t="shared" si="2"/>
        <v>0</v>
      </c>
      <c r="J550" s="43">
        <f t="shared" si="50"/>
        <v>0</v>
      </c>
      <c r="K550" s="78"/>
      <c r="L550" s="50">
        <f t="shared" si="49"/>
        <v>182</v>
      </c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5.75" customHeight="1">
      <c r="A551" s="9"/>
      <c r="B551" s="97">
        <v>1.00010131E8</v>
      </c>
      <c r="C551" s="98" t="s">
        <v>685</v>
      </c>
      <c r="D551" s="83"/>
      <c r="E551" s="101">
        <v>104.39</v>
      </c>
      <c r="F551" s="54">
        <v>104.39</v>
      </c>
      <c r="G551" s="54">
        <v>89.9</v>
      </c>
      <c r="H551" s="41">
        <f t="shared" si="19"/>
        <v>99.56</v>
      </c>
      <c r="I551" s="49">
        <f t="shared" si="2"/>
        <v>0.1611790879</v>
      </c>
      <c r="J551" s="43">
        <f t="shared" si="50"/>
        <v>0.04851345922</v>
      </c>
      <c r="K551" s="78"/>
      <c r="L551" s="50">
        <f t="shared" si="49"/>
        <v>182</v>
      </c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5.75" customHeight="1">
      <c r="A552" s="9"/>
      <c r="B552" s="97">
        <v>1.00012801E8</v>
      </c>
      <c r="C552" s="98" t="s">
        <v>686</v>
      </c>
      <c r="D552" s="113" t="s">
        <v>687</v>
      </c>
      <c r="E552" s="101">
        <v>1152.9</v>
      </c>
      <c r="F552" s="54">
        <v>1270.92</v>
      </c>
      <c r="G552" s="54">
        <v>1416.45</v>
      </c>
      <c r="H552" s="41">
        <f t="shared" si="19"/>
        <v>1280.09</v>
      </c>
      <c r="I552" s="49">
        <f t="shared" si="2"/>
        <v>0.2285974499</v>
      </c>
      <c r="J552" s="43">
        <f t="shared" si="50"/>
        <v>0.10652376</v>
      </c>
      <c r="K552" s="78"/>
      <c r="L552" s="50">
        <f t="shared" si="49"/>
        <v>182</v>
      </c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5.75" customHeight="1">
      <c r="A553" s="9"/>
      <c r="B553" s="97">
        <v>1.00012801E8</v>
      </c>
      <c r="C553" s="98" t="s">
        <v>686</v>
      </c>
      <c r="D553" s="113" t="s">
        <v>688</v>
      </c>
      <c r="E553" s="101">
        <v>2412.9</v>
      </c>
      <c r="F553" s="54">
        <v>2498.0</v>
      </c>
      <c r="G553" s="54">
        <v>2399.0</v>
      </c>
      <c r="H553" s="41">
        <f t="shared" si="19"/>
        <v>2436.633333</v>
      </c>
      <c r="I553" s="49">
        <f t="shared" si="2"/>
        <v>0.04126719466</v>
      </c>
      <c r="J553" s="43">
        <f t="shared" si="50"/>
        <v>0.02518502305</v>
      </c>
      <c r="K553" s="78"/>
      <c r="L553" s="50">
        <f t="shared" si="49"/>
        <v>182</v>
      </c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5.75" customHeight="1">
      <c r="A554" s="9"/>
      <c r="B554" s="97">
        <v>1.00010842E8</v>
      </c>
      <c r="C554" s="98" t="s">
        <v>689</v>
      </c>
      <c r="D554" s="113" t="s">
        <v>690</v>
      </c>
      <c r="E554" s="101">
        <v>467.99</v>
      </c>
      <c r="F554" s="54">
        <v>420.9</v>
      </c>
      <c r="G554" s="54">
        <v>415.99</v>
      </c>
      <c r="H554" s="41">
        <f t="shared" si="19"/>
        <v>434.96</v>
      </c>
      <c r="I554" s="49">
        <f t="shared" si="2"/>
        <v>0.1250030049</v>
      </c>
      <c r="J554" s="43">
        <f t="shared" si="50"/>
        <v>0.07593801729</v>
      </c>
      <c r="K554" s="207"/>
      <c r="L554" s="208">
        <f t="shared" si="49"/>
        <v>182</v>
      </c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5.75" customHeight="1">
      <c r="A555" s="9"/>
      <c r="B555" s="97">
        <v>1.00010842E8</v>
      </c>
      <c r="C555" s="98" t="s">
        <v>689</v>
      </c>
      <c r="D555" s="113" t="s">
        <v>691</v>
      </c>
      <c r="E555" s="101">
        <v>279.99</v>
      </c>
      <c r="F555" s="101">
        <v>279.99</v>
      </c>
      <c r="G555" s="101">
        <v>299.99</v>
      </c>
      <c r="H555" s="41">
        <f t="shared" si="19"/>
        <v>286.6566667</v>
      </c>
      <c r="I555" s="49">
        <f t="shared" si="2"/>
        <v>0.07143112254</v>
      </c>
      <c r="J555" s="43"/>
      <c r="K555" s="208"/>
      <c r="L555" s="208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5.75" customHeight="1">
      <c r="A556" s="9"/>
      <c r="B556" s="97">
        <v>1.00012901E8</v>
      </c>
      <c r="C556" s="98" t="s">
        <v>692</v>
      </c>
      <c r="D556" s="83"/>
      <c r="E556" s="101">
        <v>6886.67</v>
      </c>
      <c r="F556" s="101">
        <v>7162.99</v>
      </c>
      <c r="G556" s="101">
        <v>7710.11</v>
      </c>
      <c r="H556" s="41">
        <f t="shared" si="19"/>
        <v>7253.256667</v>
      </c>
      <c r="I556" s="49">
        <f t="shared" si="2"/>
        <v>0.1195701261</v>
      </c>
      <c r="J556" s="43"/>
      <c r="K556" s="209"/>
      <c r="L556" s="210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5.75" customHeight="1">
      <c r="A557" s="9"/>
      <c r="B557" s="97">
        <v>1.00012472E8</v>
      </c>
      <c r="C557" s="98" t="s">
        <v>693</v>
      </c>
      <c r="D557" s="83"/>
      <c r="E557" s="101">
        <v>7512.32</v>
      </c>
      <c r="F557" s="101">
        <v>7480.45</v>
      </c>
      <c r="G557" s="101">
        <v>7792.69</v>
      </c>
      <c r="H557" s="41">
        <f t="shared" si="19"/>
        <v>7595.153333</v>
      </c>
      <c r="I557" s="49">
        <f t="shared" si="2"/>
        <v>0.04174080436</v>
      </c>
      <c r="J557" s="211">
        <f t="shared" ref="J557:J558" si="51">IF(ISERROR(MAX(E557:G557)/H557-1),"",(MAX(E557:G557)/H557-1))</f>
        <v>0.02600825263</v>
      </c>
      <c r="K557" s="212"/>
      <c r="L557" s="212">
        <f t="shared" ref="L557:L558" si="52">EDATE(K557,6)</f>
        <v>182</v>
      </c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5.75" customHeight="1">
      <c r="A558" s="9"/>
      <c r="B558" s="97">
        <v>1.00012263E8</v>
      </c>
      <c r="C558" s="98" t="s">
        <v>694</v>
      </c>
      <c r="D558" s="83"/>
      <c r="E558" s="101">
        <v>2980.0</v>
      </c>
      <c r="F558" s="138">
        <v>2990.0</v>
      </c>
      <c r="G558" s="138">
        <v>2990.0</v>
      </c>
      <c r="H558" s="41">
        <f t="shared" si="19"/>
        <v>2986.666667</v>
      </c>
      <c r="I558" s="49">
        <f t="shared" si="2"/>
        <v>0.003355704698</v>
      </c>
      <c r="J558" s="43">
        <f t="shared" si="51"/>
        <v>0.001116071429</v>
      </c>
      <c r="K558" s="78"/>
      <c r="L558" s="50">
        <f t="shared" si="52"/>
        <v>182</v>
      </c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5.75" customHeight="1">
      <c r="A559" s="9"/>
      <c r="B559" s="97">
        <v>1.00010453E8</v>
      </c>
      <c r="C559" s="98" t="s">
        <v>695</v>
      </c>
      <c r="D559" s="83"/>
      <c r="E559" s="132">
        <v>4950.92</v>
      </c>
      <c r="F559" s="132">
        <v>5595.55</v>
      </c>
      <c r="G559" s="132">
        <v>5946.62</v>
      </c>
      <c r="H559" s="41">
        <f t="shared" si="19"/>
        <v>5497.696667</v>
      </c>
      <c r="I559" s="49">
        <f t="shared" si="2"/>
        <v>0.2011141364</v>
      </c>
      <c r="J559" s="43"/>
      <c r="K559" s="78"/>
      <c r="L559" s="50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5.75" customHeight="1">
      <c r="A560" s="9"/>
      <c r="B560" s="97">
        <v>1.00010453E8</v>
      </c>
      <c r="C560" s="98" t="s">
        <v>696</v>
      </c>
      <c r="D560" s="83"/>
      <c r="E560" s="132">
        <v>2600.0</v>
      </c>
      <c r="F560" s="57">
        <v>2799.0</v>
      </c>
      <c r="G560" s="57">
        <v>2699.1</v>
      </c>
      <c r="H560" s="41">
        <f t="shared" si="19"/>
        <v>2699.366667</v>
      </c>
      <c r="I560" s="49">
        <f t="shared" si="2"/>
        <v>0.07653846154</v>
      </c>
      <c r="J560" s="43">
        <f t="shared" ref="J560:J566" si="53">IF(ISERROR(MAX(E560:G560)/H560-1),"",(MAX(E560:G560)/H560-1))</f>
        <v>0.03690989244</v>
      </c>
      <c r="K560" s="78"/>
      <c r="L560" s="50">
        <f t="shared" ref="L560:L679" si="54">EDATE(K560,6)</f>
        <v>182</v>
      </c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5.75" customHeight="1">
      <c r="A561" s="9"/>
      <c r="B561" s="97">
        <v>1.00002333E8</v>
      </c>
      <c r="C561" s="98" t="s">
        <v>697</v>
      </c>
      <c r="D561" s="83"/>
      <c r="E561" s="132">
        <v>439.0</v>
      </c>
      <c r="F561" s="57">
        <v>439.0</v>
      </c>
      <c r="G561" s="57">
        <v>479.99</v>
      </c>
      <c r="H561" s="41">
        <f t="shared" si="19"/>
        <v>452.6633333</v>
      </c>
      <c r="I561" s="49">
        <f t="shared" si="2"/>
        <v>0.09337129841</v>
      </c>
      <c r="J561" s="43">
        <f t="shared" si="53"/>
        <v>0.06036863305</v>
      </c>
      <c r="K561" s="78"/>
      <c r="L561" s="50">
        <f t="shared" si="54"/>
        <v>182</v>
      </c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5.75" customHeight="1">
      <c r="A562" s="9"/>
      <c r="B562" s="97">
        <v>1.00012781E8</v>
      </c>
      <c r="C562" s="98" t="s">
        <v>698</v>
      </c>
      <c r="D562" s="83"/>
      <c r="E562" s="132">
        <v>7543.0</v>
      </c>
      <c r="F562" s="132">
        <v>7990.0</v>
      </c>
      <c r="G562" s="132">
        <v>7940.0</v>
      </c>
      <c r="H562" s="41">
        <f t="shared" si="19"/>
        <v>7824.333333</v>
      </c>
      <c r="I562" s="49">
        <f t="shared" si="2"/>
        <v>0.05926024128</v>
      </c>
      <c r="J562" s="211">
        <f t="shared" si="53"/>
        <v>0.0211732629</v>
      </c>
      <c r="K562" s="213">
        <v>45952.0</v>
      </c>
      <c r="L562" s="214">
        <f t="shared" si="54"/>
        <v>46134</v>
      </c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5.75" customHeight="1">
      <c r="A563" s="9"/>
      <c r="B563" s="97">
        <v>1.00012392E8</v>
      </c>
      <c r="C563" s="98" t="s">
        <v>699</v>
      </c>
      <c r="D563" s="83"/>
      <c r="E563" s="132">
        <v>1336.98</v>
      </c>
      <c r="F563" s="132">
        <v>1457.29</v>
      </c>
      <c r="G563" s="132">
        <v>1455.99</v>
      </c>
      <c r="H563" s="41">
        <f t="shared" si="19"/>
        <v>1416.753333</v>
      </c>
      <c r="I563" s="49">
        <f t="shared" si="2"/>
        <v>0.08998638723</v>
      </c>
      <c r="J563" s="211">
        <f t="shared" si="53"/>
        <v>0.02861236724</v>
      </c>
      <c r="K563" s="214"/>
      <c r="L563" s="214">
        <f t="shared" si="54"/>
        <v>182</v>
      </c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5.75" customHeight="1">
      <c r="A564" s="9"/>
      <c r="B564" s="97">
        <v>1.0001246E8</v>
      </c>
      <c r="C564" s="98" t="s">
        <v>700</v>
      </c>
      <c r="D564" s="83"/>
      <c r="E564" s="101">
        <v>69.99</v>
      </c>
      <c r="F564" s="138">
        <v>78.9</v>
      </c>
      <c r="G564" s="101">
        <v>69.99</v>
      </c>
      <c r="H564" s="41">
        <f t="shared" si="19"/>
        <v>72.96</v>
      </c>
      <c r="I564" s="49">
        <f t="shared" si="2"/>
        <v>0.1273039006</v>
      </c>
      <c r="J564" s="211">
        <f t="shared" si="53"/>
        <v>0.08141447368</v>
      </c>
      <c r="K564" s="214"/>
      <c r="L564" s="214">
        <f t="shared" si="54"/>
        <v>182</v>
      </c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5.75" customHeight="1">
      <c r="A565" s="9"/>
      <c r="B565" s="97">
        <v>1.0001026E8</v>
      </c>
      <c r="C565" s="98" t="s">
        <v>701</v>
      </c>
      <c r="D565" s="128"/>
      <c r="E565" s="101">
        <v>219.97</v>
      </c>
      <c r="F565" s="138">
        <v>244.42</v>
      </c>
      <c r="G565" s="101">
        <v>284.98</v>
      </c>
      <c r="H565" s="41">
        <f t="shared" si="19"/>
        <v>249.79</v>
      </c>
      <c r="I565" s="49">
        <f t="shared" si="2"/>
        <v>0.295540301</v>
      </c>
      <c r="J565" s="211">
        <f t="shared" si="53"/>
        <v>0.1408783378</v>
      </c>
      <c r="K565" s="213">
        <v>45952.0</v>
      </c>
      <c r="L565" s="214">
        <f t="shared" si="54"/>
        <v>46134</v>
      </c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5.75" customHeight="1">
      <c r="A566" s="9"/>
      <c r="B566" s="97">
        <v>1.00012492E8</v>
      </c>
      <c r="C566" s="98" t="s">
        <v>702</v>
      </c>
      <c r="D566" s="83"/>
      <c r="E566" s="101">
        <v>1990.0</v>
      </c>
      <c r="F566" s="138">
        <v>1847.61</v>
      </c>
      <c r="G566" s="138">
        <v>2388.0</v>
      </c>
      <c r="H566" s="41">
        <f t="shared" si="19"/>
        <v>2075.203333</v>
      </c>
      <c r="I566" s="49">
        <f t="shared" si="2"/>
        <v>0.292480556</v>
      </c>
      <c r="J566" s="43">
        <f t="shared" si="53"/>
        <v>0.1507306111</v>
      </c>
      <c r="K566" s="44">
        <v>45952.0</v>
      </c>
      <c r="L566" s="45">
        <f t="shared" si="54"/>
        <v>46134</v>
      </c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5.75" customHeight="1">
      <c r="A567" s="9"/>
      <c r="B567" s="97">
        <v>1.00012816E8</v>
      </c>
      <c r="C567" s="98" t="s">
        <v>703</v>
      </c>
      <c r="D567" s="83"/>
      <c r="E567" s="101">
        <v>16790.0</v>
      </c>
      <c r="F567" s="54">
        <v>19900.0</v>
      </c>
      <c r="G567" s="54">
        <v>16125.0</v>
      </c>
      <c r="H567" s="41">
        <f t="shared" si="19"/>
        <v>17605</v>
      </c>
      <c r="I567" s="49">
        <f t="shared" si="2"/>
        <v>0.2341085271</v>
      </c>
      <c r="J567" s="43"/>
      <c r="K567" s="78"/>
      <c r="L567" s="50">
        <f t="shared" si="54"/>
        <v>182</v>
      </c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5.75" customHeight="1">
      <c r="A568" s="9"/>
      <c r="B568" s="97">
        <v>1.00002333E8</v>
      </c>
      <c r="C568" s="98" t="s">
        <v>704</v>
      </c>
      <c r="D568" s="113" t="s">
        <v>705</v>
      </c>
      <c r="E568" s="101">
        <v>3500.0</v>
      </c>
      <c r="F568" s="54">
        <v>3500.0</v>
      </c>
      <c r="G568" s="54">
        <v>4490.0</v>
      </c>
      <c r="H568" s="41">
        <f t="shared" si="19"/>
        <v>3830</v>
      </c>
      <c r="I568" s="49">
        <f t="shared" si="2"/>
        <v>0.2828571429</v>
      </c>
      <c r="J568" s="43">
        <f t="shared" ref="J568:J571" si="55">IF(ISERROR(MAX(E568:G568)/H568-1),"",(MAX(E568:G568)/H568-1))</f>
        <v>0.1723237598</v>
      </c>
      <c r="K568" s="78"/>
      <c r="L568" s="50">
        <f t="shared" si="54"/>
        <v>182</v>
      </c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5.75" customHeight="1">
      <c r="A569" s="9"/>
      <c r="B569" s="97">
        <v>1.00012825E8</v>
      </c>
      <c r="C569" s="179" t="s">
        <v>706</v>
      </c>
      <c r="D569" s="127"/>
      <c r="E569" s="101">
        <v>8990.58</v>
      </c>
      <c r="F569" s="54">
        <v>8085.0</v>
      </c>
      <c r="G569" s="54">
        <v>10664.91</v>
      </c>
      <c r="H569" s="41">
        <f t="shared" si="19"/>
        <v>9246.83</v>
      </c>
      <c r="I569" s="49">
        <f t="shared" si="2"/>
        <v>0.3190983302</v>
      </c>
      <c r="J569" s="43">
        <f t="shared" si="55"/>
        <v>0.1533585023</v>
      </c>
      <c r="K569" s="58">
        <v>45952.0</v>
      </c>
      <c r="L569" s="50">
        <f t="shared" si="54"/>
        <v>46134</v>
      </c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5.75" customHeight="1">
      <c r="A570" s="9"/>
      <c r="B570" s="97">
        <v>1.00010083E8</v>
      </c>
      <c r="C570" s="98" t="s">
        <v>707</v>
      </c>
      <c r="D570" s="83"/>
      <c r="E570" s="132">
        <v>1666.0</v>
      </c>
      <c r="F570" s="57">
        <v>1377.84</v>
      </c>
      <c r="G570" s="57">
        <v>1355.8</v>
      </c>
      <c r="H570" s="41">
        <f t="shared" si="19"/>
        <v>1466.546667</v>
      </c>
      <c r="I570" s="49">
        <f t="shared" si="2"/>
        <v>0.2287948075</v>
      </c>
      <c r="J570" s="43">
        <f t="shared" si="55"/>
        <v>0.1360020365</v>
      </c>
      <c r="K570" s="58">
        <v>45952.0</v>
      </c>
      <c r="L570" s="50">
        <f t="shared" si="54"/>
        <v>46134</v>
      </c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5.75" customHeight="1">
      <c r="A571" s="9"/>
      <c r="B571" s="97">
        <v>1.00010277E8</v>
      </c>
      <c r="C571" s="98" t="s">
        <v>708</v>
      </c>
      <c r="D571" s="83"/>
      <c r="E571" s="132">
        <v>513.28</v>
      </c>
      <c r="F571" s="57">
        <v>498.9</v>
      </c>
      <c r="G571" s="57">
        <v>620.0</v>
      </c>
      <c r="H571" s="41">
        <f t="shared" si="19"/>
        <v>544.06</v>
      </c>
      <c r="I571" s="49">
        <f t="shared" si="2"/>
        <v>0.2427340148</v>
      </c>
      <c r="J571" s="43">
        <f t="shared" si="55"/>
        <v>0.1395801934</v>
      </c>
      <c r="K571" s="58">
        <v>45952.0</v>
      </c>
      <c r="L571" s="50">
        <f t="shared" si="54"/>
        <v>46134</v>
      </c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5.75" customHeight="1">
      <c r="A572" s="9"/>
      <c r="B572" s="97">
        <v>1.00012861E8</v>
      </c>
      <c r="C572" s="98" t="s">
        <v>68</v>
      </c>
      <c r="D572" s="113" t="s">
        <v>709</v>
      </c>
      <c r="E572" s="101">
        <v>7335.8</v>
      </c>
      <c r="F572" s="54">
        <v>6424.17</v>
      </c>
      <c r="G572" s="54">
        <v>6520.0</v>
      </c>
      <c r="H572" s="41">
        <f t="shared" si="19"/>
        <v>6759.99</v>
      </c>
      <c r="I572" s="49">
        <f t="shared" si="2"/>
        <v>0.1419062696</v>
      </c>
      <c r="J572" s="43"/>
      <c r="K572" s="58">
        <v>45953.0</v>
      </c>
      <c r="L572" s="50">
        <f t="shared" si="54"/>
        <v>46135</v>
      </c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5.75" customHeight="1">
      <c r="A573" s="215"/>
      <c r="B573" s="193">
        <v>1.00012598E8</v>
      </c>
      <c r="C573" s="195" t="s">
        <v>710</v>
      </c>
      <c r="D573" s="216" t="s">
        <v>711</v>
      </c>
      <c r="E573" s="217">
        <v>2464.91</v>
      </c>
      <c r="F573" s="217">
        <v>2346.25</v>
      </c>
      <c r="G573" s="218">
        <v>2214.8</v>
      </c>
      <c r="H573" s="219">
        <f t="shared" si="19"/>
        <v>2341.986667</v>
      </c>
      <c r="I573" s="220">
        <f t="shared" si="2"/>
        <v>0.1129266751</v>
      </c>
      <c r="J573" s="221">
        <f t="shared" ref="J573:J670" si="56">IF(ISERROR(MAX(E573:G573)/H573-1),"",(MAX(E573:G573)/H573-1))</f>
        <v>0.05248677761</v>
      </c>
      <c r="K573" s="222">
        <v>45953.0</v>
      </c>
      <c r="L573" s="223">
        <f t="shared" si="54"/>
        <v>46135</v>
      </c>
      <c r="M573" s="215"/>
      <c r="N573" s="215"/>
      <c r="O573" s="215"/>
      <c r="P573" s="215"/>
      <c r="Q573" s="215"/>
      <c r="R573" s="215"/>
      <c r="S573" s="215"/>
      <c r="T573" s="215"/>
      <c r="U573" s="215"/>
      <c r="V573" s="215"/>
      <c r="W573" s="215"/>
      <c r="X573" s="215"/>
      <c r="Y573" s="215"/>
      <c r="Z573" s="215"/>
    </row>
    <row r="574" ht="15.75" customHeight="1">
      <c r="A574" s="9"/>
      <c r="B574" s="97"/>
      <c r="C574" s="98"/>
      <c r="D574" s="83"/>
      <c r="E574" s="132"/>
      <c r="F574" s="57"/>
      <c r="G574" s="57"/>
      <c r="H574" s="41">
        <f t="shared" si="19"/>
        <v>0</v>
      </c>
      <c r="I574" s="49" t="str">
        <f t="shared" si="2"/>
        <v/>
      </c>
      <c r="J574" s="43" t="str">
        <f t="shared" si="56"/>
        <v/>
      </c>
      <c r="K574" s="58">
        <v>45952.0</v>
      </c>
      <c r="L574" s="50">
        <f t="shared" si="54"/>
        <v>46134</v>
      </c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5.75" customHeight="1">
      <c r="A575" s="9"/>
      <c r="B575" s="81"/>
      <c r="C575" s="89"/>
      <c r="D575" s="126"/>
      <c r="E575" s="131"/>
      <c r="F575" s="88"/>
      <c r="G575" s="88"/>
      <c r="H575" s="41">
        <f t="shared" si="19"/>
        <v>0</v>
      </c>
      <c r="I575" s="49" t="str">
        <f t="shared" si="2"/>
        <v/>
      </c>
      <c r="J575" s="43" t="str">
        <f t="shared" si="56"/>
        <v/>
      </c>
      <c r="K575" s="78"/>
      <c r="L575" s="50">
        <f t="shared" si="54"/>
        <v>182</v>
      </c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5.75" customHeight="1">
      <c r="A576" s="9"/>
      <c r="B576" s="81"/>
      <c r="C576" s="89"/>
      <c r="D576" s="128"/>
      <c r="E576" s="96"/>
      <c r="F576" s="65"/>
      <c r="G576" s="65"/>
      <c r="H576" s="41">
        <f t="shared" si="19"/>
        <v>0</v>
      </c>
      <c r="I576" s="49" t="str">
        <f t="shared" si="2"/>
        <v/>
      </c>
      <c r="J576" s="43" t="str">
        <f t="shared" si="56"/>
        <v/>
      </c>
      <c r="K576" s="78"/>
      <c r="L576" s="50">
        <f t="shared" si="54"/>
        <v>182</v>
      </c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5.75" customHeight="1">
      <c r="A577" s="9"/>
      <c r="B577" s="81"/>
      <c r="C577" s="89"/>
      <c r="D577" s="83"/>
      <c r="E577" s="96"/>
      <c r="F577" s="65"/>
      <c r="G577" s="65"/>
      <c r="H577" s="41">
        <f t="shared" si="19"/>
        <v>0</v>
      </c>
      <c r="I577" s="49" t="str">
        <f t="shared" si="2"/>
        <v/>
      </c>
      <c r="J577" s="43" t="str">
        <f t="shared" si="56"/>
        <v/>
      </c>
      <c r="K577" s="78"/>
      <c r="L577" s="50">
        <f t="shared" si="54"/>
        <v>182</v>
      </c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5.75" customHeight="1">
      <c r="A578" s="9"/>
      <c r="B578" s="81"/>
      <c r="C578" s="89"/>
      <c r="D578" s="224"/>
      <c r="E578" s="96"/>
      <c r="F578" s="65"/>
      <c r="G578" s="65"/>
      <c r="H578" s="41">
        <f t="shared" si="19"/>
        <v>0</v>
      </c>
      <c r="I578" s="49" t="str">
        <f t="shared" si="2"/>
        <v/>
      </c>
      <c r="J578" s="43" t="str">
        <f t="shared" si="56"/>
        <v/>
      </c>
      <c r="K578" s="78"/>
      <c r="L578" s="50">
        <f t="shared" si="54"/>
        <v>182</v>
      </c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5.75" customHeight="1">
      <c r="A579" s="9"/>
      <c r="B579" s="81"/>
      <c r="C579" s="89"/>
      <c r="D579" s="83"/>
      <c r="E579" s="96"/>
      <c r="F579" s="65"/>
      <c r="G579" s="65"/>
      <c r="H579" s="41">
        <f t="shared" si="19"/>
        <v>0</v>
      </c>
      <c r="I579" s="49" t="str">
        <f t="shared" si="2"/>
        <v/>
      </c>
      <c r="J579" s="43" t="str">
        <f t="shared" si="56"/>
        <v/>
      </c>
      <c r="K579" s="78"/>
      <c r="L579" s="50">
        <f t="shared" si="54"/>
        <v>182</v>
      </c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5.75" customHeight="1">
      <c r="A580" s="9"/>
      <c r="B580" s="81"/>
      <c r="C580" s="89"/>
      <c r="D580" s="83"/>
      <c r="E580" s="96"/>
      <c r="F580" s="225"/>
      <c r="G580" s="65"/>
      <c r="H580" s="41">
        <f t="shared" si="19"/>
        <v>0</v>
      </c>
      <c r="I580" s="49" t="str">
        <f t="shared" si="2"/>
        <v/>
      </c>
      <c r="J580" s="43" t="str">
        <f t="shared" si="56"/>
        <v/>
      </c>
      <c r="K580" s="78"/>
      <c r="L580" s="50">
        <f t="shared" si="54"/>
        <v>182</v>
      </c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5.75" customHeight="1">
      <c r="A581" s="9"/>
      <c r="B581" s="81"/>
      <c r="C581" s="89"/>
      <c r="D581" s="83"/>
      <c r="E581" s="96"/>
      <c r="F581" s="65"/>
      <c r="G581" s="65"/>
      <c r="H581" s="41">
        <f t="shared" si="19"/>
        <v>0</v>
      </c>
      <c r="I581" s="49" t="str">
        <f t="shared" si="2"/>
        <v/>
      </c>
      <c r="J581" s="43" t="str">
        <f t="shared" si="56"/>
        <v/>
      </c>
      <c r="K581" s="78"/>
      <c r="L581" s="50">
        <f t="shared" si="54"/>
        <v>182</v>
      </c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5.75" customHeight="1">
      <c r="A582" s="9"/>
      <c r="B582" s="81"/>
      <c r="C582" s="89"/>
      <c r="D582" s="83"/>
      <c r="E582" s="96"/>
      <c r="F582" s="65"/>
      <c r="G582" s="65"/>
      <c r="H582" s="41">
        <f t="shared" si="19"/>
        <v>0</v>
      </c>
      <c r="I582" s="49" t="str">
        <f t="shared" si="2"/>
        <v/>
      </c>
      <c r="J582" s="43" t="str">
        <f t="shared" si="56"/>
        <v/>
      </c>
      <c r="K582" s="78"/>
      <c r="L582" s="50">
        <f t="shared" si="54"/>
        <v>182</v>
      </c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5.75" customHeight="1">
      <c r="A583" s="9"/>
      <c r="B583" s="81"/>
      <c r="C583" s="89"/>
      <c r="D583" s="83"/>
      <c r="E583" s="96"/>
      <c r="F583" s="65"/>
      <c r="G583" s="65"/>
      <c r="H583" s="41">
        <f t="shared" si="19"/>
        <v>0</v>
      </c>
      <c r="I583" s="49" t="str">
        <f t="shared" si="2"/>
        <v/>
      </c>
      <c r="J583" s="43" t="str">
        <f t="shared" si="56"/>
        <v/>
      </c>
      <c r="K583" s="78"/>
      <c r="L583" s="50">
        <f t="shared" si="54"/>
        <v>182</v>
      </c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5.75" customHeight="1">
      <c r="A584" s="9"/>
      <c r="B584" s="81"/>
      <c r="C584" s="89"/>
      <c r="D584" s="83"/>
      <c r="E584" s="131"/>
      <c r="F584" s="88"/>
      <c r="G584" s="88"/>
      <c r="H584" s="41">
        <f t="shared" si="19"/>
        <v>0</v>
      </c>
      <c r="I584" s="49" t="str">
        <f t="shared" si="2"/>
        <v/>
      </c>
      <c r="J584" s="43" t="str">
        <f t="shared" si="56"/>
        <v/>
      </c>
      <c r="K584" s="78"/>
      <c r="L584" s="50">
        <f t="shared" si="54"/>
        <v>182</v>
      </c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5.75" customHeight="1">
      <c r="A585" s="9"/>
      <c r="B585" s="81"/>
      <c r="C585" s="89"/>
      <c r="D585" s="83"/>
      <c r="E585" s="96"/>
      <c r="F585" s="65"/>
      <c r="G585" s="65"/>
      <c r="H585" s="41">
        <f t="shared" si="19"/>
        <v>0</v>
      </c>
      <c r="I585" s="49" t="str">
        <f t="shared" si="2"/>
        <v/>
      </c>
      <c r="J585" s="43" t="str">
        <f t="shared" si="56"/>
        <v/>
      </c>
      <c r="K585" s="78"/>
      <c r="L585" s="50">
        <f t="shared" si="54"/>
        <v>182</v>
      </c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5.75" customHeight="1">
      <c r="A586" s="9"/>
      <c r="B586" s="81"/>
      <c r="C586" s="89"/>
      <c r="D586" s="83"/>
      <c r="E586" s="96"/>
      <c r="F586" s="225"/>
      <c r="G586" s="65"/>
      <c r="H586" s="41">
        <f t="shared" si="19"/>
        <v>0</v>
      </c>
      <c r="I586" s="49" t="str">
        <f t="shared" si="2"/>
        <v/>
      </c>
      <c r="J586" s="43" t="str">
        <f t="shared" si="56"/>
        <v/>
      </c>
      <c r="K586" s="78"/>
      <c r="L586" s="50">
        <f t="shared" si="54"/>
        <v>182</v>
      </c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5.75" customHeight="1">
      <c r="A587" s="9"/>
      <c r="B587" s="81"/>
      <c r="C587" s="89"/>
      <c r="D587" s="83"/>
      <c r="E587" s="96"/>
      <c r="F587" s="65"/>
      <c r="G587" s="65"/>
      <c r="H587" s="41">
        <f t="shared" si="19"/>
        <v>0</v>
      </c>
      <c r="I587" s="49" t="str">
        <f t="shared" si="2"/>
        <v/>
      </c>
      <c r="J587" s="43" t="str">
        <f t="shared" si="56"/>
        <v/>
      </c>
      <c r="K587" s="78"/>
      <c r="L587" s="50">
        <f t="shared" si="54"/>
        <v>182</v>
      </c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5.75" customHeight="1">
      <c r="A588" s="9"/>
      <c r="B588" s="81"/>
      <c r="C588" s="89"/>
      <c r="D588" s="83"/>
      <c r="E588" s="96"/>
      <c r="F588" s="65"/>
      <c r="G588" s="65"/>
      <c r="H588" s="41">
        <f t="shared" si="19"/>
        <v>0</v>
      </c>
      <c r="I588" s="49" t="str">
        <f t="shared" si="2"/>
        <v/>
      </c>
      <c r="J588" s="43" t="str">
        <f t="shared" si="56"/>
        <v/>
      </c>
      <c r="K588" s="78"/>
      <c r="L588" s="50">
        <f t="shared" si="54"/>
        <v>182</v>
      </c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5.75" customHeight="1">
      <c r="A589" s="9"/>
      <c r="B589" s="81"/>
      <c r="C589" s="89"/>
      <c r="D589" s="83"/>
      <c r="E589" s="96"/>
      <c r="F589" s="65"/>
      <c r="G589" s="65"/>
      <c r="H589" s="41">
        <f t="shared" si="19"/>
        <v>0</v>
      </c>
      <c r="I589" s="49" t="str">
        <f t="shared" si="2"/>
        <v/>
      </c>
      <c r="J589" s="43" t="str">
        <f t="shared" si="56"/>
        <v/>
      </c>
      <c r="K589" s="78"/>
      <c r="L589" s="50">
        <f t="shared" si="54"/>
        <v>182</v>
      </c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5.75" customHeight="1">
      <c r="A590" s="9"/>
      <c r="B590" s="81"/>
      <c r="C590" s="89"/>
      <c r="D590" s="127"/>
      <c r="E590" s="96"/>
      <c r="F590" s="65"/>
      <c r="G590" s="65"/>
      <c r="H590" s="41">
        <f t="shared" si="19"/>
        <v>0</v>
      </c>
      <c r="I590" s="49" t="str">
        <f t="shared" si="2"/>
        <v/>
      </c>
      <c r="J590" s="43" t="str">
        <f t="shared" si="56"/>
        <v/>
      </c>
      <c r="K590" s="78"/>
      <c r="L590" s="50">
        <f t="shared" si="54"/>
        <v>182</v>
      </c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5.75" customHeight="1">
      <c r="A591" s="9"/>
      <c r="B591" s="81"/>
      <c r="C591" s="89"/>
      <c r="D591" s="83"/>
      <c r="E591" s="96"/>
      <c r="F591" s="65"/>
      <c r="G591" s="65"/>
      <c r="H591" s="41">
        <f t="shared" si="19"/>
        <v>0</v>
      </c>
      <c r="I591" s="49" t="str">
        <f t="shared" si="2"/>
        <v/>
      </c>
      <c r="J591" s="43" t="str">
        <f t="shared" si="56"/>
        <v/>
      </c>
      <c r="K591" s="78"/>
      <c r="L591" s="50">
        <f t="shared" si="54"/>
        <v>182</v>
      </c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5.75" customHeight="1">
      <c r="A592" s="9"/>
      <c r="B592" s="81"/>
      <c r="C592" s="89"/>
      <c r="D592" s="83"/>
      <c r="E592" s="96"/>
      <c r="F592" s="65"/>
      <c r="G592" s="65"/>
      <c r="H592" s="41">
        <f t="shared" si="19"/>
        <v>0</v>
      </c>
      <c r="I592" s="49" t="str">
        <f t="shared" si="2"/>
        <v/>
      </c>
      <c r="J592" s="43" t="str">
        <f t="shared" si="56"/>
        <v/>
      </c>
      <c r="K592" s="78"/>
      <c r="L592" s="50">
        <f t="shared" si="54"/>
        <v>182</v>
      </c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5.75" customHeight="1">
      <c r="A593" s="9"/>
      <c r="B593" s="81"/>
      <c r="C593" s="89"/>
      <c r="D593" s="83"/>
      <c r="E593" s="96"/>
      <c r="F593" s="65"/>
      <c r="G593" s="65"/>
      <c r="H593" s="41">
        <f t="shared" si="19"/>
        <v>0</v>
      </c>
      <c r="I593" s="49" t="str">
        <f t="shared" si="2"/>
        <v/>
      </c>
      <c r="J593" s="43" t="str">
        <f t="shared" si="56"/>
        <v/>
      </c>
      <c r="K593" s="78"/>
      <c r="L593" s="50">
        <f t="shared" si="54"/>
        <v>182</v>
      </c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5.75" customHeight="1">
      <c r="A594" s="9"/>
      <c r="B594" s="81"/>
      <c r="C594" s="89"/>
      <c r="D594" s="83"/>
      <c r="E594" s="131"/>
      <c r="F594" s="88"/>
      <c r="G594" s="88"/>
      <c r="H594" s="41">
        <f t="shared" si="19"/>
        <v>0</v>
      </c>
      <c r="I594" s="49" t="str">
        <f t="shared" si="2"/>
        <v/>
      </c>
      <c r="J594" s="43" t="str">
        <f t="shared" si="56"/>
        <v/>
      </c>
      <c r="K594" s="78"/>
      <c r="L594" s="50">
        <f t="shared" si="54"/>
        <v>182</v>
      </c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5.75" customHeight="1">
      <c r="A595" s="9"/>
      <c r="B595" s="81"/>
      <c r="C595" s="89"/>
      <c r="D595" s="83"/>
      <c r="E595" s="96"/>
      <c r="F595" s="65"/>
      <c r="G595" s="65"/>
      <c r="H595" s="41">
        <f t="shared" si="19"/>
        <v>0</v>
      </c>
      <c r="I595" s="49" t="str">
        <f t="shared" si="2"/>
        <v/>
      </c>
      <c r="J595" s="43" t="str">
        <f t="shared" si="56"/>
        <v/>
      </c>
      <c r="K595" s="78"/>
      <c r="L595" s="50">
        <f t="shared" si="54"/>
        <v>182</v>
      </c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5.75" customHeight="1">
      <c r="A596" s="9"/>
      <c r="B596" s="81"/>
      <c r="C596" s="89"/>
      <c r="D596" s="83"/>
      <c r="E596" s="96"/>
      <c r="F596" s="65"/>
      <c r="G596" s="65"/>
      <c r="H596" s="41">
        <f t="shared" si="19"/>
        <v>0</v>
      </c>
      <c r="I596" s="49" t="str">
        <f t="shared" si="2"/>
        <v/>
      </c>
      <c r="J596" s="43" t="str">
        <f t="shared" si="56"/>
        <v/>
      </c>
      <c r="K596" s="78"/>
      <c r="L596" s="50">
        <f t="shared" si="54"/>
        <v>182</v>
      </c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5.75" customHeight="1">
      <c r="A597" s="9"/>
      <c r="B597" s="81"/>
      <c r="C597" s="89"/>
      <c r="D597" s="83"/>
      <c r="E597" s="96"/>
      <c r="F597" s="65"/>
      <c r="G597" s="65"/>
      <c r="H597" s="41">
        <f t="shared" si="19"/>
        <v>0</v>
      </c>
      <c r="I597" s="49" t="str">
        <f t="shared" si="2"/>
        <v/>
      </c>
      <c r="J597" s="43" t="str">
        <f t="shared" si="56"/>
        <v/>
      </c>
      <c r="K597" s="78"/>
      <c r="L597" s="50">
        <f t="shared" si="54"/>
        <v>182</v>
      </c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5.75" customHeight="1">
      <c r="A598" s="9"/>
      <c r="B598" s="81"/>
      <c r="C598" s="89"/>
      <c r="D598" s="127"/>
      <c r="E598" s="96"/>
      <c r="F598" s="65"/>
      <c r="G598" s="65"/>
      <c r="H598" s="41">
        <f t="shared" si="19"/>
        <v>0</v>
      </c>
      <c r="I598" s="49" t="str">
        <f t="shared" si="2"/>
        <v/>
      </c>
      <c r="J598" s="43" t="str">
        <f t="shared" si="56"/>
        <v/>
      </c>
      <c r="K598" s="78"/>
      <c r="L598" s="50">
        <f t="shared" si="54"/>
        <v>182</v>
      </c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5.75" customHeight="1">
      <c r="A599" s="9"/>
      <c r="B599" s="81"/>
      <c r="C599" s="89"/>
      <c r="D599" s="83"/>
      <c r="E599" s="131"/>
      <c r="F599" s="88"/>
      <c r="G599" s="88"/>
      <c r="H599" s="41">
        <f t="shared" si="19"/>
        <v>0</v>
      </c>
      <c r="I599" s="92" t="str">
        <f t="shared" si="2"/>
        <v/>
      </c>
      <c r="J599" s="226" t="str">
        <f t="shared" si="56"/>
        <v/>
      </c>
      <c r="K599" s="78"/>
      <c r="L599" s="50">
        <f t="shared" si="54"/>
        <v>182</v>
      </c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5.75" customHeight="1">
      <c r="A600" s="9"/>
      <c r="B600" s="81"/>
      <c r="C600" s="89"/>
      <c r="D600" s="83"/>
      <c r="E600" s="96"/>
      <c r="F600" s="65"/>
      <c r="G600" s="65"/>
      <c r="H600" s="41">
        <f t="shared" si="19"/>
        <v>0</v>
      </c>
      <c r="I600" s="92" t="str">
        <f t="shared" si="2"/>
        <v/>
      </c>
      <c r="J600" s="226" t="str">
        <f t="shared" si="56"/>
        <v/>
      </c>
      <c r="K600" s="78"/>
      <c r="L600" s="50">
        <f t="shared" si="54"/>
        <v>182</v>
      </c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5.75" customHeight="1">
      <c r="A601" s="9"/>
      <c r="B601" s="81"/>
      <c r="C601" s="89"/>
      <c r="D601" s="83"/>
      <c r="E601" s="96"/>
      <c r="F601" s="65"/>
      <c r="G601" s="65"/>
      <c r="H601" s="41">
        <f t="shared" si="19"/>
        <v>0</v>
      </c>
      <c r="I601" s="49" t="str">
        <f t="shared" si="2"/>
        <v/>
      </c>
      <c r="J601" s="43" t="str">
        <f t="shared" si="56"/>
        <v/>
      </c>
      <c r="K601" s="78"/>
      <c r="L601" s="50">
        <f t="shared" si="54"/>
        <v>182</v>
      </c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5.75" customHeight="1">
      <c r="A602" s="9"/>
      <c r="B602" s="81"/>
      <c r="C602" s="89"/>
      <c r="D602" s="83"/>
      <c r="E602" s="131"/>
      <c r="F602" s="88"/>
      <c r="G602" s="88"/>
      <c r="H602" s="41">
        <f t="shared" si="19"/>
        <v>0</v>
      </c>
      <c r="I602" s="49" t="str">
        <f t="shared" si="2"/>
        <v/>
      </c>
      <c r="J602" s="43" t="str">
        <f t="shared" si="56"/>
        <v/>
      </c>
      <c r="K602" s="78"/>
      <c r="L602" s="50">
        <f t="shared" si="54"/>
        <v>182</v>
      </c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5.75" customHeight="1">
      <c r="A603" s="9"/>
      <c r="B603" s="81"/>
      <c r="C603" s="89"/>
      <c r="D603" s="83"/>
      <c r="E603" s="131"/>
      <c r="F603" s="88"/>
      <c r="G603" s="88"/>
      <c r="H603" s="41">
        <f t="shared" si="19"/>
        <v>0</v>
      </c>
      <c r="I603" s="49" t="str">
        <f t="shared" si="2"/>
        <v/>
      </c>
      <c r="J603" s="43" t="str">
        <f t="shared" si="56"/>
        <v/>
      </c>
      <c r="K603" s="78"/>
      <c r="L603" s="50">
        <f t="shared" si="54"/>
        <v>182</v>
      </c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5.75" customHeight="1">
      <c r="A604" s="9"/>
      <c r="B604" s="81"/>
      <c r="C604" s="89"/>
      <c r="D604" s="83"/>
      <c r="E604" s="131"/>
      <c r="F604" s="88"/>
      <c r="G604" s="88"/>
      <c r="H604" s="41">
        <f t="shared" si="19"/>
        <v>0</v>
      </c>
      <c r="I604" s="49" t="str">
        <f t="shared" si="2"/>
        <v/>
      </c>
      <c r="J604" s="43" t="str">
        <f t="shared" si="56"/>
        <v/>
      </c>
      <c r="K604" s="78"/>
      <c r="L604" s="50">
        <f t="shared" si="54"/>
        <v>182</v>
      </c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5.75" customHeight="1">
      <c r="A605" s="9"/>
      <c r="B605" s="81"/>
      <c r="C605" s="89"/>
      <c r="D605" s="83"/>
      <c r="E605" s="96"/>
      <c r="F605" s="225"/>
      <c r="G605" s="225"/>
      <c r="H605" s="41">
        <f t="shared" si="19"/>
        <v>0</v>
      </c>
      <c r="I605" s="49" t="str">
        <f t="shared" si="2"/>
        <v/>
      </c>
      <c r="J605" s="43" t="str">
        <f t="shared" si="56"/>
        <v/>
      </c>
      <c r="K605" s="78"/>
      <c r="L605" s="50">
        <f t="shared" si="54"/>
        <v>182</v>
      </c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5.75" customHeight="1">
      <c r="A606" s="9"/>
      <c r="B606" s="81"/>
      <c r="C606" s="89"/>
      <c r="D606" s="83"/>
      <c r="E606" s="96"/>
      <c r="F606" s="225"/>
      <c r="G606" s="225"/>
      <c r="H606" s="41">
        <f t="shared" si="19"/>
        <v>0</v>
      </c>
      <c r="I606" s="49" t="str">
        <f t="shared" si="2"/>
        <v/>
      </c>
      <c r="J606" s="43" t="str">
        <f t="shared" si="56"/>
        <v/>
      </c>
      <c r="K606" s="78"/>
      <c r="L606" s="50">
        <f t="shared" si="54"/>
        <v>182</v>
      </c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5.75" customHeight="1">
      <c r="A607" s="9"/>
      <c r="B607" s="81"/>
      <c r="C607" s="89"/>
      <c r="D607" s="83"/>
      <c r="E607" s="131"/>
      <c r="F607" s="227"/>
      <c r="G607" s="227"/>
      <c r="H607" s="41">
        <f t="shared" si="19"/>
        <v>0</v>
      </c>
      <c r="I607" s="49" t="str">
        <f t="shared" si="2"/>
        <v/>
      </c>
      <c r="J607" s="43" t="str">
        <f t="shared" si="56"/>
        <v/>
      </c>
      <c r="K607" s="78"/>
      <c r="L607" s="50">
        <f t="shared" si="54"/>
        <v>182</v>
      </c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5.75" customHeight="1">
      <c r="A608" s="9"/>
      <c r="B608" s="81"/>
      <c r="C608" s="89"/>
      <c r="D608" s="83"/>
      <c r="E608" s="131"/>
      <c r="F608" s="227"/>
      <c r="G608" s="227"/>
      <c r="H608" s="41">
        <f t="shared" si="19"/>
        <v>0</v>
      </c>
      <c r="I608" s="49" t="str">
        <f t="shared" si="2"/>
        <v/>
      </c>
      <c r="J608" s="43" t="str">
        <f t="shared" si="56"/>
        <v/>
      </c>
      <c r="K608" s="78"/>
      <c r="L608" s="50">
        <f t="shared" si="54"/>
        <v>182</v>
      </c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5.75" customHeight="1">
      <c r="A609" s="9"/>
      <c r="B609" s="81"/>
      <c r="C609" s="89"/>
      <c r="D609" s="83"/>
      <c r="E609" s="131"/>
      <c r="F609" s="227"/>
      <c r="G609" s="227"/>
      <c r="H609" s="41">
        <f t="shared" si="19"/>
        <v>0</v>
      </c>
      <c r="I609" s="49" t="str">
        <f t="shared" si="2"/>
        <v/>
      </c>
      <c r="J609" s="43" t="str">
        <f t="shared" si="56"/>
        <v/>
      </c>
      <c r="K609" s="78"/>
      <c r="L609" s="50">
        <f t="shared" si="54"/>
        <v>182</v>
      </c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5.75" customHeight="1">
      <c r="A610" s="9"/>
      <c r="B610" s="81"/>
      <c r="C610" s="89"/>
      <c r="D610" s="83"/>
      <c r="E610" s="131"/>
      <c r="F610" s="227"/>
      <c r="G610" s="227"/>
      <c r="H610" s="41">
        <f t="shared" si="19"/>
        <v>0</v>
      </c>
      <c r="I610" s="49" t="str">
        <f t="shared" si="2"/>
        <v/>
      </c>
      <c r="J610" s="43" t="str">
        <f t="shared" si="56"/>
        <v/>
      </c>
      <c r="K610" s="78"/>
      <c r="L610" s="50">
        <f t="shared" si="54"/>
        <v>182</v>
      </c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5.75" customHeight="1">
      <c r="A611" s="9"/>
      <c r="B611" s="81"/>
      <c r="C611" s="89"/>
      <c r="D611" s="83"/>
      <c r="E611" s="96"/>
      <c r="F611" s="225"/>
      <c r="G611" s="225"/>
      <c r="H611" s="41">
        <f t="shared" si="19"/>
        <v>0</v>
      </c>
      <c r="I611" s="49" t="str">
        <f t="shared" si="2"/>
        <v/>
      </c>
      <c r="J611" s="43" t="str">
        <f t="shared" si="56"/>
        <v/>
      </c>
      <c r="K611" s="78"/>
      <c r="L611" s="50">
        <f t="shared" si="54"/>
        <v>182</v>
      </c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5.75" customHeight="1">
      <c r="A612" s="9"/>
      <c r="B612" s="81"/>
      <c r="C612" s="89"/>
      <c r="D612" s="83"/>
      <c r="E612" s="131"/>
      <c r="F612" s="227"/>
      <c r="G612" s="227"/>
      <c r="H612" s="41">
        <f t="shared" si="19"/>
        <v>0</v>
      </c>
      <c r="I612" s="49" t="str">
        <f t="shared" si="2"/>
        <v/>
      </c>
      <c r="J612" s="43" t="str">
        <f t="shared" si="56"/>
        <v/>
      </c>
      <c r="K612" s="78"/>
      <c r="L612" s="50">
        <f t="shared" si="54"/>
        <v>182</v>
      </c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5.75" customHeight="1">
      <c r="A613" s="9"/>
      <c r="B613" s="81"/>
      <c r="C613" s="89"/>
      <c r="D613" s="128"/>
      <c r="E613" s="96"/>
      <c r="F613" s="225"/>
      <c r="G613" s="225"/>
      <c r="H613" s="41">
        <f t="shared" si="19"/>
        <v>0</v>
      </c>
      <c r="I613" s="49" t="str">
        <f t="shared" si="2"/>
        <v/>
      </c>
      <c r="J613" s="43" t="str">
        <f t="shared" si="56"/>
        <v/>
      </c>
      <c r="K613" s="78"/>
      <c r="L613" s="50">
        <f t="shared" si="54"/>
        <v>182</v>
      </c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5.75" customHeight="1">
      <c r="A614" s="9"/>
      <c r="B614" s="81"/>
      <c r="C614" s="89"/>
      <c r="D614" s="83"/>
      <c r="E614" s="131"/>
      <c r="F614" s="227"/>
      <c r="G614" s="227"/>
      <c r="H614" s="41">
        <f t="shared" si="19"/>
        <v>0</v>
      </c>
      <c r="I614" s="49" t="str">
        <f t="shared" si="2"/>
        <v/>
      </c>
      <c r="J614" s="43" t="str">
        <f t="shared" si="56"/>
        <v/>
      </c>
      <c r="K614" s="78"/>
      <c r="L614" s="50">
        <f t="shared" si="54"/>
        <v>182</v>
      </c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5.75" customHeight="1">
      <c r="A615" s="9"/>
      <c r="B615" s="81"/>
      <c r="C615" s="89"/>
      <c r="D615" s="83"/>
      <c r="E615" s="131"/>
      <c r="F615" s="227"/>
      <c r="G615" s="227"/>
      <c r="H615" s="41">
        <f t="shared" si="19"/>
        <v>0</v>
      </c>
      <c r="I615" s="49" t="str">
        <f t="shared" si="2"/>
        <v/>
      </c>
      <c r="J615" s="43" t="str">
        <f t="shared" si="56"/>
        <v/>
      </c>
      <c r="K615" s="78"/>
      <c r="L615" s="50">
        <f t="shared" si="54"/>
        <v>182</v>
      </c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5.75" customHeight="1">
      <c r="A616" s="9"/>
      <c r="B616" s="81"/>
      <c r="C616" s="89"/>
      <c r="D616" s="83"/>
      <c r="E616" s="131"/>
      <c r="F616" s="227"/>
      <c r="G616" s="227"/>
      <c r="H616" s="41">
        <f t="shared" si="19"/>
        <v>0</v>
      </c>
      <c r="I616" s="49" t="str">
        <f t="shared" si="2"/>
        <v/>
      </c>
      <c r="J616" s="43" t="str">
        <f t="shared" si="56"/>
        <v/>
      </c>
      <c r="K616" s="78"/>
      <c r="L616" s="50">
        <f t="shared" si="54"/>
        <v>182</v>
      </c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5.75" customHeight="1">
      <c r="A617" s="9"/>
      <c r="B617" s="81"/>
      <c r="C617" s="89"/>
      <c r="D617" s="83"/>
      <c r="E617" s="96"/>
      <c r="F617" s="65"/>
      <c r="G617" s="65"/>
      <c r="H617" s="41">
        <f t="shared" si="19"/>
        <v>0</v>
      </c>
      <c r="I617" s="49" t="str">
        <f t="shared" si="2"/>
        <v/>
      </c>
      <c r="J617" s="43" t="str">
        <f t="shared" si="56"/>
        <v/>
      </c>
      <c r="K617" s="78"/>
      <c r="L617" s="50">
        <f t="shared" si="54"/>
        <v>182</v>
      </c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5.75" customHeight="1">
      <c r="A618" s="9"/>
      <c r="B618" s="81"/>
      <c r="C618" s="89"/>
      <c r="D618" s="83"/>
      <c r="E618" s="131"/>
      <c r="F618" s="88"/>
      <c r="G618" s="88"/>
      <c r="H618" s="41">
        <f t="shared" si="19"/>
        <v>0</v>
      </c>
      <c r="I618" s="49" t="str">
        <f t="shared" si="2"/>
        <v/>
      </c>
      <c r="J618" s="43" t="str">
        <f t="shared" si="56"/>
        <v/>
      </c>
      <c r="K618" s="78"/>
      <c r="L618" s="50">
        <f t="shared" si="54"/>
        <v>182</v>
      </c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5.75" customHeight="1">
      <c r="A619" s="9"/>
      <c r="B619" s="81"/>
      <c r="C619" s="89"/>
      <c r="D619" s="224"/>
      <c r="E619" s="131"/>
      <c r="F619" s="88"/>
      <c r="G619" s="88"/>
      <c r="H619" s="41">
        <f t="shared" si="19"/>
        <v>0</v>
      </c>
      <c r="I619" s="49" t="str">
        <f t="shared" si="2"/>
        <v/>
      </c>
      <c r="J619" s="43" t="str">
        <f t="shared" si="56"/>
        <v/>
      </c>
      <c r="K619" s="78"/>
      <c r="L619" s="50">
        <f t="shared" si="54"/>
        <v>182</v>
      </c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5.75" customHeight="1">
      <c r="A620" s="9"/>
      <c r="B620" s="81"/>
      <c r="C620" s="89"/>
      <c r="D620" s="83"/>
      <c r="E620" s="131"/>
      <c r="F620" s="88"/>
      <c r="G620" s="88"/>
      <c r="H620" s="41">
        <f t="shared" si="19"/>
        <v>0</v>
      </c>
      <c r="I620" s="49" t="str">
        <f t="shared" si="2"/>
        <v/>
      </c>
      <c r="J620" s="43" t="str">
        <f t="shared" si="56"/>
        <v/>
      </c>
      <c r="K620" s="78"/>
      <c r="L620" s="50">
        <f t="shared" si="54"/>
        <v>182</v>
      </c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5.75" customHeight="1">
      <c r="A621" s="9"/>
      <c r="B621" s="81"/>
      <c r="C621" s="89"/>
      <c r="D621" s="83"/>
      <c r="E621" s="131"/>
      <c r="F621" s="88"/>
      <c r="G621" s="88"/>
      <c r="H621" s="41">
        <f t="shared" si="19"/>
        <v>0</v>
      </c>
      <c r="I621" s="49" t="str">
        <f t="shared" si="2"/>
        <v/>
      </c>
      <c r="J621" s="43" t="str">
        <f t="shared" si="56"/>
        <v/>
      </c>
      <c r="K621" s="78"/>
      <c r="L621" s="50">
        <f t="shared" si="54"/>
        <v>182</v>
      </c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5.75" customHeight="1">
      <c r="A622" s="9"/>
      <c r="B622" s="81"/>
      <c r="C622" s="89"/>
      <c r="D622" s="224"/>
      <c r="E622" s="131"/>
      <c r="F622" s="88"/>
      <c r="G622" s="88"/>
      <c r="H622" s="41">
        <f t="shared" si="19"/>
        <v>0</v>
      </c>
      <c r="I622" s="49" t="str">
        <f t="shared" si="2"/>
        <v/>
      </c>
      <c r="J622" s="43" t="str">
        <f t="shared" si="56"/>
        <v/>
      </c>
      <c r="K622" s="78"/>
      <c r="L622" s="50">
        <f t="shared" si="54"/>
        <v>182</v>
      </c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5.75" customHeight="1">
      <c r="A623" s="9"/>
      <c r="B623" s="81"/>
      <c r="C623" s="89"/>
      <c r="D623" s="83"/>
      <c r="E623" s="131"/>
      <c r="F623" s="88"/>
      <c r="G623" s="88"/>
      <c r="H623" s="41">
        <f t="shared" si="19"/>
        <v>0</v>
      </c>
      <c r="I623" s="49" t="str">
        <f t="shared" si="2"/>
        <v/>
      </c>
      <c r="J623" s="43" t="str">
        <f t="shared" si="56"/>
        <v/>
      </c>
      <c r="K623" s="78"/>
      <c r="L623" s="50">
        <f t="shared" si="54"/>
        <v>182</v>
      </c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5.75" customHeight="1">
      <c r="A624" s="9"/>
      <c r="B624" s="81"/>
      <c r="C624" s="89"/>
      <c r="D624" s="83"/>
      <c r="E624" s="96"/>
      <c r="F624" s="65"/>
      <c r="G624" s="65"/>
      <c r="H624" s="41">
        <f t="shared" si="19"/>
        <v>0</v>
      </c>
      <c r="I624" s="49" t="str">
        <f t="shared" si="2"/>
        <v/>
      </c>
      <c r="J624" s="43" t="str">
        <f t="shared" si="56"/>
        <v/>
      </c>
      <c r="K624" s="78"/>
      <c r="L624" s="50">
        <f t="shared" si="54"/>
        <v>182</v>
      </c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5.75" customHeight="1">
      <c r="A625" s="9"/>
      <c r="B625" s="81"/>
      <c r="C625" s="89"/>
      <c r="D625" s="83"/>
      <c r="E625" s="131"/>
      <c r="F625" s="88"/>
      <c r="G625" s="88"/>
      <c r="H625" s="41">
        <f t="shared" si="19"/>
        <v>0</v>
      </c>
      <c r="I625" s="49" t="str">
        <f t="shared" si="2"/>
        <v/>
      </c>
      <c r="J625" s="43" t="str">
        <f t="shared" si="56"/>
        <v/>
      </c>
      <c r="K625" s="78"/>
      <c r="L625" s="50">
        <f t="shared" si="54"/>
        <v>182</v>
      </c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5.75" customHeight="1">
      <c r="A626" s="9"/>
      <c r="B626" s="81"/>
      <c r="C626" s="89"/>
      <c r="D626" s="83"/>
      <c r="E626" s="131"/>
      <c r="F626" s="88"/>
      <c r="G626" s="88"/>
      <c r="H626" s="41">
        <f t="shared" si="19"/>
        <v>0</v>
      </c>
      <c r="I626" s="49" t="str">
        <f t="shared" si="2"/>
        <v/>
      </c>
      <c r="J626" s="43" t="str">
        <f t="shared" si="56"/>
        <v/>
      </c>
      <c r="K626" s="78"/>
      <c r="L626" s="50">
        <f t="shared" si="54"/>
        <v>182</v>
      </c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5.75" customHeight="1">
      <c r="A627" s="9"/>
      <c r="B627" s="81"/>
      <c r="C627" s="89"/>
      <c r="D627" s="83"/>
      <c r="E627" s="131"/>
      <c r="F627" s="88"/>
      <c r="G627" s="88"/>
      <c r="H627" s="41">
        <f t="shared" si="19"/>
        <v>0</v>
      </c>
      <c r="I627" s="49" t="str">
        <f t="shared" si="2"/>
        <v/>
      </c>
      <c r="J627" s="43" t="str">
        <f t="shared" si="56"/>
        <v/>
      </c>
      <c r="K627" s="78"/>
      <c r="L627" s="50">
        <f t="shared" si="54"/>
        <v>182</v>
      </c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5.75" customHeight="1">
      <c r="A628" s="9"/>
      <c r="B628" s="81"/>
      <c r="C628" s="89"/>
      <c r="D628" s="83"/>
      <c r="E628" s="131"/>
      <c r="F628" s="88"/>
      <c r="G628" s="88"/>
      <c r="H628" s="41">
        <f t="shared" si="19"/>
        <v>0</v>
      </c>
      <c r="I628" s="49" t="str">
        <f t="shared" si="2"/>
        <v/>
      </c>
      <c r="J628" s="43" t="str">
        <f t="shared" si="56"/>
        <v/>
      </c>
      <c r="K628" s="78"/>
      <c r="L628" s="50">
        <f t="shared" si="54"/>
        <v>182</v>
      </c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5.75" customHeight="1">
      <c r="A629" s="9"/>
      <c r="B629" s="81"/>
      <c r="C629" s="89"/>
      <c r="D629" s="83"/>
      <c r="E629" s="131"/>
      <c r="F629" s="88"/>
      <c r="G629" s="88"/>
      <c r="H629" s="41">
        <f t="shared" si="19"/>
        <v>0</v>
      </c>
      <c r="I629" s="49" t="str">
        <f t="shared" si="2"/>
        <v/>
      </c>
      <c r="J629" s="43" t="str">
        <f t="shared" si="56"/>
        <v/>
      </c>
      <c r="K629" s="78"/>
      <c r="L629" s="50">
        <f t="shared" si="54"/>
        <v>182</v>
      </c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5.75" customHeight="1">
      <c r="A630" s="9"/>
      <c r="B630" s="81"/>
      <c r="C630" s="89"/>
      <c r="D630" s="83"/>
      <c r="E630" s="131"/>
      <c r="F630" s="88"/>
      <c r="G630" s="88"/>
      <c r="H630" s="41">
        <f t="shared" si="19"/>
        <v>0</v>
      </c>
      <c r="I630" s="49" t="str">
        <f t="shared" si="2"/>
        <v/>
      </c>
      <c r="J630" s="43" t="str">
        <f t="shared" si="56"/>
        <v/>
      </c>
      <c r="K630" s="78"/>
      <c r="L630" s="50">
        <f t="shared" si="54"/>
        <v>182</v>
      </c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5.75" customHeight="1">
      <c r="A631" s="9"/>
      <c r="B631" s="81"/>
      <c r="C631" s="89"/>
      <c r="D631" s="83"/>
      <c r="E631" s="131"/>
      <c r="F631" s="88"/>
      <c r="G631" s="88"/>
      <c r="H631" s="41">
        <f t="shared" si="19"/>
        <v>0</v>
      </c>
      <c r="I631" s="49" t="str">
        <f t="shared" si="2"/>
        <v/>
      </c>
      <c r="J631" s="43" t="str">
        <f t="shared" si="56"/>
        <v/>
      </c>
      <c r="K631" s="78"/>
      <c r="L631" s="50">
        <f t="shared" si="54"/>
        <v>182</v>
      </c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5.75" customHeight="1">
      <c r="A632" s="9"/>
      <c r="B632" s="81"/>
      <c r="C632" s="89"/>
      <c r="D632" s="83"/>
      <c r="E632" s="131"/>
      <c r="F632" s="88"/>
      <c r="G632" s="88"/>
      <c r="H632" s="41">
        <f t="shared" si="19"/>
        <v>0</v>
      </c>
      <c r="I632" s="49" t="str">
        <f t="shared" si="2"/>
        <v/>
      </c>
      <c r="J632" s="43" t="str">
        <f t="shared" si="56"/>
        <v/>
      </c>
      <c r="K632" s="78"/>
      <c r="L632" s="50">
        <f t="shared" si="54"/>
        <v>182</v>
      </c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5.75" customHeight="1">
      <c r="A633" s="9"/>
      <c r="B633" s="81"/>
      <c r="C633" s="89"/>
      <c r="D633" s="83"/>
      <c r="E633" s="96"/>
      <c r="F633" s="65"/>
      <c r="G633" s="65"/>
      <c r="H633" s="41">
        <f t="shared" si="19"/>
        <v>0</v>
      </c>
      <c r="I633" s="49" t="str">
        <f t="shared" si="2"/>
        <v/>
      </c>
      <c r="J633" s="43" t="str">
        <f t="shared" si="56"/>
        <v/>
      </c>
      <c r="K633" s="78"/>
      <c r="L633" s="50">
        <f t="shared" si="54"/>
        <v>182</v>
      </c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5.75" customHeight="1">
      <c r="A634" s="9"/>
      <c r="B634" s="81"/>
      <c r="C634" s="89"/>
      <c r="D634" s="224"/>
      <c r="E634" s="96"/>
      <c r="F634" s="65"/>
      <c r="G634" s="65"/>
      <c r="H634" s="41">
        <f t="shared" si="19"/>
        <v>0</v>
      </c>
      <c r="I634" s="49" t="str">
        <f t="shared" si="2"/>
        <v/>
      </c>
      <c r="J634" s="43" t="str">
        <f t="shared" si="56"/>
        <v/>
      </c>
      <c r="K634" s="78"/>
      <c r="L634" s="50">
        <f t="shared" si="54"/>
        <v>182</v>
      </c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5.75" customHeight="1">
      <c r="A635" s="9"/>
      <c r="B635" s="81"/>
      <c r="C635" s="89"/>
      <c r="D635" s="224"/>
      <c r="E635" s="96"/>
      <c r="F635" s="65"/>
      <c r="G635" s="65"/>
      <c r="H635" s="41">
        <f t="shared" si="19"/>
        <v>0</v>
      </c>
      <c r="I635" s="49" t="str">
        <f t="shared" si="2"/>
        <v/>
      </c>
      <c r="J635" s="43" t="str">
        <f t="shared" si="56"/>
        <v/>
      </c>
      <c r="K635" s="78"/>
      <c r="L635" s="50">
        <f t="shared" si="54"/>
        <v>182</v>
      </c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5.75" customHeight="1">
      <c r="A636" s="9"/>
      <c r="B636" s="81"/>
      <c r="C636" s="89"/>
      <c r="D636" s="224"/>
      <c r="E636" s="96"/>
      <c r="F636" s="65"/>
      <c r="G636" s="65"/>
      <c r="H636" s="41">
        <f t="shared" si="19"/>
        <v>0</v>
      </c>
      <c r="I636" s="49" t="str">
        <f t="shared" si="2"/>
        <v/>
      </c>
      <c r="J636" s="43" t="str">
        <f t="shared" si="56"/>
        <v/>
      </c>
      <c r="K636" s="78"/>
      <c r="L636" s="50">
        <f t="shared" si="54"/>
        <v>182</v>
      </c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5.75" customHeight="1">
      <c r="A637" s="9"/>
      <c r="B637" s="81"/>
      <c r="C637" s="89"/>
      <c r="D637" s="224"/>
      <c r="E637" s="96"/>
      <c r="F637" s="65"/>
      <c r="G637" s="65"/>
      <c r="H637" s="41">
        <f t="shared" si="19"/>
        <v>0</v>
      </c>
      <c r="I637" s="49" t="str">
        <f t="shared" si="2"/>
        <v/>
      </c>
      <c r="J637" s="43" t="str">
        <f t="shared" si="56"/>
        <v/>
      </c>
      <c r="K637" s="78"/>
      <c r="L637" s="50">
        <f t="shared" si="54"/>
        <v>182</v>
      </c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5.75" customHeight="1">
      <c r="A638" s="9"/>
      <c r="B638" s="81"/>
      <c r="C638" s="89"/>
      <c r="D638" s="83"/>
      <c r="E638" s="96"/>
      <c r="F638" s="65"/>
      <c r="G638" s="65"/>
      <c r="H638" s="41">
        <f t="shared" si="19"/>
        <v>0</v>
      </c>
      <c r="I638" s="49" t="str">
        <f t="shared" si="2"/>
        <v/>
      </c>
      <c r="J638" s="43" t="str">
        <f t="shared" si="56"/>
        <v/>
      </c>
      <c r="K638" s="78"/>
      <c r="L638" s="50">
        <f t="shared" si="54"/>
        <v>182</v>
      </c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5.75" customHeight="1">
      <c r="A639" s="9"/>
      <c r="B639" s="81"/>
      <c r="C639" s="89"/>
      <c r="D639" s="83"/>
      <c r="E639" s="96"/>
      <c r="F639" s="65"/>
      <c r="G639" s="65"/>
      <c r="H639" s="41">
        <f t="shared" si="19"/>
        <v>0</v>
      </c>
      <c r="I639" s="49" t="str">
        <f t="shared" si="2"/>
        <v/>
      </c>
      <c r="J639" s="43" t="str">
        <f t="shared" si="56"/>
        <v/>
      </c>
      <c r="K639" s="78"/>
      <c r="L639" s="50">
        <f t="shared" si="54"/>
        <v>182</v>
      </c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5.75" customHeight="1">
      <c r="A640" s="9"/>
      <c r="B640" s="81"/>
      <c r="C640" s="89"/>
      <c r="D640" s="83"/>
      <c r="E640" s="96"/>
      <c r="F640" s="65"/>
      <c r="G640" s="65"/>
      <c r="H640" s="41">
        <f t="shared" si="19"/>
        <v>0</v>
      </c>
      <c r="I640" s="49" t="str">
        <f t="shared" si="2"/>
        <v/>
      </c>
      <c r="J640" s="43" t="str">
        <f t="shared" si="56"/>
        <v/>
      </c>
      <c r="K640" s="78"/>
      <c r="L640" s="50">
        <f t="shared" si="54"/>
        <v>182</v>
      </c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5.75" customHeight="1">
      <c r="A641" s="9"/>
      <c r="B641" s="81"/>
      <c r="C641" s="89"/>
      <c r="D641" s="83"/>
      <c r="E641" s="96"/>
      <c r="F641" s="65"/>
      <c r="G641" s="65"/>
      <c r="H641" s="41">
        <f t="shared" si="19"/>
        <v>0</v>
      </c>
      <c r="I641" s="49" t="str">
        <f t="shared" si="2"/>
        <v/>
      </c>
      <c r="J641" s="43" t="str">
        <f t="shared" si="56"/>
        <v/>
      </c>
      <c r="K641" s="78"/>
      <c r="L641" s="50">
        <f t="shared" si="54"/>
        <v>182</v>
      </c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5.75" customHeight="1">
      <c r="A642" s="9"/>
      <c r="B642" s="81"/>
      <c r="C642" s="89"/>
      <c r="D642" s="83"/>
      <c r="E642" s="96"/>
      <c r="F642" s="65"/>
      <c r="G642" s="65"/>
      <c r="H642" s="41">
        <f t="shared" si="19"/>
        <v>0</v>
      </c>
      <c r="I642" s="49" t="str">
        <f t="shared" si="2"/>
        <v/>
      </c>
      <c r="J642" s="43" t="str">
        <f t="shared" si="56"/>
        <v/>
      </c>
      <c r="K642" s="78"/>
      <c r="L642" s="50">
        <f t="shared" si="54"/>
        <v>182</v>
      </c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5.75" customHeight="1">
      <c r="A643" s="9"/>
      <c r="B643" s="81"/>
      <c r="C643" s="89"/>
      <c r="D643" s="83"/>
      <c r="E643" s="96"/>
      <c r="F643" s="65"/>
      <c r="G643" s="65"/>
      <c r="H643" s="41">
        <f t="shared" si="19"/>
        <v>0</v>
      </c>
      <c r="I643" s="49" t="str">
        <f t="shared" si="2"/>
        <v/>
      </c>
      <c r="J643" s="43" t="str">
        <f t="shared" si="56"/>
        <v/>
      </c>
      <c r="K643" s="78"/>
      <c r="L643" s="50">
        <f t="shared" si="54"/>
        <v>182</v>
      </c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5.75" customHeight="1">
      <c r="A644" s="9"/>
      <c r="B644" s="81"/>
      <c r="C644" s="89"/>
      <c r="D644" s="83"/>
      <c r="E644" s="96"/>
      <c r="F644" s="65"/>
      <c r="G644" s="65"/>
      <c r="H644" s="41">
        <f t="shared" si="19"/>
        <v>0</v>
      </c>
      <c r="I644" s="49" t="str">
        <f t="shared" si="2"/>
        <v/>
      </c>
      <c r="J644" s="43" t="str">
        <f t="shared" si="56"/>
        <v/>
      </c>
      <c r="K644" s="78"/>
      <c r="L644" s="50">
        <f t="shared" si="54"/>
        <v>182</v>
      </c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5.75" customHeight="1">
      <c r="A645" s="9"/>
      <c r="B645" s="81"/>
      <c r="C645" s="89"/>
      <c r="D645" s="83"/>
      <c r="E645" s="96"/>
      <c r="F645" s="65"/>
      <c r="G645" s="65"/>
      <c r="H645" s="41">
        <f t="shared" si="19"/>
        <v>0</v>
      </c>
      <c r="I645" s="49" t="str">
        <f t="shared" si="2"/>
        <v/>
      </c>
      <c r="J645" s="43" t="str">
        <f t="shared" si="56"/>
        <v/>
      </c>
      <c r="K645" s="78"/>
      <c r="L645" s="50">
        <f t="shared" si="54"/>
        <v>182</v>
      </c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5.75" customHeight="1">
      <c r="A646" s="9"/>
      <c r="B646" s="81"/>
      <c r="C646" s="89"/>
      <c r="D646" s="83"/>
      <c r="E646" s="96"/>
      <c r="F646" s="225"/>
      <c r="G646" s="65"/>
      <c r="H646" s="41">
        <f t="shared" si="19"/>
        <v>0</v>
      </c>
      <c r="I646" s="49" t="str">
        <f t="shared" si="2"/>
        <v/>
      </c>
      <c r="J646" s="43" t="str">
        <f t="shared" si="56"/>
        <v/>
      </c>
      <c r="K646" s="78"/>
      <c r="L646" s="50">
        <f t="shared" si="54"/>
        <v>182</v>
      </c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5.75" customHeight="1">
      <c r="A647" s="9"/>
      <c r="B647" s="81"/>
      <c r="C647" s="89"/>
      <c r="D647" s="83"/>
      <c r="E647" s="96"/>
      <c r="F647" s="225"/>
      <c r="G647" s="65"/>
      <c r="H647" s="41">
        <f t="shared" si="19"/>
        <v>0</v>
      </c>
      <c r="I647" s="49" t="str">
        <f t="shared" si="2"/>
        <v/>
      </c>
      <c r="J647" s="43" t="str">
        <f t="shared" si="56"/>
        <v/>
      </c>
      <c r="K647" s="78"/>
      <c r="L647" s="50">
        <f t="shared" si="54"/>
        <v>182</v>
      </c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5.75" customHeight="1">
      <c r="A648" s="9"/>
      <c r="B648" s="81"/>
      <c r="C648" s="89"/>
      <c r="D648" s="83"/>
      <c r="E648" s="96"/>
      <c r="F648" s="65"/>
      <c r="G648" s="65"/>
      <c r="H648" s="41">
        <f t="shared" si="19"/>
        <v>0</v>
      </c>
      <c r="I648" s="49" t="str">
        <f t="shared" si="2"/>
        <v/>
      </c>
      <c r="J648" s="43" t="str">
        <f t="shared" si="56"/>
        <v/>
      </c>
      <c r="K648" s="78"/>
      <c r="L648" s="50">
        <f t="shared" si="54"/>
        <v>182</v>
      </c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5.75" customHeight="1">
      <c r="A649" s="9"/>
      <c r="B649" s="81"/>
      <c r="C649" s="89"/>
      <c r="D649" s="83"/>
      <c r="E649" s="96"/>
      <c r="F649" s="88"/>
      <c r="G649" s="65"/>
      <c r="H649" s="41">
        <f t="shared" si="19"/>
        <v>0</v>
      </c>
      <c r="I649" s="49" t="str">
        <f t="shared" si="2"/>
        <v/>
      </c>
      <c r="J649" s="43" t="str">
        <f t="shared" si="56"/>
        <v/>
      </c>
      <c r="K649" s="78"/>
      <c r="L649" s="50">
        <f t="shared" si="54"/>
        <v>182</v>
      </c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5.75" customHeight="1">
      <c r="A650" s="9"/>
      <c r="B650" s="81"/>
      <c r="C650" s="89"/>
      <c r="D650" s="83"/>
      <c r="E650" s="96"/>
      <c r="F650" s="225"/>
      <c r="G650" s="225"/>
      <c r="H650" s="41">
        <f t="shared" si="19"/>
        <v>0</v>
      </c>
      <c r="I650" s="49" t="str">
        <f t="shared" si="2"/>
        <v/>
      </c>
      <c r="J650" s="43" t="str">
        <f t="shared" si="56"/>
        <v/>
      </c>
      <c r="K650" s="78"/>
      <c r="L650" s="50">
        <f t="shared" si="54"/>
        <v>182</v>
      </c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5.75" customHeight="1">
      <c r="A651" s="9"/>
      <c r="B651" s="81"/>
      <c r="C651" s="89"/>
      <c r="D651" s="83"/>
      <c r="E651" s="96"/>
      <c r="F651" s="88"/>
      <c r="G651" s="225"/>
      <c r="H651" s="41">
        <f t="shared" si="19"/>
        <v>0</v>
      </c>
      <c r="I651" s="49" t="str">
        <f t="shared" si="2"/>
        <v/>
      </c>
      <c r="J651" s="43" t="str">
        <f t="shared" si="56"/>
        <v/>
      </c>
      <c r="K651" s="78"/>
      <c r="L651" s="50">
        <f t="shared" si="54"/>
        <v>182</v>
      </c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5.75" customHeight="1">
      <c r="A652" s="9"/>
      <c r="B652" s="81"/>
      <c r="C652" s="89"/>
      <c r="D652" s="83"/>
      <c r="E652" s="131"/>
      <c r="F652" s="88"/>
      <c r="G652" s="88"/>
      <c r="H652" s="41">
        <f t="shared" si="19"/>
        <v>0</v>
      </c>
      <c r="I652" s="49" t="str">
        <f t="shared" si="2"/>
        <v/>
      </c>
      <c r="J652" s="43" t="str">
        <f t="shared" si="56"/>
        <v/>
      </c>
      <c r="K652" s="78"/>
      <c r="L652" s="50">
        <f t="shared" si="54"/>
        <v>182</v>
      </c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5.75" customHeight="1">
      <c r="A653" s="9"/>
      <c r="B653" s="81"/>
      <c r="C653" s="89"/>
      <c r="D653" s="83"/>
      <c r="E653" s="96"/>
      <c r="F653" s="65"/>
      <c r="G653" s="65"/>
      <c r="H653" s="41">
        <f t="shared" si="19"/>
        <v>0</v>
      </c>
      <c r="I653" s="49" t="str">
        <f t="shared" si="2"/>
        <v/>
      </c>
      <c r="J653" s="43" t="str">
        <f t="shared" si="56"/>
        <v/>
      </c>
      <c r="K653" s="78"/>
      <c r="L653" s="50">
        <f t="shared" si="54"/>
        <v>182</v>
      </c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5.75" customHeight="1">
      <c r="A654" s="9"/>
      <c r="B654" s="81"/>
      <c r="C654" s="89"/>
      <c r="D654" s="83"/>
      <c r="E654" s="96"/>
      <c r="F654" s="65"/>
      <c r="G654" s="65"/>
      <c r="H654" s="41">
        <f t="shared" si="19"/>
        <v>0</v>
      </c>
      <c r="I654" s="49" t="str">
        <f t="shared" si="2"/>
        <v/>
      </c>
      <c r="J654" s="43" t="str">
        <f t="shared" si="56"/>
        <v/>
      </c>
      <c r="K654" s="78"/>
      <c r="L654" s="50">
        <f t="shared" si="54"/>
        <v>182</v>
      </c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5.75" customHeight="1">
      <c r="A655" s="9"/>
      <c r="B655" s="81"/>
      <c r="C655" s="89"/>
      <c r="D655" s="83"/>
      <c r="E655" s="96"/>
      <c r="F655" s="65"/>
      <c r="G655" s="65"/>
      <c r="H655" s="41">
        <f t="shared" si="19"/>
        <v>0</v>
      </c>
      <c r="I655" s="49" t="str">
        <f t="shared" si="2"/>
        <v/>
      </c>
      <c r="J655" s="43" t="str">
        <f t="shared" si="56"/>
        <v/>
      </c>
      <c r="K655" s="78"/>
      <c r="L655" s="50">
        <f t="shared" si="54"/>
        <v>182</v>
      </c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5.75" customHeight="1">
      <c r="A656" s="9"/>
      <c r="B656" s="81"/>
      <c r="C656" s="89"/>
      <c r="D656" s="83"/>
      <c r="E656" s="131"/>
      <c r="F656" s="88"/>
      <c r="G656" s="88"/>
      <c r="H656" s="41">
        <f t="shared" si="19"/>
        <v>0</v>
      </c>
      <c r="I656" s="49" t="str">
        <f t="shared" si="2"/>
        <v/>
      </c>
      <c r="J656" s="43" t="str">
        <f t="shared" si="56"/>
        <v/>
      </c>
      <c r="K656" s="78"/>
      <c r="L656" s="50">
        <f t="shared" si="54"/>
        <v>182</v>
      </c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5.75" customHeight="1">
      <c r="A657" s="9"/>
      <c r="B657" s="81"/>
      <c r="C657" s="89"/>
      <c r="D657" s="128"/>
      <c r="E657" s="96"/>
      <c r="F657" s="65"/>
      <c r="G657" s="65"/>
      <c r="H657" s="41">
        <f t="shared" si="19"/>
        <v>0</v>
      </c>
      <c r="I657" s="49" t="str">
        <f t="shared" si="2"/>
        <v/>
      </c>
      <c r="J657" s="43" t="str">
        <f t="shared" si="56"/>
        <v/>
      </c>
      <c r="K657" s="78"/>
      <c r="L657" s="50">
        <f t="shared" si="54"/>
        <v>182</v>
      </c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5.75" customHeight="1">
      <c r="A658" s="9"/>
      <c r="B658" s="81"/>
      <c r="C658" s="89"/>
      <c r="D658" s="83"/>
      <c r="E658" s="131"/>
      <c r="F658" s="88"/>
      <c r="G658" s="88"/>
      <c r="H658" s="41">
        <f t="shared" si="19"/>
        <v>0</v>
      </c>
      <c r="I658" s="49" t="str">
        <f t="shared" si="2"/>
        <v/>
      </c>
      <c r="J658" s="43" t="str">
        <f t="shared" si="56"/>
        <v/>
      </c>
      <c r="K658" s="78"/>
      <c r="L658" s="50">
        <f t="shared" si="54"/>
        <v>182</v>
      </c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5.75" customHeight="1">
      <c r="A659" s="9"/>
      <c r="B659" s="81"/>
      <c r="C659" s="89"/>
      <c r="D659" s="83"/>
      <c r="E659" s="96"/>
      <c r="F659" s="65"/>
      <c r="G659" s="65"/>
      <c r="H659" s="41">
        <f t="shared" si="19"/>
        <v>0</v>
      </c>
      <c r="I659" s="49" t="str">
        <f t="shared" si="2"/>
        <v/>
      </c>
      <c r="J659" s="43" t="str">
        <f t="shared" si="56"/>
        <v/>
      </c>
      <c r="K659" s="78"/>
      <c r="L659" s="50">
        <f t="shared" si="54"/>
        <v>182</v>
      </c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5.75" customHeight="1">
      <c r="A660" s="9"/>
      <c r="B660" s="81"/>
      <c r="C660" s="89"/>
      <c r="D660" s="83"/>
      <c r="E660" s="131"/>
      <c r="F660" s="88"/>
      <c r="G660" s="88"/>
      <c r="H660" s="41">
        <f t="shared" si="19"/>
        <v>0</v>
      </c>
      <c r="I660" s="49" t="str">
        <f t="shared" si="2"/>
        <v/>
      </c>
      <c r="J660" s="43" t="str">
        <f t="shared" si="56"/>
        <v/>
      </c>
      <c r="K660" s="78"/>
      <c r="L660" s="50">
        <f t="shared" si="54"/>
        <v>182</v>
      </c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5.75" customHeight="1">
      <c r="A661" s="9"/>
      <c r="B661" s="81"/>
      <c r="C661" s="89"/>
      <c r="D661" s="83"/>
      <c r="E661" s="131"/>
      <c r="F661" s="88"/>
      <c r="G661" s="88"/>
      <c r="H661" s="41">
        <f t="shared" si="19"/>
        <v>0</v>
      </c>
      <c r="I661" s="49" t="str">
        <f t="shared" si="2"/>
        <v/>
      </c>
      <c r="J661" s="43" t="str">
        <f t="shared" si="56"/>
        <v/>
      </c>
      <c r="K661" s="78"/>
      <c r="L661" s="50">
        <f t="shared" si="54"/>
        <v>182</v>
      </c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5.75" customHeight="1">
      <c r="A662" s="9"/>
      <c r="B662" s="81"/>
      <c r="C662" s="89"/>
      <c r="D662" s="83"/>
      <c r="E662" s="96"/>
      <c r="F662" s="65"/>
      <c r="G662" s="65"/>
      <c r="H662" s="41">
        <f t="shared" si="19"/>
        <v>0</v>
      </c>
      <c r="I662" s="49" t="str">
        <f t="shared" si="2"/>
        <v/>
      </c>
      <c r="J662" s="43" t="str">
        <f t="shared" si="56"/>
        <v/>
      </c>
      <c r="K662" s="78"/>
      <c r="L662" s="50">
        <f t="shared" si="54"/>
        <v>182</v>
      </c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5.75" customHeight="1">
      <c r="A663" s="9"/>
      <c r="B663" s="81"/>
      <c r="C663" s="89"/>
      <c r="D663" s="83"/>
      <c r="E663" s="96"/>
      <c r="F663" s="65"/>
      <c r="G663" s="65"/>
      <c r="H663" s="41">
        <f t="shared" si="19"/>
        <v>0</v>
      </c>
      <c r="I663" s="49" t="str">
        <f t="shared" si="2"/>
        <v/>
      </c>
      <c r="J663" s="43" t="str">
        <f t="shared" si="56"/>
        <v/>
      </c>
      <c r="K663" s="78"/>
      <c r="L663" s="50">
        <f t="shared" si="54"/>
        <v>182</v>
      </c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5.75" customHeight="1">
      <c r="A664" s="9"/>
      <c r="B664" s="81"/>
      <c r="C664" s="89"/>
      <c r="D664" s="83"/>
      <c r="E664" s="131"/>
      <c r="F664" s="88"/>
      <c r="G664" s="88"/>
      <c r="H664" s="41">
        <f t="shared" si="19"/>
        <v>0</v>
      </c>
      <c r="I664" s="49" t="str">
        <f t="shared" si="2"/>
        <v/>
      </c>
      <c r="J664" s="43" t="str">
        <f t="shared" si="56"/>
        <v/>
      </c>
      <c r="K664" s="78"/>
      <c r="L664" s="50">
        <f t="shared" si="54"/>
        <v>182</v>
      </c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5.75" customHeight="1">
      <c r="A665" s="9"/>
      <c r="B665" s="81"/>
      <c r="C665" s="89"/>
      <c r="D665" s="83"/>
      <c r="E665" s="131"/>
      <c r="F665" s="88"/>
      <c r="G665" s="88"/>
      <c r="H665" s="41">
        <f t="shared" si="19"/>
        <v>0</v>
      </c>
      <c r="I665" s="49" t="str">
        <f t="shared" si="2"/>
        <v/>
      </c>
      <c r="J665" s="43" t="str">
        <f t="shared" si="56"/>
        <v/>
      </c>
      <c r="K665" s="78"/>
      <c r="L665" s="50">
        <f t="shared" si="54"/>
        <v>182</v>
      </c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5.75" customHeight="1">
      <c r="A666" s="9"/>
      <c r="B666" s="81"/>
      <c r="C666" s="89"/>
      <c r="D666" s="83"/>
      <c r="E666" s="131"/>
      <c r="F666" s="88"/>
      <c r="G666" s="88"/>
      <c r="H666" s="41">
        <f t="shared" si="19"/>
        <v>0</v>
      </c>
      <c r="I666" s="49" t="str">
        <f t="shared" si="2"/>
        <v/>
      </c>
      <c r="J666" s="43" t="str">
        <f t="shared" si="56"/>
        <v/>
      </c>
      <c r="K666" s="78"/>
      <c r="L666" s="50">
        <f t="shared" si="54"/>
        <v>182</v>
      </c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5.75" customHeight="1">
      <c r="A667" s="9"/>
      <c r="B667" s="81"/>
      <c r="C667" s="89"/>
      <c r="D667" s="128"/>
      <c r="E667" s="96"/>
      <c r="F667" s="65"/>
      <c r="G667" s="65"/>
      <c r="H667" s="41">
        <f t="shared" si="19"/>
        <v>0</v>
      </c>
      <c r="I667" s="49" t="str">
        <f t="shared" si="2"/>
        <v/>
      </c>
      <c r="J667" s="43" t="str">
        <f t="shared" si="56"/>
        <v/>
      </c>
      <c r="K667" s="78"/>
      <c r="L667" s="50">
        <f t="shared" si="54"/>
        <v>182</v>
      </c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5.75" customHeight="1">
      <c r="A668" s="9"/>
      <c r="B668" s="81"/>
      <c r="C668" s="89"/>
      <c r="D668" s="83"/>
      <c r="E668" s="96"/>
      <c r="F668" s="65"/>
      <c r="G668" s="65"/>
      <c r="H668" s="41">
        <f t="shared" si="19"/>
        <v>0</v>
      </c>
      <c r="I668" s="49" t="str">
        <f t="shared" si="2"/>
        <v/>
      </c>
      <c r="J668" s="43" t="str">
        <f t="shared" si="56"/>
        <v/>
      </c>
      <c r="K668" s="78"/>
      <c r="L668" s="50">
        <f t="shared" si="54"/>
        <v>182</v>
      </c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5.75" customHeight="1">
      <c r="A669" s="9"/>
      <c r="B669" s="81"/>
      <c r="C669" s="89"/>
      <c r="D669" s="83"/>
      <c r="E669" s="131"/>
      <c r="F669" s="88"/>
      <c r="G669" s="88"/>
      <c r="H669" s="41">
        <f t="shared" si="19"/>
        <v>0</v>
      </c>
      <c r="I669" s="49" t="str">
        <f t="shared" si="2"/>
        <v/>
      </c>
      <c r="J669" s="43" t="str">
        <f t="shared" si="56"/>
        <v/>
      </c>
      <c r="K669" s="78"/>
      <c r="L669" s="50">
        <f t="shared" si="54"/>
        <v>182</v>
      </c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5.75" customHeight="1">
      <c r="A670" s="9"/>
      <c r="B670" s="81"/>
      <c r="C670" s="89"/>
      <c r="D670" s="83"/>
      <c r="E670" s="131"/>
      <c r="F670" s="88"/>
      <c r="G670" s="88"/>
      <c r="H670" s="41">
        <f t="shared" si="19"/>
        <v>0</v>
      </c>
      <c r="I670" s="49" t="str">
        <f t="shared" si="2"/>
        <v/>
      </c>
      <c r="J670" s="43" t="str">
        <f t="shared" si="56"/>
        <v/>
      </c>
      <c r="K670" s="78"/>
      <c r="L670" s="50">
        <f t="shared" si="54"/>
        <v>182</v>
      </c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5.75" customHeight="1">
      <c r="A671" s="9"/>
      <c r="B671" s="81"/>
      <c r="C671" s="89"/>
      <c r="D671" s="83"/>
      <c r="E671" s="131"/>
      <c r="F671" s="88"/>
      <c r="G671" s="88"/>
      <c r="H671" s="41">
        <f t="shared" si="19"/>
        <v>0</v>
      </c>
      <c r="I671" s="49" t="str">
        <f t="shared" si="2"/>
        <v/>
      </c>
      <c r="J671" s="43"/>
      <c r="K671" s="78"/>
      <c r="L671" s="50">
        <f t="shared" si="54"/>
        <v>182</v>
      </c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5.75" customHeight="1">
      <c r="A672" s="9"/>
      <c r="B672" s="81"/>
      <c r="C672" s="89"/>
      <c r="D672" s="83"/>
      <c r="E672" s="96"/>
      <c r="F672" s="225"/>
      <c r="G672" s="225"/>
      <c r="H672" s="41">
        <f t="shared" si="19"/>
        <v>0</v>
      </c>
      <c r="I672" s="49" t="str">
        <f t="shared" si="2"/>
        <v/>
      </c>
      <c r="J672" s="43" t="str">
        <f t="shared" ref="J672:J679" si="57">IF(ISERROR(MAX(E672:G672)/H672-1),"",(MAX(E672:G672)/H672-1))</f>
        <v/>
      </c>
      <c r="K672" s="78"/>
      <c r="L672" s="50">
        <f t="shared" si="54"/>
        <v>182</v>
      </c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5.75" customHeight="1">
      <c r="A673" s="9"/>
      <c r="B673" s="81"/>
      <c r="C673" s="89"/>
      <c r="D673" s="83"/>
      <c r="E673" s="131"/>
      <c r="F673" s="88"/>
      <c r="G673" s="88"/>
      <c r="H673" s="41">
        <f t="shared" si="19"/>
        <v>0</v>
      </c>
      <c r="I673" s="49" t="str">
        <f t="shared" si="2"/>
        <v/>
      </c>
      <c r="J673" s="43" t="str">
        <f t="shared" si="57"/>
        <v/>
      </c>
      <c r="K673" s="78"/>
      <c r="L673" s="50">
        <f t="shared" si="54"/>
        <v>182</v>
      </c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5.75" customHeight="1">
      <c r="A674" s="9"/>
      <c r="B674" s="81"/>
      <c r="C674" s="89"/>
      <c r="D674" s="128"/>
      <c r="E674" s="96"/>
      <c r="F674" s="65"/>
      <c r="G674" s="65"/>
      <c r="H674" s="41">
        <f t="shared" si="19"/>
        <v>0</v>
      </c>
      <c r="I674" s="49" t="str">
        <f t="shared" si="2"/>
        <v/>
      </c>
      <c r="J674" s="43" t="str">
        <f t="shared" si="57"/>
        <v/>
      </c>
      <c r="K674" s="78"/>
      <c r="L674" s="50">
        <f t="shared" si="54"/>
        <v>182</v>
      </c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5.75" customHeight="1">
      <c r="A675" s="9"/>
      <c r="B675" s="81"/>
      <c r="C675" s="89"/>
      <c r="D675" s="83"/>
      <c r="E675" s="96"/>
      <c r="F675" s="225"/>
      <c r="G675" s="225"/>
      <c r="H675" s="41">
        <f t="shared" si="19"/>
        <v>0</v>
      </c>
      <c r="I675" s="49" t="str">
        <f t="shared" si="2"/>
        <v/>
      </c>
      <c r="J675" s="43" t="str">
        <f t="shared" si="57"/>
        <v/>
      </c>
      <c r="K675" s="78"/>
      <c r="L675" s="50">
        <f t="shared" si="54"/>
        <v>182</v>
      </c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5.75" customHeight="1">
      <c r="A676" s="9"/>
      <c r="B676" s="81"/>
      <c r="C676" s="89"/>
      <c r="D676" s="83"/>
      <c r="E676" s="96"/>
      <c r="F676" s="65"/>
      <c r="G676" s="65"/>
      <c r="H676" s="41">
        <f t="shared" si="19"/>
        <v>0</v>
      </c>
      <c r="I676" s="49" t="str">
        <f t="shared" si="2"/>
        <v/>
      </c>
      <c r="J676" s="43" t="str">
        <f t="shared" si="57"/>
        <v/>
      </c>
      <c r="K676" s="78"/>
      <c r="L676" s="50">
        <f t="shared" si="54"/>
        <v>182</v>
      </c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5.75" customHeight="1">
      <c r="A677" s="9"/>
      <c r="B677" s="81"/>
      <c r="C677" s="89"/>
      <c r="D677" s="83"/>
      <c r="E677" s="96"/>
      <c r="F677" s="65"/>
      <c r="G677" s="65"/>
      <c r="H677" s="41">
        <f t="shared" si="19"/>
        <v>0</v>
      </c>
      <c r="I677" s="49" t="str">
        <f t="shared" si="2"/>
        <v/>
      </c>
      <c r="J677" s="43" t="str">
        <f t="shared" si="57"/>
        <v/>
      </c>
      <c r="K677" s="78"/>
      <c r="L677" s="50">
        <f t="shared" si="54"/>
        <v>182</v>
      </c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5.75" customHeight="1">
      <c r="A678" s="9"/>
      <c r="B678" s="81"/>
      <c r="C678" s="89"/>
      <c r="D678" s="83"/>
      <c r="E678" s="96"/>
      <c r="F678" s="65"/>
      <c r="G678" s="65"/>
      <c r="H678" s="41">
        <f t="shared" si="19"/>
        <v>0</v>
      </c>
      <c r="I678" s="49" t="str">
        <f t="shared" si="2"/>
        <v/>
      </c>
      <c r="J678" s="43" t="str">
        <f t="shared" si="57"/>
        <v/>
      </c>
      <c r="K678" s="78"/>
      <c r="L678" s="50">
        <f t="shared" si="54"/>
        <v>182</v>
      </c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5.75" customHeight="1">
      <c r="A679" s="9"/>
      <c r="B679" s="81"/>
      <c r="C679" s="89"/>
      <c r="D679" s="83"/>
      <c r="E679" s="96"/>
      <c r="F679" s="65"/>
      <c r="G679" s="65"/>
      <c r="H679" s="41">
        <f t="shared" si="19"/>
        <v>0</v>
      </c>
      <c r="I679" s="49" t="str">
        <f t="shared" si="2"/>
        <v/>
      </c>
      <c r="J679" s="43" t="str">
        <f t="shared" si="57"/>
        <v/>
      </c>
      <c r="K679" s="78"/>
      <c r="L679" s="50">
        <f t="shared" si="54"/>
        <v>182</v>
      </c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5.75" customHeight="1">
      <c r="A680" s="9"/>
      <c r="B680" s="81"/>
      <c r="C680" s="89"/>
      <c r="D680" s="83"/>
      <c r="E680" s="131"/>
      <c r="F680" s="88"/>
      <c r="G680" s="88"/>
      <c r="H680" s="41">
        <f t="shared" si="19"/>
        <v>0</v>
      </c>
      <c r="I680" s="49" t="str">
        <f t="shared" si="2"/>
        <v/>
      </c>
      <c r="J680" s="43"/>
      <c r="K680" s="78"/>
      <c r="L680" s="50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5.75" customHeight="1">
      <c r="A681" s="9"/>
      <c r="B681" s="81"/>
      <c r="C681" s="89"/>
      <c r="D681" s="83"/>
      <c r="E681" s="131"/>
      <c r="F681" s="88"/>
      <c r="G681" s="88"/>
      <c r="H681" s="41">
        <f t="shared" si="19"/>
        <v>0</v>
      </c>
      <c r="I681" s="49" t="str">
        <f t="shared" si="2"/>
        <v/>
      </c>
      <c r="J681" s="43"/>
      <c r="K681" s="78"/>
      <c r="L681" s="50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5.75" customHeight="1">
      <c r="A682" s="9"/>
      <c r="B682" s="81"/>
      <c r="C682" s="89"/>
      <c r="D682" s="83"/>
      <c r="E682" s="96"/>
      <c r="F682" s="65"/>
      <c r="G682" s="65"/>
      <c r="H682" s="41">
        <f t="shared" si="19"/>
        <v>0</v>
      </c>
      <c r="I682" s="49" t="str">
        <f t="shared" si="2"/>
        <v/>
      </c>
      <c r="J682" s="43"/>
      <c r="K682" s="78"/>
      <c r="L682" s="50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5.75" customHeight="1">
      <c r="A683" s="9"/>
      <c r="B683" s="81"/>
      <c r="C683" s="89"/>
      <c r="D683" s="83"/>
      <c r="E683" s="96"/>
      <c r="F683" s="65"/>
      <c r="G683" s="65"/>
      <c r="H683" s="41">
        <f t="shared" si="19"/>
        <v>0</v>
      </c>
      <c r="I683" s="49" t="str">
        <f t="shared" si="2"/>
        <v/>
      </c>
      <c r="J683" s="43"/>
      <c r="K683" s="78"/>
      <c r="L683" s="50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5.75" customHeight="1">
      <c r="A684" s="9"/>
      <c r="B684" s="81"/>
      <c r="C684" s="89"/>
      <c r="D684" s="83"/>
      <c r="E684" s="96"/>
      <c r="F684" s="65"/>
      <c r="G684" s="65"/>
      <c r="H684" s="41">
        <f t="shared" si="19"/>
        <v>0</v>
      </c>
      <c r="I684" s="49" t="str">
        <f t="shared" si="2"/>
        <v/>
      </c>
      <c r="J684" s="43"/>
      <c r="K684" s="78"/>
      <c r="L684" s="50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5.75" customHeight="1">
      <c r="A685" s="9"/>
      <c r="B685" s="81"/>
      <c r="C685" s="89"/>
      <c r="D685" s="83"/>
      <c r="E685" s="96"/>
      <c r="F685" s="65"/>
      <c r="G685" s="65"/>
      <c r="H685" s="41">
        <f t="shared" si="19"/>
        <v>0</v>
      </c>
      <c r="I685" s="49" t="str">
        <f t="shared" si="2"/>
        <v/>
      </c>
      <c r="J685" s="43"/>
      <c r="K685" s="78"/>
      <c r="L685" s="50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5.75" customHeight="1">
      <c r="A686" s="9"/>
      <c r="B686" s="81"/>
      <c r="C686" s="89"/>
      <c r="D686" s="83"/>
      <c r="E686" s="96"/>
      <c r="F686" s="65"/>
      <c r="G686" s="65"/>
      <c r="H686" s="41">
        <f t="shared" si="19"/>
        <v>0</v>
      </c>
      <c r="I686" s="49" t="str">
        <f t="shared" si="2"/>
        <v/>
      </c>
      <c r="J686" s="43"/>
      <c r="K686" s="78"/>
      <c r="L686" s="50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5.75" customHeight="1">
      <c r="A687" s="9"/>
      <c r="B687" s="81"/>
      <c r="C687" s="89"/>
      <c r="D687" s="83"/>
      <c r="E687" s="96"/>
      <c r="F687" s="65"/>
      <c r="G687" s="65"/>
      <c r="H687" s="41">
        <f t="shared" si="19"/>
        <v>0</v>
      </c>
      <c r="I687" s="49" t="str">
        <f t="shared" si="2"/>
        <v/>
      </c>
      <c r="J687" s="43"/>
      <c r="K687" s="78"/>
      <c r="L687" s="50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5.75" customHeight="1">
      <c r="A688" s="9"/>
      <c r="B688" s="81"/>
      <c r="C688" s="89"/>
      <c r="D688" s="83"/>
      <c r="E688" s="131"/>
      <c r="F688" s="88"/>
      <c r="G688" s="88"/>
      <c r="H688" s="41">
        <f t="shared" si="19"/>
        <v>0</v>
      </c>
      <c r="I688" s="49" t="str">
        <f t="shared" si="2"/>
        <v/>
      </c>
      <c r="J688" s="43" t="str">
        <f t="shared" ref="J688:J697" si="58">IF(ISERROR(MAX(E688:G688)/H688-1),"",(MAX(E688:G688)/H688-1))</f>
        <v/>
      </c>
      <c r="K688" s="78"/>
      <c r="L688" s="50">
        <f t="shared" ref="L688:L716" si="59">EDATE(K688,6)</f>
        <v>182</v>
      </c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5.75" customHeight="1">
      <c r="A689" s="9"/>
      <c r="B689" s="81"/>
      <c r="C689" s="89"/>
      <c r="D689" s="83"/>
      <c r="E689" s="96"/>
      <c r="F689" s="65"/>
      <c r="G689" s="65"/>
      <c r="H689" s="41">
        <f t="shared" si="19"/>
        <v>0</v>
      </c>
      <c r="I689" s="49" t="str">
        <f t="shared" si="2"/>
        <v/>
      </c>
      <c r="J689" s="43" t="str">
        <f t="shared" si="58"/>
        <v/>
      </c>
      <c r="K689" s="78"/>
      <c r="L689" s="50">
        <f t="shared" si="59"/>
        <v>182</v>
      </c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5.75" customHeight="1">
      <c r="A690" s="9"/>
      <c r="B690" s="81"/>
      <c r="C690" s="89"/>
      <c r="D690" s="83"/>
      <c r="E690" s="131"/>
      <c r="F690" s="88"/>
      <c r="G690" s="88"/>
      <c r="H690" s="41">
        <f t="shared" si="19"/>
        <v>0</v>
      </c>
      <c r="I690" s="49" t="str">
        <f t="shared" si="2"/>
        <v/>
      </c>
      <c r="J690" s="43" t="str">
        <f t="shared" si="58"/>
        <v/>
      </c>
      <c r="K690" s="78"/>
      <c r="L690" s="50">
        <f t="shared" si="59"/>
        <v>182</v>
      </c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5.75" customHeight="1">
      <c r="A691" s="9"/>
      <c r="B691" s="81"/>
      <c r="C691" s="89"/>
      <c r="D691" s="83"/>
      <c r="E691" s="131"/>
      <c r="F691" s="88"/>
      <c r="G691" s="88"/>
      <c r="H691" s="41">
        <f t="shared" si="19"/>
        <v>0</v>
      </c>
      <c r="I691" s="49" t="str">
        <f t="shared" si="2"/>
        <v/>
      </c>
      <c r="J691" s="43" t="str">
        <f t="shared" si="58"/>
        <v/>
      </c>
      <c r="K691" s="78"/>
      <c r="L691" s="50">
        <f t="shared" si="59"/>
        <v>182</v>
      </c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5.75" customHeight="1">
      <c r="A692" s="9"/>
      <c r="B692" s="81"/>
      <c r="C692" s="89"/>
      <c r="D692" s="83"/>
      <c r="E692" s="96"/>
      <c r="F692" s="65"/>
      <c r="G692" s="65"/>
      <c r="H692" s="41">
        <f t="shared" si="19"/>
        <v>0</v>
      </c>
      <c r="I692" s="49" t="str">
        <f t="shared" si="2"/>
        <v/>
      </c>
      <c r="J692" s="43" t="str">
        <f t="shared" si="58"/>
        <v/>
      </c>
      <c r="K692" s="78"/>
      <c r="L692" s="50">
        <f t="shared" si="59"/>
        <v>182</v>
      </c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5.75" customHeight="1">
      <c r="A693" s="9"/>
      <c r="B693" s="81"/>
      <c r="C693" s="89"/>
      <c r="D693" s="83"/>
      <c r="E693" s="96"/>
      <c r="F693" s="65"/>
      <c r="G693" s="65"/>
      <c r="H693" s="41">
        <f t="shared" si="19"/>
        <v>0</v>
      </c>
      <c r="I693" s="49" t="str">
        <f t="shared" si="2"/>
        <v/>
      </c>
      <c r="J693" s="43" t="str">
        <f t="shared" si="58"/>
        <v/>
      </c>
      <c r="K693" s="78"/>
      <c r="L693" s="50">
        <f t="shared" si="59"/>
        <v>182</v>
      </c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5.75" customHeight="1">
      <c r="A694" s="9"/>
      <c r="B694" s="81"/>
      <c r="C694" s="89"/>
      <c r="D694" s="83"/>
      <c r="E694" s="96"/>
      <c r="F694" s="65"/>
      <c r="G694" s="65"/>
      <c r="H694" s="41">
        <f t="shared" si="19"/>
        <v>0</v>
      </c>
      <c r="I694" s="49" t="str">
        <f t="shared" si="2"/>
        <v/>
      </c>
      <c r="J694" s="43" t="str">
        <f t="shared" si="58"/>
        <v/>
      </c>
      <c r="K694" s="78"/>
      <c r="L694" s="50">
        <f t="shared" si="59"/>
        <v>182</v>
      </c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5.75" customHeight="1">
      <c r="A695" s="9"/>
      <c r="B695" s="81"/>
      <c r="C695" s="89"/>
      <c r="D695" s="83"/>
      <c r="E695" s="96"/>
      <c r="F695" s="65"/>
      <c r="G695" s="88"/>
      <c r="H695" s="41">
        <f t="shared" si="19"/>
        <v>0</v>
      </c>
      <c r="I695" s="49" t="str">
        <f t="shared" si="2"/>
        <v/>
      </c>
      <c r="J695" s="43" t="str">
        <f t="shared" si="58"/>
        <v/>
      </c>
      <c r="K695" s="78"/>
      <c r="L695" s="50">
        <f t="shared" si="59"/>
        <v>182</v>
      </c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5.75" customHeight="1">
      <c r="A696" s="9"/>
      <c r="B696" s="81"/>
      <c r="C696" s="89"/>
      <c r="D696" s="83"/>
      <c r="E696" s="131"/>
      <c r="F696" s="88"/>
      <c r="G696" s="88"/>
      <c r="H696" s="41">
        <f t="shared" si="19"/>
        <v>0</v>
      </c>
      <c r="I696" s="49" t="str">
        <f t="shared" si="2"/>
        <v/>
      </c>
      <c r="J696" s="43" t="str">
        <f t="shared" si="58"/>
        <v/>
      </c>
      <c r="K696" s="78"/>
      <c r="L696" s="50">
        <f t="shared" si="59"/>
        <v>182</v>
      </c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5.75" customHeight="1">
      <c r="A697" s="9"/>
      <c r="B697" s="81"/>
      <c r="C697" s="89"/>
      <c r="D697" s="83"/>
      <c r="E697" s="131"/>
      <c r="F697" s="88"/>
      <c r="G697" s="88"/>
      <c r="H697" s="41">
        <f t="shared" si="19"/>
        <v>0</v>
      </c>
      <c r="I697" s="49" t="str">
        <f t="shared" si="2"/>
        <v/>
      </c>
      <c r="J697" s="43" t="str">
        <f t="shared" si="58"/>
        <v/>
      </c>
      <c r="K697" s="78"/>
      <c r="L697" s="50">
        <f t="shared" si="59"/>
        <v>182</v>
      </c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5.75" customHeight="1">
      <c r="A698" s="9"/>
      <c r="B698" s="81"/>
      <c r="C698" s="89"/>
      <c r="D698" s="83"/>
      <c r="E698" s="96"/>
      <c r="F698" s="65"/>
      <c r="G698" s="65"/>
      <c r="H698" s="41">
        <f t="shared" si="19"/>
        <v>0</v>
      </c>
      <c r="I698" s="49" t="str">
        <f t="shared" si="2"/>
        <v/>
      </c>
      <c r="J698" s="125"/>
      <c r="K698" s="50"/>
      <c r="L698" s="50">
        <f t="shared" si="59"/>
        <v>182</v>
      </c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5.75" customHeight="1">
      <c r="A699" s="9"/>
      <c r="B699" s="81"/>
      <c r="C699" s="89"/>
      <c r="D699" s="83"/>
      <c r="E699" s="96"/>
      <c r="F699" s="65"/>
      <c r="G699" s="65"/>
      <c r="H699" s="41">
        <f t="shared" si="19"/>
        <v>0</v>
      </c>
      <c r="I699" s="49" t="str">
        <f t="shared" si="2"/>
        <v/>
      </c>
      <c r="J699" s="125"/>
      <c r="K699" s="50"/>
      <c r="L699" s="50">
        <f t="shared" si="59"/>
        <v>182</v>
      </c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5.75" customHeight="1">
      <c r="A700" s="9"/>
      <c r="B700" s="81"/>
      <c r="C700" s="89"/>
      <c r="D700" s="83"/>
      <c r="E700" s="96"/>
      <c r="F700" s="65"/>
      <c r="G700" s="65"/>
      <c r="H700" s="41">
        <f t="shared" si="19"/>
        <v>0</v>
      </c>
      <c r="I700" s="49" t="str">
        <f t="shared" si="2"/>
        <v/>
      </c>
      <c r="J700" s="43" t="str">
        <f t="shared" ref="J700:J701" si="60">IF(ISERROR(MAX(E700:G700)/H700-1),"",(MAX(E700:G700)/H700-1))</f>
        <v/>
      </c>
      <c r="K700" s="78"/>
      <c r="L700" s="50">
        <f t="shared" si="59"/>
        <v>182</v>
      </c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5.75" customHeight="1">
      <c r="A701" s="9"/>
      <c r="B701" s="81"/>
      <c r="C701" s="89"/>
      <c r="D701" s="83"/>
      <c r="E701" s="96"/>
      <c r="F701" s="65"/>
      <c r="G701" s="225"/>
      <c r="H701" s="41">
        <f t="shared" si="19"/>
        <v>0</v>
      </c>
      <c r="I701" s="49" t="str">
        <f t="shared" si="2"/>
        <v/>
      </c>
      <c r="J701" s="43" t="str">
        <f t="shared" si="60"/>
        <v/>
      </c>
      <c r="K701" s="78"/>
      <c r="L701" s="50">
        <f t="shared" si="59"/>
        <v>182</v>
      </c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5.75" customHeight="1">
      <c r="A702" s="9"/>
      <c r="B702" s="81"/>
      <c r="C702" s="89"/>
      <c r="D702" s="83"/>
      <c r="E702" s="96"/>
      <c r="F702" s="65"/>
      <c r="G702" s="65"/>
      <c r="H702" s="41">
        <f t="shared" si="19"/>
        <v>0</v>
      </c>
      <c r="I702" s="49" t="str">
        <f t="shared" si="2"/>
        <v/>
      </c>
      <c r="J702" s="43"/>
      <c r="K702" s="78"/>
      <c r="L702" s="50">
        <f t="shared" si="59"/>
        <v>182</v>
      </c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5.75" customHeight="1">
      <c r="A703" s="9"/>
      <c r="B703" s="81"/>
      <c r="C703" s="89"/>
      <c r="D703" s="83"/>
      <c r="E703" s="131"/>
      <c r="F703" s="88"/>
      <c r="G703" s="88"/>
      <c r="H703" s="41">
        <f t="shared" si="19"/>
        <v>0</v>
      </c>
      <c r="I703" s="49" t="str">
        <f t="shared" si="2"/>
        <v/>
      </c>
      <c r="J703" s="43" t="str">
        <f t="shared" ref="J703:J716" si="61">IF(ISERROR(MAX(E703:G703)/H703-1),"",(MAX(E703:G703)/H703-1))</f>
        <v/>
      </c>
      <c r="K703" s="78"/>
      <c r="L703" s="50">
        <f t="shared" si="59"/>
        <v>182</v>
      </c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5.75" customHeight="1">
      <c r="A704" s="9"/>
      <c r="B704" s="81"/>
      <c r="C704" s="89"/>
      <c r="D704" s="83"/>
      <c r="E704" s="131"/>
      <c r="F704" s="88"/>
      <c r="G704" s="88"/>
      <c r="H704" s="41">
        <f t="shared" si="19"/>
        <v>0</v>
      </c>
      <c r="I704" s="49" t="str">
        <f t="shared" si="2"/>
        <v/>
      </c>
      <c r="J704" s="43" t="str">
        <f t="shared" si="61"/>
        <v/>
      </c>
      <c r="K704" s="78"/>
      <c r="L704" s="50">
        <f t="shared" si="59"/>
        <v>182</v>
      </c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5.75" customHeight="1">
      <c r="A705" s="9"/>
      <c r="B705" s="81"/>
      <c r="C705" s="89"/>
      <c r="D705" s="83"/>
      <c r="E705" s="131"/>
      <c r="F705" s="88"/>
      <c r="G705" s="88"/>
      <c r="H705" s="41">
        <f t="shared" si="19"/>
        <v>0</v>
      </c>
      <c r="I705" s="49" t="str">
        <f t="shared" si="2"/>
        <v/>
      </c>
      <c r="J705" s="43" t="str">
        <f t="shared" si="61"/>
        <v/>
      </c>
      <c r="K705" s="78"/>
      <c r="L705" s="50">
        <f t="shared" si="59"/>
        <v>182</v>
      </c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5.75" customHeight="1">
      <c r="A706" s="9"/>
      <c r="B706" s="81"/>
      <c r="C706" s="89"/>
      <c r="D706" s="83"/>
      <c r="E706" s="131"/>
      <c r="F706" s="88"/>
      <c r="G706" s="88"/>
      <c r="H706" s="41">
        <f t="shared" si="19"/>
        <v>0</v>
      </c>
      <c r="I706" s="49" t="str">
        <f t="shared" si="2"/>
        <v/>
      </c>
      <c r="J706" s="43" t="str">
        <f t="shared" si="61"/>
        <v/>
      </c>
      <c r="K706" s="78"/>
      <c r="L706" s="50">
        <f t="shared" si="59"/>
        <v>182</v>
      </c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5.75" customHeight="1">
      <c r="A707" s="9"/>
      <c r="B707" s="81"/>
      <c r="C707" s="89"/>
      <c r="D707" s="83"/>
      <c r="E707" s="131"/>
      <c r="F707" s="88"/>
      <c r="G707" s="88"/>
      <c r="H707" s="41">
        <f t="shared" si="19"/>
        <v>0</v>
      </c>
      <c r="I707" s="49" t="str">
        <f t="shared" si="2"/>
        <v/>
      </c>
      <c r="J707" s="43" t="str">
        <f t="shared" si="61"/>
        <v/>
      </c>
      <c r="K707" s="78"/>
      <c r="L707" s="50">
        <f t="shared" si="59"/>
        <v>182</v>
      </c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5.75" customHeight="1">
      <c r="A708" s="9"/>
      <c r="B708" s="81"/>
      <c r="C708" s="89"/>
      <c r="D708" s="83"/>
      <c r="E708" s="131"/>
      <c r="F708" s="88"/>
      <c r="G708" s="88"/>
      <c r="H708" s="41">
        <f t="shared" si="19"/>
        <v>0</v>
      </c>
      <c r="I708" s="49" t="str">
        <f t="shared" si="2"/>
        <v/>
      </c>
      <c r="J708" s="43" t="str">
        <f t="shared" si="61"/>
        <v/>
      </c>
      <c r="K708" s="78"/>
      <c r="L708" s="50">
        <f t="shared" si="59"/>
        <v>182</v>
      </c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5.75" customHeight="1">
      <c r="A709" s="9"/>
      <c r="B709" s="81"/>
      <c r="C709" s="89"/>
      <c r="D709" s="83"/>
      <c r="E709" s="131"/>
      <c r="F709" s="88"/>
      <c r="G709" s="88"/>
      <c r="H709" s="41">
        <f t="shared" si="19"/>
        <v>0</v>
      </c>
      <c r="I709" s="49" t="str">
        <f t="shared" si="2"/>
        <v/>
      </c>
      <c r="J709" s="43" t="str">
        <f t="shared" si="61"/>
        <v/>
      </c>
      <c r="K709" s="78"/>
      <c r="L709" s="50">
        <f t="shared" si="59"/>
        <v>182</v>
      </c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5.75" customHeight="1">
      <c r="A710" s="9"/>
      <c r="B710" s="81"/>
      <c r="C710" s="89"/>
      <c r="D710" s="83"/>
      <c r="E710" s="131"/>
      <c r="F710" s="227"/>
      <c r="G710" s="88"/>
      <c r="H710" s="41">
        <f t="shared" si="19"/>
        <v>0</v>
      </c>
      <c r="I710" s="49" t="str">
        <f t="shared" si="2"/>
        <v/>
      </c>
      <c r="J710" s="43" t="str">
        <f t="shared" si="61"/>
        <v/>
      </c>
      <c r="K710" s="78"/>
      <c r="L710" s="50">
        <f t="shared" si="59"/>
        <v>182</v>
      </c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5.75" customHeight="1">
      <c r="A711" s="9"/>
      <c r="B711" s="81"/>
      <c r="C711" s="89"/>
      <c r="D711" s="83"/>
      <c r="E711" s="131"/>
      <c r="F711" s="227"/>
      <c r="G711" s="88"/>
      <c r="H711" s="41">
        <f t="shared" si="19"/>
        <v>0</v>
      </c>
      <c r="I711" s="49" t="str">
        <f t="shared" si="2"/>
        <v/>
      </c>
      <c r="J711" s="43" t="str">
        <f t="shared" si="61"/>
        <v/>
      </c>
      <c r="K711" s="78"/>
      <c r="L711" s="50">
        <f t="shared" si="59"/>
        <v>182</v>
      </c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5.75" customHeight="1">
      <c r="A712" s="9"/>
      <c r="B712" s="81"/>
      <c r="C712" s="89"/>
      <c r="D712" s="83"/>
      <c r="E712" s="131"/>
      <c r="F712" s="88"/>
      <c r="G712" s="88"/>
      <c r="H712" s="41">
        <f t="shared" si="19"/>
        <v>0</v>
      </c>
      <c r="I712" s="49" t="str">
        <f t="shared" si="2"/>
        <v/>
      </c>
      <c r="J712" s="43" t="str">
        <f t="shared" si="61"/>
        <v/>
      </c>
      <c r="K712" s="78"/>
      <c r="L712" s="50">
        <f t="shared" si="59"/>
        <v>182</v>
      </c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5.75" customHeight="1">
      <c r="A713" s="9"/>
      <c r="B713" s="81"/>
      <c r="C713" s="89"/>
      <c r="D713" s="83"/>
      <c r="E713" s="131"/>
      <c r="F713" s="88"/>
      <c r="G713" s="88"/>
      <c r="H713" s="41">
        <f t="shared" si="19"/>
        <v>0</v>
      </c>
      <c r="I713" s="49" t="str">
        <f t="shared" si="2"/>
        <v/>
      </c>
      <c r="J713" s="43" t="str">
        <f t="shared" si="61"/>
        <v/>
      </c>
      <c r="K713" s="78"/>
      <c r="L713" s="50">
        <f t="shared" si="59"/>
        <v>182</v>
      </c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5.75" customHeight="1">
      <c r="A714" s="9"/>
      <c r="B714" s="81"/>
      <c r="C714" s="89"/>
      <c r="D714" s="83"/>
      <c r="E714" s="131"/>
      <c r="F714" s="227"/>
      <c r="G714" s="227"/>
      <c r="H714" s="41">
        <f t="shared" si="19"/>
        <v>0</v>
      </c>
      <c r="I714" s="49" t="str">
        <f t="shared" si="2"/>
        <v/>
      </c>
      <c r="J714" s="43" t="str">
        <f t="shared" si="61"/>
        <v/>
      </c>
      <c r="K714" s="78"/>
      <c r="L714" s="50">
        <f t="shared" si="59"/>
        <v>182</v>
      </c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5.75" customHeight="1">
      <c r="A715" s="9"/>
      <c r="B715" s="81"/>
      <c r="C715" s="89"/>
      <c r="D715" s="83"/>
      <c r="E715" s="131"/>
      <c r="F715" s="227"/>
      <c r="G715" s="227"/>
      <c r="H715" s="41">
        <f t="shared" si="19"/>
        <v>0</v>
      </c>
      <c r="I715" s="49" t="str">
        <f t="shared" si="2"/>
        <v/>
      </c>
      <c r="J715" s="43" t="str">
        <f t="shared" si="61"/>
        <v/>
      </c>
      <c r="K715" s="78"/>
      <c r="L715" s="50">
        <f t="shared" si="59"/>
        <v>182</v>
      </c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5.75" customHeight="1">
      <c r="A716" s="9"/>
      <c r="B716" s="81"/>
      <c r="C716" s="89"/>
      <c r="D716" s="83"/>
      <c r="E716" s="131"/>
      <c r="F716" s="227"/>
      <c r="G716" s="88"/>
      <c r="H716" s="41">
        <f t="shared" si="19"/>
        <v>0</v>
      </c>
      <c r="I716" s="49" t="str">
        <f t="shared" si="2"/>
        <v/>
      </c>
      <c r="J716" s="43" t="str">
        <f t="shared" si="61"/>
        <v/>
      </c>
      <c r="K716" s="78"/>
      <c r="L716" s="50">
        <f t="shared" si="59"/>
        <v>182</v>
      </c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5.75" customHeight="1">
      <c r="A717" s="9"/>
      <c r="B717" s="81"/>
      <c r="C717" s="89"/>
      <c r="D717" s="83"/>
      <c r="E717" s="131"/>
      <c r="F717" s="227"/>
      <c r="G717" s="227"/>
      <c r="H717" s="41">
        <f t="shared" si="19"/>
        <v>0</v>
      </c>
      <c r="I717" s="49" t="str">
        <f t="shared" si="2"/>
        <v/>
      </c>
      <c r="J717" s="43"/>
      <c r="K717" s="78"/>
      <c r="L717" s="50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5.75" customHeight="1">
      <c r="A718" s="9"/>
      <c r="B718" s="81"/>
      <c r="C718" s="89"/>
      <c r="D718" s="83"/>
      <c r="E718" s="96"/>
      <c r="F718" s="65"/>
      <c r="G718" s="65"/>
      <c r="H718" s="41">
        <f t="shared" si="19"/>
        <v>0</v>
      </c>
      <c r="I718" s="49" t="str">
        <f t="shared" si="2"/>
        <v/>
      </c>
      <c r="J718" s="43" t="str">
        <f t="shared" ref="J718:J723" si="62">IF(ISERROR(MAX(E718:G718)/H718-1),"",(MAX(E718:G718)/H718-1))</f>
        <v/>
      </c>
      <c r="K718" s="78"/>
      <c r="L718" s="50">
        <f t="shared" ref="L718:L722" si="63">EDATE(K718,6)</f>
        <v>182</v>
      </c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5.75" customHeight="1">
      <c r="A719" s="9"/>
      <c r="B719" s="81"/>
      <c r="C719" s="89"/>
      <c r="D719" s="83"/>
      <c r="E719" s="96"/>
      <c r="F719" s="65"/>
      <c r="G719" s="88"/>
      <c r="H719" s="41">
        <f t="shared" si="19"/>
        <v>0</v>
      </c>
      <c r="I719" s="49" t="str">
        <f t="shared" si="2"/>
        <v/>
      </c>
      <c r="J719" s="43" t="str">
        <f t="shared" si="62"/>
        <v/>
      </c>
      <c r="K719" s="78"/>
      <c r="L719" s="50">
        <f t="shared" si="63"/>
        <v>182</v>
      </c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5.75" customHeight="1">
      <c r="A720" s="9"/>
      <c r="B720" s="81"/>
      <c r="C720" s="89"/>
      <c r="D720" s="83"/>
      <c r="E720" s="131"/>
      <c r="F720" s="88"/>
      <c r="G720" s="88"/>
      <c r="H720" s="41">
        <f t="shared" si="19"/>
        <v>0</v>
      </c>
      <c r="I720" s="49" t="str">
        <f t="shared" si="2"/>
        <v/>
      </c>
      <c r="J720" s="43" t="str">
        <f t="shared" si="62"/>
        <v/>
      </c>
      <c r="K720" s="78"/>
      <c r="L720" s="50">
        <f t="shared" si="63"/>
        <v>182</v>
      </c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5.75" customHeight="1">
      <c r="A721" s="9"/>
      <c r="B721" s="228"/>
      <c r="C721" s="89"/>
      <c r="D721" s="126"/>
      <c r="E721" s="131"/>
      <c r="F721" s="88"/>
      <c r="G721" s="88"/>
      <c r="H721" s="41">
        <f t="shared" si="19"/>
        <v>0</v>
      </c>
      <c r="I721" s="49" t="str">
        <f t="shared" si="2"/>
        <v/>
      </c>
      <c r="J721" s="43" t="str">
        <f t="shared" si="62"/>
        <v/>
      </c>
      <c r="K721" s="78"/>
      <c r="L721" s="50">
        <f t="shared" si="63"/>
        <v>182</v>
      </c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5.75" customHeight="1">
      <c r="A722" s="9"/>
      <c r="B722" s="229"/>
      <c r="C722" s="230"/>
      <c r="D722" s="231"/>
      <c r="E722" s="232"/>
      <c r="F722" s="233"/>
      <c r="G722" s="233"/>
      <c r="H722" s="234"/>
      <c r="I722" s="235" t="str">
        <f t="shared" si="2"/>
        <v/>
      </c>
      <c r="J722" s="43" t="str">
        <f t="shared" si="62"/>
        <v/>
      </c>
      <c r="K722" s="236"/>
      <c r="L722" s="214">
        <f t="shared" si="63"/>
        <v>182</v>
      </c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5.75" customHeight="1">
      <c r="A723" s="9"/>
      <c r="B723" s="97">
        <v>1.00002319E8</v>
      </c>
      <c r="C723" s="98" t="s">
        <v>588</v>
      </c>
      <c r="D723" s="113" t="s">
        <v>712</v>
      </c>
      <c r="E723" s="132">
        <v>1963.91</v>
      </c>
      <c r="F723" s="57">
        <v>2120.25</v>
      </c>
      <c r="G723" s="57">
        <v>2545.75</v>
      </c>
      <c r="H723" s="41">
        <f>SUM(E723:G723)/3</f>
        <v>2209.97</v>
      </c>
      <c r="I723" s="49">
        <f t="shared" si="2"/>
        <v>0.2962661222</v>
      </c>
      <c r="J723" s="43">
        <f t="shared" si="62"/>
        <v>0.1519387141</v>
      </c>
      <c r="K723" s="58">
        <v>45946.0</v>
      </c>
      <c r="L723" s="185">
        <v>45954.0</v>
      </c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5.75" customHeight="1">
      <c r="A724" s="9"/>
      <c r="B724" s="9"/>
      <c r="C724" s="16"/>
      <c r="D724" s="16"/>
      <c r="E724" s="6"/>
      <c r="F724" s="6"/>
      <c r="G724" s="6"/>
      <c r="H724" s="7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5.75" customHeight="1">
      <c r="A725" s="9"/>
      <c r="B725" s="9"/>
      <c r="C725" s="16"/>
      <c r="D725" s="16"/>
      <c r="E725" s="6"/>
      <c r="F725" s="6"/>
      <c r="G725" s="6"/>
      <c r="H725" s="7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5.75" customHeight="1">
      <c r="A726" s="9"/>
      <c r="B726" s="9"/>
      <c r="C726" s="16"/>
      <c r="D726" s="16"/>
      <c r="E726" s="6"/>
      <c r="F726" s="6"/>
      <c r="G726" s="6"/>
      <c r="H726" s="7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5.75" customHeight="1">
      <c r="A727" s="9"/>
      <c r="B727" s="9"/>
      <c r="C727" s="16"/>
      <c r="D727" s="16"/>
      <c r="E727" s="6"/>
      <c r="F727" s="6"/>
      <c r="G727" s="6"/>
      <c r="H727" s="7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5.75" customHeight="1">
      <c r="A728" s="9"/>
      <c r="B728" s="9"/>
      <c r="C728" s="16"/>
      <c r="D728" s="16"/>
      <c r="E728" s="6"/>
      <c r="F728" s="6"/>
      <c r="G728" s="6"/>
      <c r="H728" s="7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5.75" customHeight="1">
      <c r="A729" s="9"/>
      <c r="B729" s="9"/>
      <c r="C729" s="16"/>
      <c r="D729" s="16"/>
      <c r="E729" s="6"/>
      <c r="F729" s="6"/>
      <c r="G729" s="6"/>
      <c r="H729" s="7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5.75" customHeight="1">
      <c r="A730" s="9"/>
      <c r="B730" s="9"/>
      <c r="C730" s="16"/>
      <c r="D730" s="16"/>
      <c r="E730" s="6"/>
      <c r="F730" s="6"/>
      <c r="G730" s="6"/>
      <c r="H730" s="7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5.75" customHeight="1">
      <c r="A731" s="9"/>
      <c r="B731" s="9"/>
      <c r="C731" s="16"/>
      <c r="D731" s="16"/>
      <c r="E731" s="6"/>
      <c r="F731" s="6"/>
      <c r="G731" s="6"/>
      <c r="H731" s="7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5.75" customHeight="1">
      <c r="A732" s="9"/>
      <c r="B732" s="9"/>
      <c r="C732" s="16"/>
      <c r="D732" s="16"/>
      <c r="E732" s="6"/>
      <c r="F732" s="6"/>
      <c r="G732" s="6"/>
      <c r="H732" s="7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5.75" customHeight="1">
      <c r="A733" s="9"/>
      <c r="B733" s="9"/>
      <c r="C733" s="16"/>
      <c r="D733" s="16"/>
      <c r="E733" s="6"/>
      <c r="F733" s="6"/>
      <c r="G733" s="6"/>
      <c r="H733" s="7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5.75" customHeight="1">
      <c r="A734" s="9"/>
      <c r="B734" s="9"/>
      <c r="C734" s="16"/>
      <c r="D734" s="16"/>
      <c r="E734" s="6"/>
      <c r="F734" s="6"/>
      <c r="G734" s="6"/>
      <c r="H734" s="7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5.75" customHeight="1">
      <c r="A735" s="9"/>
      <c r="B735" s="9"/>
      <c r="C735" s="16"/>
      <c r="D735" s="16"/>
      <c r="E735" s="6"/>
      <c r="F735" s="6"/>
      <c r="G735" s="6"/>
      <c r="H735" s="7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5.75" customHeight="1">
      <c r="A736" s="9"/>
      <c r="B736" s="9"/>
      <c r="C736" s="16"/>
      <c r="D736" s="16"/>
      <c r="E736" s="6"/>
      <c r="F736" s="6"/>
      <c r="G736" s="6"/>
      <c r="H736" s="7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5.75" customHeight="1">
      <c r="A737" s="9"/>
      <c r="B737" s="9"/>
      <c r="C737" s="16"/>
      <c r="D737" s="16"/>
      <c r="E737" s="6"/>
      <c r="F737" s="6"/>
      <c r="G737" s="6"/>
      <c r="H737" s="7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5.75" customHeight="1">
      <c r="A738" s="9"/>
      <c r="B738" s="9"/>
      <c r="C738" s="16"/>
      <c r="D738" s="16"/>
      <c r="E738" s="6"/>
      <c r="F738" s="6"/>
      <c r="G738" s="6"/>
      <c r="H738" s="7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5.75" customHeight="1">
      <c r="A739" s="9"/>
      <c r="B739" s="9"/>
      <c r="C739" s="16"/>
      <c r="D739" s="16"/>
      <c r="E739" s="6"/>
      <c r="F739" s="6"/>
      <c r="G739" s="6"/>
      <c r="H739" s="7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5.75" customHeight="1">
      <c r="A740" s="9"/>
      <c r="B740" s="9"/>
      <c r="C740" s="16"/>
      <c r="D740" s="16"/>
      <c r="E740" s="6"/>
      <c r="F740" s="6"/>
      <c r="G740" s="6"/>
      <c r="H740" s="7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5.75" customHeight="1">
      <c r="A741" s="9"/>
      <c r="B741" s="9"/>
      <c r="C741" s="16"/>
      <c r="D741" s="16"/>
      <c r="E741" s="6"/>
      <c r="F741" s="6"/>
      <c r="G741" s="6"/>
      <c r="H741" s="7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5.75" customHeight="1">
      <c r="A742" s="9"/>
      <c r="B742" s="9"/>
      <c r="C742" s="16"/>
      <c r="D742" s="16"/>
      <c r="E742" s="6"/>
      <c r="F742" s="6"/>
      <c r="G742" s="6"/>
      <c r="H742" s="7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5.75" customHeight="1">
      <c r="A743" s="9"/>
      <c r="B743" s="9"/>
      <c r="C743" s="16"/>
      <c r="D743" s="16"/>
      <c r="E743" s="6"/>
      <c r="F743" s="6"/>
      <c r="G743" s="6"/>
      <c r="H743" s="7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5.75" customHeight="1">
      <c r="A744" s="9"/>
      <c r="B744" s="9"/>
      <c r="C744" s="16"/>
      <c r="D744" s="16"/>
      <c r="E744" s="6"/>
      <c r="F744" s="6"/>
      <c r="G744" s="6"/>
      <c r="H744" s="7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5.75" customHeight="1">
      <c r="A745" s="9"/>
      <c r="B745" s="9"/>
      <c r="C745" s="16"/>
      <c r="D745" s="16"/>
      <c r="E745" s="6"/>
      <c r="F745" s="6"/>
      <c r="G745" s="6"/>
      <c r="H745" s="7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5.75" customHeight="1">
      <c r="A746" s="9"/>
      <c r="B746" s="9"/>
      <c r="C746" s="16"/>
      <c r="D746" s="16"/>
      <c r="E746" s="6"/>
      <c r="F746" s="6"/>
      <c r="G746" s="6"/>
      <c r="H746" s="7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5.75" customHeight="1">
      <c r="A747" s="9"/>
      <c r="B747" s="9"/>
      <c r="C747" s="16"/>
      <c r="D747" s="16"/>
      <c r="E747" s="6"/>
      <c r="F747" s="6"/>
      <c r="G747" s="6"/>
      <c r="H747" s="7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5.75" customHeight="1">
      <c r="A748" s="9"/>
      <c r="B748" s="9"/>
      <c r="C748" s="16"/>
      <c r="D748" s="16"/>
      <c r="E748" s="6"/>
      <c r="F748" s="6"/>
      <c r="G748" s="6"/>
      <c r="H748" s="7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5.75" customHeight="1">
      <c r="A749" s="9"/>
      <c r="B749" s="9"/>
      <c r="C749" s="16"/>
      <c r="D749" s="16"/>
      <c r="E749" s="6"/>
      <c r="F749" s="6"/>
      <c r="G749" s="6"/>
      <c r="H749" s="7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5.75" customHeight="1">
      <c r="A750" s="9"/>
      <c r="B750" s="9"/>
      <c r="C750" s="16"/>
      <c r="D750" s="16"/>
      <c r="E750" s="6"/>
      <c r="F750" s="6"/>
      <c r="G750" s="6"/>
      <c r="H750" s="7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5.75" customHeight="1">
      <c r="A751" s="9"/>
      <c r="B751" s="9"/>
      <c r="C751" s="16"/>
      <c r="D751" s="16"/>
      <c r="E751" s="6"/>
      <c r="F751" s="6"/>
      <c r="G751" s="6"/>
      <c r="H751" s="7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5.75" customHeight="1">
      <c r="A752" s="9"/>
      <c r="B752" s="9"/>
      <c r="C752" s="16"/>
      <c r="D752" s="16"/>
      <c r="E752" s="6"/>
      <c r="F752" s="6"/>
      <c r="G752" s="6"/>
      <c r="H752" s="7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5.75" customHeight="1">
      <c r="A753" s="9"/>
      <c r="B753" s="9"/>
      <c r="C753" s="16"/>
      <c r="D753" s="16"/>
      <c r="E753" s="6"/>
      <c r="F753" s="6"/>
      <c r="G753" s="6"/>
      <c r="H753" s="7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5.75" customHeight="1">
      <c r="A754" s="9"/>
      <c r="B754" s="9"/>
      <c r="C754" s="16"/>
      <c r="D754" s="16"/>
      <c r="E754" s="6"/>
      <c r="F754" s="6"/>
      <c r="G754" s="6"/>
      <c r="H754" s="7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5.75" customHeight="1">
      <c r="A755" s="9"/>
      <c r="B755" s="9"/>
      <c r="C755" s="16"/>
      <c r="D755" s="16"/>
      <c r="E755" s="6"/>
      <c r="F755" s="6"/>
      <c r="G755" s="6"/>
      <c r="H755" s="7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5.75" customHeight="1">
      <c r="A756" s="9"/>
      <c r="B756" s="9"/>
      <c r="C756" s="16"/>
      <c r="D756" s="16"/>
      <c r="E756" s="6"/>
      <c r="F756" s="6"/>
      <c r="G756" s="6"/>
      <c r="H756" s="7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5.75" customHeight="1">
      <c r="A757" s="9"/>
      <c r="B757" s="9"/>
      <c r="C757" s="16"/>
      <c r="D757" s="16"/>
      <c r="E757" s="6"/>
      <c r="F757" s="6"/>
      <c r="G757" s="6"/>
      <c r="H757" s="7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5.75" customHeight="1">
      <c r="A758" s="9"/>
      <c r="B758" s="9"/>
      <c r="C758" s="16"/>
      <c r="D758" s="16"/>
      <c r="E758" s="6"/>
      <c r="F758" s="6"/>
      <c r="G758" s="6"/>
      <c r="H758" s="7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5.75" customHeight="1">
      <c r="A759" s="9"/>
      <c r="B759" s="9"/>
      <c r="C759" s="16"/>
      <c r="D759" s="16"/>
      <c r="E759" s="6"/>
      <c r="F759" s="6"/>
      <c r="G759" s="6"/>
      <c r="H759" s="7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5.75" customHeight="1">
      <c r="A760" s="9"/>
      <c r="B760" s="9"/>
      <c r="C760" s="16"/>
      <c r="D760" s="16"/>
      <c r="E760" s="6"/>
      <c r="F760" s="6"/>
      <c r="G760" s="6"/>
      <c r="H760" s="7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5.75" customHeight="1">
      <c r="A761" s="9"/>
      <c r="B761" s="9"/>
      <c r="C761" s="16"/>
      <c r="D761" s="16"/>
      <c r="E761" s="6"/>
      <c r="F761" s="6"/>
      <c r="G761" s="6"/>
      <c r="H761" s="7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5.75" customHeight="1">
      <c r="A762" s="9"/>
      <c r="B762" s="9"/>
      <c r="C762" s="16"/>
      <c r="D762" s="16"/>
      <c r="E762" s="6"/>
      <c r="F762" s="6"/>
      <c r="G762" s="6"/>
      <c r="H762" s="7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5.75" customHeight="1">
      <c r="A763" s="9"/>
      <c r="B763" s="9"/>
      <c r="C763" s="16"/>
      <c r="D763" s="16"/>
      <c r="E763" s="6"/>
      <c r="F763" s="6"/>
      <c r="G763" s="6"/>
      <c r="H763" s="7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5.75" customHeight="1">
      <c r="A764" s="9"/>
      <c r="B764" s="9"/>
      <c r="C764" s="16"/>
      <c r="D764" s="16"/>
      <c r="E764" s="6"/>
      <c r="F764" s="6"/>
      <c r="G764" s="6"/>
      <c r="H764" s="7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5.75" customHeight="1">
      <c r="A765" s="9"/>
      <c r="B765" s="9"/>
      <c r="C765" s="16"/>
      <c r="D765" s="16"/>
      <c r="E765" s="6"/>
      <c r="F765" s="6"/>
      <c r="G765" s="6"/>
      <c r="H765" s="7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5.75" customHeight="1">
      <c r="A766" s="9"/>
      <c r="B766" s="9"/>
      <c r="C766" s="16"/>
      <c r="D766" s="16"/>
      <c r="E766" s="6"/>
      <c r="F766" s="6"/>
      <c r="G766" s="6"/>
      <c r="H766" s="7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5.75" customHeight="1">
      <c r="A767" s="9"/>
      <c r="B767" s="9"/>
      <c r="C767" s="16"/>
      <c r="D767" s="16"/>
      <c r="E767" s="6"/>
      <c r="F767" s="6"/>
      <c r="G767" s="6"/>
      <c r="H767" s="7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5.75" customHeight="1">
      <c r="A768" s="9"/>
      <c r="B768" s="9"/>
      <c r="C768" s="16"/>
      <c r="D768" s="16"/>
      <c r="E768" s="6"/>
      <c r="F768" s="6"/>
      <c r="G768" s="6"/>
      <c r="H768" s="7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5.75" customHeight="1">
      <c r="A769" s="9"/>
      <c r="B769" s="9"/>
      <c r="C769" s="16"/>
      <c r="D769" s="16"/>
      <c r="E769" s="6"/>
      <c r="F769" s="6"/>
      <c r="G769" s="6"/>
      <c r="H769" s="7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5.75" customHeight="1">
      <c r="A770" s="9"/>
      <c r="B770" s="9"/>
      <c r="C770" s="16"/>
      <c r="D770" s="16"/>
      <c r="E770" s="6"/>
      <c r="F770" s="6"/>
      <c r="G770" s="6"/>
      <c r="H770" s="7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5.75" customHeight="1">
      <c r="A771" s="9"/>
      <c r="B771" s="9"/>
      <c r="C771" s="16"/>
      <c r="D771" s="16"/>
      <c r="E771" s="6"/>
      <c r="F771" s="6"/>
      <c r="G771" s="6"/>
      <c r="H771" s="7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5.75" customHeight="1">
      <c r="A772" s="9"/>
      <c r="B772" s="9"/>
      <c r="C772" s="16"/>
      <c r="D772" s="16"/>
      <c r="E772" s="6"/>
      <c r="F772" s="6"/>
      <c r="G772" s="6"/>
      <c r="H772" s="7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5.75" customHeight="1">
      <c r="A773" s="9"/>
      <c r="B773" s="9"/>
      <c r="C773" s="16"/>
      <c r="D773" s="16"/>
      <c r="E773" s="6"/>
      <c r="F773" s="6"/>
      <c r="G773" s="6"/>
      <c r="H773" s="7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5.75" customHeight="1">
      <c r="A774" s="9"/>
      <c r="B774" s="9"/>
      <c r="C774" s="16"/>
      <c r="D774" s="16"/>
      <c r="E774" s="6"/>
      <c r="F774" s="6"/>
      <c r="G774" s="6"/>
      <c r="H774" s="7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5.75" customHeight="1">
      <c r="A775" s="9"/>
      <c r="B775" s="9"/>
      <c r="C775" s="16"/>
      <c r="D775" s="16"/>
      <c r="E775" s="6"/>
      <c r="F775" s="6"/>
      <c r="G775" s="6"/>
      <c r="H775" s="7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5.75" customHeight="1">
      <c r="A776" s="9"/>
      <c r="B776" s="9"/>
      <c r="C776" s="16"/>
      <c r="D776" s="16"/>
      <c r="E776" s="6"/>
      <c r="F776" s="6"/>
      <c r="G776" s="6"/>
      <c r="H776" s="7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5.75" customHeight="1">
      <c r="A777" s="9"/>
      <c r="B777" s="9"/>
      <c r="C777" s="16"/>
      <c r="D777" s="16"/>
      <c r="E777" s="6"/>
      <c r="F777" s="6"/>
      <c r="G777" s="6"/>
      <c r="H777" s="7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5.75" customHeight="1">
      <c r="A778" s="9"/>
      <c r="B778" s="9"/>
      <c r="C778" s="16"/>
      <c r="D778" s="16"/>
      <c r="E778" s="6"/>
      <c r="F778" s="6"/>
      <c r="G778" s="6"/>
      <c r="H778" s="7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5.75" customHeight="1">
      <c r="A779" s="9"/>
      <c r="B779" s="9"/>
      <c r="C779" s="16"/>
      <c r="D779" s="16"/>
      <c r="E779" s="6"/>
      <c r="F779" s="6"/>
      <c r="G779" s="6"/>
      <c r="H779" s="7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5.75" customHeight="1">
      <c r="A780" s="9"/>
      <c r="B780" s="9"/>
      <c r="C780" s="16"/>
      <c r="D780" s="16"/>
      <c r="E780" s="6"/>
      <c r="F780" s="6"/>
      <c r="G780" s="6"/>
      <c r="H780" s="7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5.75" customHeight="1">
      <c r="A781" s="9"/>
      <c r="B781" s="9"/>
      <c r="C781" s="16"/>
      <c r="D781" s="16"/>
      <c r="E781" s="6"/>
      <c r="F781" s="6"/>
      <c r="G781" s="6"/>
      <c r="H781" s="7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5.75" customHeight="1">
      <c r="A782" s="9"/>
      <c r="B782" s="9"/>
      <c r="C782" s="16"/>
      <c r="D782" s="16"/>
      <c r="E782" s="6"/>
      <c r="F782" s="6"/>
      <c r="G782" s="6"/>
      <c r="H782" s="7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5.75" customHeight="1">
      <c r="A783" s="9"/>
      <c r="B783" s="9"/>
      <c r="C783" s="16"/>
      <c r="D783" s="16"/>
      <c r="E783" s="6"/>
      <c r="F783" s="6"/>
      <c r="G783" s="6"/>
      <c r="H783" s="7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5.75" customHeight="1">
      <c r="A784" s="9"/>
      <c r="B784" s="9"/>
      <c r="C784" s="16"/>
      <c r="D784" s="16"/>
      <c r="E784" s="6"/>
      <c r="F784" s="6"/>
      <c r="G784" s="6"/>
      <c r="H784" s="7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5.75" customHeight="1">
      <c r="A785" s="9"/>
      <c r="B785" s="9"/>
      <c r="C785" s="16"/>
      <c r="D785" s="16"/>
      <c r="E785" s="6"/>
      <c r="F785" s="6"/>
      <c r="G785" s="6"/>
      <c r="H785" s="7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5.75" customHeight="1">
      <c r="A786" s="9"/>
      <c r="B786" s="9"/>
      <c r="C786" s="16"/>
      <c r="D786" s="16"/>
      <c r="E786" s="6"/>
      <c r="F786" s="6"/>
      <c r="G786" s="6"/>
      <c r="H786" s="7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5.75" customHeight="1">
      <c r="A787" s="9"/>
      <c r="B787" s="9"/>
      <c r="C787" s="16"/>
      <c r="D787" s="16"/>
      <c r="E787" s="6"/>
      <c r="F787" s="6"/>
      <c r="G787" s="6"/>
      <c r="H787" s="7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5.75" customHeight="1">
      <c r="A788" s="9"/>
      <c r="B788" s="9"/>
      <c r="C788" s="16"/>
      <c r="D788" s="16"/>
      <c r="E788" s="6"/>
      <c r="F788" s="6"/>
      <c r="G788" s="6"/>
      <c r="H788" s="7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5.75" customHeight="1">
      <c r="A789" s="9"/>
      <c r="B789" s="9"/>
      <c r="C789" s="16"/>
      <c r="D789" s="16"/>
      <c r="E789" s="6"/>
      <c r="F789" s="6"/>
      <c r="G789" s="6"/>
      <c r="H789" s="7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5.75" customHeight="1">
      <c r="A790" s="9"/>
      <c r="B790" s="9"/>
      <c r="C790" s="16"/>
      <c r="D790" s="16"/>
      <c r="E790" s="6"/>
      <c r="F790" s="6"/>
      <c r="G790" s="6"/>
      <c r="H790" s="7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5.75" customHeight="1">
      <c r="A791" s="9"/>
      <c r="B791" s="9"/>
      <c r="C791" s="16"/>
      <c r="D791" s="16"/>
      <c r="E791" s="6"/>
      <c r="F791" s="6"/>
      <c r="G791" s="6"/>
      <c r="H791" s="7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5.75" customHeight="1">
      <c r="A792" s="9"/>
      <c r="B792" s="9"/>
      <c r="C792" s="16"/>
      <c r="D792" s="16"/>
      <c r="E792" s="6"/>
      <c r="F792" s="6"/>
      <c r="G792" s="6"/>
      <c r="H792" s="7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5.75" customHeight="1">
      <c r="A793" s="9"/>
      <c r="B793" s="9"/>
      <c r="C793" s="16"/>
      <c r="D793" s="16"/>
      <c r="E793" s="6"/>
      <c r="F793" s="6"/>
      <c r="G793" s="6"/>
      <c r="H793" s="7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5.75" customHeight="1">
      <c r="A794" s="9"/>
      <c r="B794" s="9"/>
      <c r="C794" s="16"/>
      <c r="D794" s="16"/>
      <c r="E794" s="6"/>
      <c r="F794" s="6"/>
      <c r="G794" s="6"/>
      <c r="H794" s="7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5.75" customHeight="1">
      <c r="A795" s="9"/>
      <c r="B795" s="9"/>
      <c r="C795" s="16"/>
      <c r="D795" s="16"/>
      <c r="E795" s="6"/>
      <c r="F795" s="6"/>
      <c r="G795" s="6"/>
      <c r="H795" s="7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5.75" customHeight="1">
      <c r="A796" s="9"/>
      <c r="B796" s="9"/>
      <c r="C796" s="16"/>
      <c r="D796" s="16"/>
      <c r="E796" s="6"/>
      <c r="F796" s="6"/>
      <c r="G796" s="6"/>
      <c r="H796" s="7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5.75" customHeight="1">
      <c r="A797" s="9"/>
      <c r="B797" s="9"/>
      <c r="C797" s="16"/>
      <c r="D797" s="16"/>
      <c r="E797" s="6"/>
      <c r="F797" s="6"/>
      <c r="G797" s="6"/>
      <c r="H797" s="7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5.75" customHeight="1">
      <c r="A798" s="9"/>
      <c r="B798" s="9"/>
      <c r="C798" s="16"/>
      <c r="D798" s="16"/>
      <c r="E798" s="6"/>
      <c r="F798" s="6"/>
      <c r="G798" s="6"/>
      <c r="H798" s="7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5.75" customHeight="1">
      <c r="A799" s="9"/>
      <c r="B799" s="9"/>
      <c r="C799" s="16"/>
      <c r="D799" s="16"/>
      <c r="E799" s="6"/>
      <c r="F799" s="6"/>
      <c r="G799" s="6"/>
      <c r="H799" s="7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5.75" customHeight="1">
      <c r="A800" s="9"/>
      <c r="B800" s="9"/>
      <c r="C800" s="16"/>
      <c r="D800" s="16"/>
      <c r="E800" s="6"/>
      <c r="F800" s="6"/>
      <c r="G800" s="6"/>
      <c r="H800" s="7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5.75" customHeight="1">
      <c r="A801" s="9"/>
      <c r="B801" s="9"/>
      <c r="C801" s="16"/>
      <c r="D801" s="16"/>
      <c r="E801" s="6"/>
      <c r="F801" s="6"/>
      <c r="G801" s="6"/>
      <c r="H801" s="7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5.75" customHeight="1">
      <c r="A802" s="9"/>
      <c r="B802" s="9"/>
      <c r="C802" s="16"/>
      <c r="D802" s="16"/>
      <c r="E802" s="6"/>
      <c r="F802" s="6"/>
      <c r="G802" s="6"/>
      <c r="H802" s="7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5.75" customHeight="1">
      <c r="A803" s="9"/>
      <c r="B803" s="9"/>
      <c r="C803" s="16"/>
      <c r="D803" s="16"/>
      <c r="E803" s="6"/>
      <c r="F803" s="6"/>
      <c r="G803" s="6"/>
      <c r="H803" s="7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5.75" customHeight="1">
      <c r="A804" s="9"/>
      <c r="B804" s="9"/>
      <c r="C804" s="16"/>
      <c r="D804" s="16"/>
      <c r="E804" s="6"/>
      <c r="F804" s="6"/>
      <c r="G804" s="6"/>
      <c r="H804" s="7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5.75" customHeight="1">
      <c r="A805" s="9"/>
      <c r="B805" s="9"/>
      <c r="C805" s="16"/>
      <c r="D805" s="16"/>
      <c r="E805" s="6"/>
      <c r="F805" s="6"/>
      <c r="G805" s="6"/>
      <c r="H805" s="7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5.75" customHeight="1">
      <c r="A806" s="9"/>
      <c r="B806" s="9"/>
      <c r="C806" s="16"/>
      <c r="D806" s="16"/>
      <c r="E806" s="6"/>
      <c r="F806" s="6"/>
      <c r="G806" s="6"/>
      <c r="H806" s="7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5.75" customHeight="1">
      <c r="A807" s="9"/>
      <c r="B807" s="9"/>
      <c r="C807" s="16"/>
      <c r="D807" s="16"/>
      <c r="E807" s="6"/>
      <c r="F807" s="6"/>
      <c r="G807" s="6"/>
      <c r="H807" s="7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5.75" customHeight="1">
      <c r="A808" s="9"/>
      <c r="B808" s="9"/>
      <c r="C808" s="16"/>
      <c r="D808" s="16"/>
      <c r="E808" s="6"/>
      <c r="F808" s="6"/>
      <c r="G808" s="6"/>
      <c r="H808" s="7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5.75" customHeight="1">
      <c r="A809" s="9"/>
      <c r="B809" s="9"/>
      <c r="C809" s="16"/>
      <c r="D809" s="16"/>
      <c r="E809" s="6"/>
      <c r="F809" s="6"/>
      <c r="G809" s="6"/>
      <c r="H809" s="7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5.75" customHeight="1">
      <c r="A810" s="9"/>
      <c r="B810" s="9"/>
      <c r="C810" s="16"/>
      <c r="D810" s="16"/>
      <c r="E810" s="6"/>
      <c r="F810" s="6"/>
      <c r="G810" s="6"/>
      <c r="H810" s="7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5.75" customHeight="1">
      <c r="A811" s="9"/>
      <c r="B811" s="9"/>
      <c r="C811" s="16"/>
      <c r="D811" s="16"/>
      <c r="E811" s="6"/>
      <c r="F811" s="6"/>
      <c r="G811" s="6"/>
      <c r="H811" s="7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5.75" customHeight="1">
      <c r="A812" s="9"/>
      <c r="B812" s="9"/>
      <c r="C812" s="16"/>
      <c r="D812" s="16"/>
      <c r="E812" s="6"/>
      <c r="F812" s="6"/>
      <c r="G812" s="6"/>
      <c r="H812" s="7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5.75" customHeight="1">
      <c r="A813" s="9"/>
      <c r="B813" s="9"/>
      <c r="C813" s="16"/>
      <c r="D813" s="16"/>
      <c r="E813" s="6"/>
      <c r="F813" s="6"/>
      <c r="G813" s="6"/>
      <c r="H813" s="7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5.75" customHeight="1">
      <c r="A814" s="9"/>
      <c r="B814" s="9"/>
      <c r="C814" s="16"/>
      <c r="D814" s="16"/>
      <c r="E814" s="6"/>
      <c r="F814" s="6"/>
      <c r="G814" s="6"/>
      <c r="H814" s="7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5.75" customHeight="1">
      <c r="A815" s="9"/>
      <c r="B815" s="9"/>
      <c r="C815" s="16"/>
      <c r="D815" s="16"/>
      <c r="E815" s="6"/>
      <c r="F815" s="6"/>
      <c r="G815" s="6"/>
      <c r="H815" s="7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5.75" customHeight="1">
      <c r="A816" s="9"/>
      <c r="B816" s="9"/>
      <c r="C816" s="16"/>
      <c r="D816" s="16"/>
      <c r="E816" s="6"/>
      <c r="F816" s="6"/>
      <c r="G816" s="6"/>
      <c r="H816" s="7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5.75" customHeight="1">
      <c r="A817" s="9"/>
      <c r="B817" s="9"/>
      <c r="C817" s="16"/>
      <c r="D817" s="16"/>
      <c r="E817" s="6"/>
      <c r="F817" s="6"/>
      <c r="G817" s="6"/>
      <c r="H817" s="7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5.75" customHeight="1">
      <c r="A818" s="9"/>
      <c r="B818" s="9"/>
      <c r="C818" s="16"/>
      <c r="D818" s="16"/>
      <c r="E818" s="6"/>
      <c r="F818" s="6"/>
      <c r="G818" s="6"/>
      <c r="H818" s="7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5.75" customHeight="1">
      <c r="A819" s="9"/>
      <c r="B819" s="9"/>
      <c r="C819" s="16"/>
      <c r="D819" s="16"/>
      <c r="E819" s="6"/>
      <c r="F819" s="6"/>
      <c r="G819" s="6"/>
      <c r="H819" s="7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5.75" customHeight="1">
      <c r="A820" s="9"/>
      <c r="B820" s="9"/>
      <c r="C820" s="16"/>
      <c r="D820" s="16"/>
      <c r="E820" s="6"/>
      <c r="F820" s="6"/>
      <c r="G820" s="6"/>
      <c r="H820" s="7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5.75" customHeight="1">
      <c r="A821" s="9"/>
      <c r="B821" s="9"/>
      <c r="C821" s="16"/>
      <c r="D821" s="16"/>
      <c r="E821" s="6"/>
      <c r="F821" s="6"/>
      <c r="G821" s="6"/>
      <c r="H821" s="7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5.75" customHeight="1">
      <c r="A822" s="9"/>
      <c r="B822" s="9"/>
      <c r="C822" s="16"/>
      <c r="D822" s="16"/>
      <c r="E822" s="6"/>
      <c r="F822" s="6"/>
      <c r="G822" s="6"/>
      <c r="H822" s="7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5.75" customHeight="1">
      <c r="A823" s="9"/>
      <c r="B823" s="9"/>
      <c r="C823" s="16"/>
      <c r="D823" s="16"/>
      <c r="E823" s="6"/>
      <c r="F823" s="6"/>
      <c r="G823" s="6"/>
      <c r="H823" s="7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5.75" customHeight="1">
      <c r="A824" s="9"/>
      <c r="B824" s="9"/>
      <c r="C824" s="16"/>
      <c r="D824" s="16"/>
      <c r="E824" s="6"/>
      <c r="F824" s="6"/>
      <c r="G824" s="6"/>
      <c r="H824" s="7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5.75" customHeight="1">
      <c r="A825" s="9"/>
      <c r="B825" s="9"/>
      <c r="C825" s="16"/>
      <c r="D825" s="16"/>
      <c r="E825" s="6"/>
      <c r="F825" s="6"/>
      <c r="G825" s="6"/>
      <c r="H825" s="7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5.75" customHeight="1">
      <c r="A826" s="9"/>
      <c r="B826" s="9"/>
      <c r="C826" s="16"/>
      <c r="D826" s="16"/>
      <c r="E826" s="6"/>
      <c r="F826" s="6"/>
      <c r="G826" s="6"/>
      <c r="H826" s="7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5.75" customHeight="1">
      <c r="A827" s="9"/>
      <c r="B827" s="9"/>
      <c r="C827" s="16"/>
      <c r="D827" s="16"/>
      <c r="E827" s="6"/>
      <c r="F827" s="6"/>
      <c r="G827" s="6"/>
      <c r="H827" s="7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5.75" customHeight="1">
      <c r="A828" s="9"/>
      <c r="B828" s="9"/>
      <c r="C828" s="16"/>
      <c r="D828" s="16"/>
      <c r="E828" s="6"/>
      <c r="F828" s="6"/>
      <c r="G828" s="6"/>
      <c r="H828" s="7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5.75" customHeight="1">
      <c r="A829" s="9"/>
      <c r="B829" s="9"/>
      <c r="C829" s="16"/>
      <c r="D829" s="16"/>
      <c r="E829" s="6"/>
      <c r="F829" s="6"/>
      <c r="G829" s="6"/>
      <c r="H829" s="7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5.75" customHeight="1">
      <c r="A830" s="9"/>
      <c r="B830" s="9"/>
      <c r="C830" s="16"/>
      <c r="D830" s="16"/>
      <c r="E830" s="6"/>
      <c r="F830" s="6"/>
      <c r="G830" s="6"/>
      <c r="H830" s="7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5.75" customHeight="1">
      <c r="A831" s="9"/>
      <c r="B831" s="9"/>
      <c r="C831" s="16"/>
      <c r="D831" s="16"/>
      <c r="E831" s="6"/>
      <c r="F831" s="6"/>
      <c r="G831" s="6"/>
      <c r="H831" s="7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5.75" customHeight="1">
      <c r="A832" s="9"/>
      <c r="B832" s="9"/>
      <c r="C832" s="16"/>
      <c r="D832" s="16"/>
      <c r="E832" s="6"/>
      <c r="F832" s="6"/>
      <c r="G832" s="6"/>
      <c r="H832" s="7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5.75" customHeight="1">
      <c r="A833" s="9"/>
      <c r="B833" s="9"/>
      <c r="C833" s="16"/>
      <c r="D833" s="16"/>
      <c r="E833" s="6"/>
      <c r="F833" s="6"/>
      <c r="G833" s="6"/>
      <c r="H833" s="7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5.75" customHeight="1">
      <c r="A834" s="9"/>
      <c r="B834" s="9"/>
      <c r="C834" s="16"/>
      <c r="D834" s="16"/>
      <c r="E834" s="6"/>
      <c r="F834" s="6"/>
      <c r="G834" s="6"/>
      <c r="H834" s="7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5.75" customHeight="1">
      <c r="A835" s="9"/>
      <c r="B835" s="9"/>
      <c r="C835" s="16"/>
      <c r="D835" s="16"/>
      <c r="E835" s="6"/>
      <c r="F835" s="6"/>
      <c r="G835" s="6"/>
      <c r="H835" s="7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5.75" customHeight="1">
      <c r="A836" s="9"/>
      <c r="B836" s="9"/>
      <c r="C836" s="16"/>
      <c r="D836" s="16"/>
      <c r="E836" s="6"/>
      <c r="F836" s="6"/>
      <c r="G836" s="6"/>
      <c r="H836" s="7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5.75" customHeight="1">
      <c r="A837" s="9"/>
      <c r="B837" s="9"/>
      <c r="C837" s="16"/>
      <c r="D837" s="16"/>
      <c r="E837" s="6"/>
      <c r="F837" s="6"/>
      <c r="G837" s="6"/>
      <c r="H837" s="7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5.75" customHeight="1">
      <c r="A838" s="9"/>
      <c r="B838" s="9"/>
      <c r="C838" s="16"/>
      <c r="D838" s="16"/>
      <c r="E838" s="6"/>
      <c r="F838" s="6"/>
      <c r="G838" s="6"/>
      <c r="H838" s="7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5.75" customHeight="1">
      <c r="A839" s="9"/>
      <c r="B839" s="9"/>
      <c r="C839" s="16"/>
      <c r="D839" s="16"/>
      <c r="E839" s="6"/>
      <c r="F839" s="6"/>
      <c r="G839" s="6"/>
      <c r="H839" s="7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5.75" customHeight="1">
      <c r="A840" s="9"/>
      <c r="B840" s="9"/>
      <c r="C840" s="16"/>
      <c r="D840" s="16"/>
      <c r="E840" s="6"/>
      <c r="F840" s="6"/>
      <c r="G840" s="6"/>
      <c r="H840" s="7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5.75" customHeight="1">
      <c r="A841" s="9"/>
      <c r="B841" s="9"/>
      <c r="C841" s="16"/>
      <c r="D841" s="16"/>
      <c r="E841" s="6"/>
      <c r="F841" s="6"/>
      <c r="G841" s="6"/>
      <c r="H841" s="7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5.75" customHeight="1">
      <c r="A842" s="9"/>
      <c r="B842" s="9"/>
      <c r="C842" s="16"/>
      <c r="D842" s="16"/>
      <c r="E842" s="6"/>
      <c r="F842" s="6"/>
      <c r="G842" s="6"/>
      <c r="H842" s="7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5.75" customHeight="1">
      <c r="A843" s="9"/>
      <c r="B843" s="9"/>
      <c r="C843" s="16"/>
      <c r="D843" s="16"/>
      <c r="E843" s="6"/>
      <c r="F843" s="6"/>
      <c r="G843" s="6"/>
      <c r="H843" s="7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5.75" customHeight="1">
      <c r="A844" s="9"/>
      <c r="B844" s="9"/>
      <c r="C844" s="16"/>
      <c r="D844" s="16"/>
      <c r="E844" s="6"/>
      <c r="F844" s="6"/>
      <c r="G844" s="6"/>
      <c r="H844" s="7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5.75" customHeight="1">
      <c r="A845" s="9"/>
      <c r="B845" s="9"/>
      <c r="C845" s="16"/>
      <c r="D845" s="16"/>
      <c r="E845" s="6"/>
      <c r="F845" s="6"/>
      <c r="G845" s="6"/>
      <c r="H845" s="7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5.75" customHeight="1">
      <c r="A846" s="9"/>
      <c r="B846" s="9"/>
      <c r="C846" s="16"/>
      <c r="D846" s="16"/>
      <c r="E846" s="6"/>
      <c r="F846" s="6"/>
      <c r="G846" s="6"/>
      <c r="H846" s="7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5.75" customHeight="1">
      <c r="A847" s="9"/>
      <c r="B847" s="9"/>
      <c r="C847" s="16"/>
      <c r="D847" s="16"/>
      <c r="E847" s="6"/>
      <c r="F847" s="6"/>
      <c r="G847" s="6"/>
      <c r="H847" s="7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5.75" customHeight="1">
      <c r="A848" s="9"/>
      <c r="B848" s="9"/>
      <c r="C848" s="16"/>
      <c r="D848" s="16"/>
      <c r="E848" s="6"/>
      <c r="F848" s="6"/>
      <c r="G848" s="6"/>
      <c r="H848" s="7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5.75" customHeight="1">
      <c r="A849" s="9"/>
      <c r="B849" s="9"/>
      <c r="C849" s="16"/>
      <c r="D849" s="16"/>
      <c r="E849" s="6"/>
      <c r="F849" s="6"/>
      <c r="G849" s="6"/>
      <c r="H849" s="7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5.75" customHeight="1">
      <c r="A850" s="9"/>
      <c r="B850" s="9"/>
      <c r="C850" s="16"/>
      <c r="D850" s="16"/>
      <c r="E850" s="6"/>
      <c r="F850" s="6"/>
      <c r="G850" s="6"/>
      <c r="H850" s="7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5.75" customHeight="1">
      <c r="A851" s="9"/>
      <c r="B851" s="9"/>
      <c r="C851" s="16"/>
      <c r="D851" s="16"/>
      <c r="E851" s="6"/>
      <c r="F851" s="6"/>
      <c r="G851" s="6"/>
      <c r="H851" s="7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5.75" customHeight="1">
      <c r="A852" s="9"/>
      <c r="B852" s="9"/>
      <c r="C852" s="16"/>
      <c r="D852" s="16"/>
      <c r="E852" s="6"/>
      <c r="F852" s="6"/>
      <c r="G852" s="6"/>
      <c r="H852" s="7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5.75" customHeight="1">
      <c r="A853" s="9"/>
      <c r="B853" s="9"/>
      <c r="C853" s="16"/>
      <c r="D853" s="16"/>
      <c r="E853" s="6"/>
      <c r="F853" s="6"/>
      <c r="G853" s="6"/>
      <c r="H853" s="7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5.75" customHeight="1">
      <c r="A854" s="9"/>
      <c r="B854" s="9"/>
      <c r="C854" s="16"/>
      <c r="D854" s="16"/>
      <c r="E854" s="6"/>
      <c r="F854" s="6"/>
      <c r="G854" s="6"/>
      <c r="H854" s="7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5.75" customHeight="1">
      <c r="A855" s="9"/>
      <c r="B855" s="9"/>
      <c r="C855" s="16"/>
      <c r="D855" s="16"/>
      <c r="E855" s="6"/>
      <c r="F855" s="6"/>
      <c r="G855" s="6"/>
      <c r="H855" s="7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5.75" customHeight="1">
      <c r="A856" s="9"/>
      <c r="B856" s="9"/>
      <c r="C856" s="16"/>
      <c r="D856" s="16"/>
      <c r="E856" s="6"/>
      <c r="F856" s="6"/>
      <c r="G856" s="6"/>
      <c r="H856" s="7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5.75" customHeight="1">
      <c r="A857" s="9"/>
      <c r="B857" s="9"/>
      <c r="C857" s="16"/>
      <c r="D857" s="16"/>
      <c r="E857" s="6"/>
      <c r="F857" s="6"/>
      <c r="G857" s="6"/>
      <c r="H857" s="7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5.75" customHeight="1">
      <c r="A858" s="9"/>
      <c r="B858" s="9"/>
      <c r="C858" s="16"/>
      <c r="D858" s="16"/>
      <c r="E858" s="6"/>
      <c r="F858" s="6"/>
      <c r="G858" s="6"/>
      <c r="H858" s="7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5.75" customHeight="1">
      <c r="A859" s="9"/>
      <c r="B859" s="9"/>
      <c r="C859" s="16"/>
      <c r="D859" s="16"/>
      <c r="E859" s="6"/>
      <c r="F859" s="6"/>
      <c r="G859" s="6"/>
      <c r="H859" s="7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5.75" customHeight="1">
      <c r="A860" s="9"/>
      <c r="B860" s="9"/>
      <c r="C860" s="16"/>
      <c r="D860" s="16"/>
      <c r="E860" s="6"/>
      <c r="F860" s="6"/>
      <c r="G860" s="6"/>
      <c r="H860" s="7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5.75" customHeight="1">
      <c r="A861" s="9"/>
      <c r="B861" s="9"/>
      <c r="C861" s="16"/>
      <c r="D861" s="16"/>
      <c r="E861" s="6"/>
      <c r="F861" s="6"/>
      <c r="G861" s="6"/>
      <c r="H861" s="7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5.75" customHeight="1">
      <c r="A862" s="9"/>
      <c r="B862" s="9"/>
      <c r="C862" s="16"/>
      <c r="D862" s="16"/>
      <c r="E862" s="6"/>
      <c r="F862" s="6"/>
      <c r="G862" s="6"/>
      <c r="H862" s="7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5.75" customHeight="1">
      <c r="A863" s="9"/>
      <c r="B863" s="9"/>
      <c r="C863" s="16"/>
      <c r="D863" s="16"/>
      <c r="E863" s="6"/>
      <c r="F863" s="6"/>
      <c r="G863" s="6"/>
      <c r="H863" s="7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5.75" customHeight="1">
      <c r="A864" s="9"/>
      <c r="B864" s="9"/>
      <c r="C864" s="16"/>
      <c r="D864" s="16"/>
      <c r="E864" s="6"/>
      <c r="F864" s="6"/>
      <c r="G864" s="6"/>
      <c r="H864" s="7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5.75" customHeight="1">
      <c r="A865" s="9"/>
      <c r="B865" s="9"/>
      <c r="C865" s="16"/>
      <c r="D865" s="16"/>
      <c r="E865" s="6"/>
      <c r="F865" s="6"/>
      <c r="G865" s="6"/>
      <c r="H865" s="7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5.75" customHeight="1">
      <c r="A866" s="9"/>
      <c r="B866" s="9"/>
      <c r="C866" s="16"/>
      <c r="D866" s="16"/>
      <c r="E866" s="6"/>
      <c r="F866" s="6"/>
      <c r="G866" s="6"/>
      <c r="H866" s="7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5.75" customHeight="1">
      <c r="A867" s="9"/>
      <c r="B867" s="9"/>
      <c r="C867" s="16"/>
      <c r="D867" s="16"/>
      <c r="E867" s="6"/>
      <c r="F867" s="6"/>
      <c r="G867" s="6"/>
      <c r="H867" s="7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5.75" customHeight="1">
      <c r="A868" s="9"/>
      <c r="B868" s="9"/>
      <c r="C868" s="16"/>
      <c r="D868" s="16"/>
      <c r="E868" s="6"/>
      <c r="F868" s="6"/>
      <c r="G868" s="6"/>
      <c r="H868" s="7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5.75" customHeight="1">
      <c r="A869" s="9"/>
      <c r="B869" s="9"/>
      <c r="C869" s="16"/>
      <c r="D869" s="16"/>
      <c r="E869" s="6"/>
      <c r="F869" s="6"/>
      <c r="G869" s="6"/>
      <c r="H869" s="7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5.75" customHeight="1">
      <c r="A870" s="9"/>
      <c r="B870" s="9"/>
      <c r="C870" s="16"/>
      <c r="D870" s="16"/>
      <c r="E870" s="6"/>
      <c r="F870" s="6"/>
      <c r="G870" s="6"/>
      <c r="H870" s="7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5.75" customHeight="1">
      <c r="A871" s="9"/>
      <c r="B871" s="9"/>
      <c r="C871" s="16"/>
      <c r="D871" s="16"/>
      <c r="E871" s="6"/>
      <c r="F871" s="6"/>
      <c r="G871" s="6"/>
      <c r="H871" s="7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5.75" customHeight="1">
      <c r="A872" s="9"/>
      <c r="B872" s="9"/>
      <c r="C872" s="16"/>
      <c r="D872" s="16"/>
      <c r="E872" s="6"/>
      <c r="F872" s="6"/>
      <c r="G872" s="6"/>
      <c r="H872" s="7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5.75" customHeight="1">
      <c r="A873" s="9"/>
      <c r="B873" s="9"/>
      <c r="C873" s="16"/>
      <c r="D873" s="16"/>
      <c r="E873" s="6"/>
      <c r="F873" s="6"/>
      <c r="G873" s="6"/>
      <c r="H873" s="7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5.75" customHeight="1">
      <c r="A874" s="9"/>
      <c r="B874" s="9"/>
      <c r="C874" s="16"/>
      <c r="D874" s="16"/>
      <c r="E874" s="6"/>
      <c r="F874" s="6"/>
      <c r="G874" s="6"/>
      <c r="H874" s="7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5.75" customHeight="1">
      <c r="A875" s="9"/>
      <c r="B875" s="9"/>
      <c r="C875" s="16"/>
      <c r="D875" s="16"/>
      <c r="E875" s="6"/>
      <c r="F875" s="6"/>
      <c r="G875" s="6"/>
      <c r="H875" s="7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5.75" customHeight="1">
      <c r="A876" s="9"/>
      <c r="B876" s="9"/>
      <c r="C876" s="16"/>
      <c r="D876" s="16"/>
      <c r="E876" s="6"/>
      <c r="F876" s="6"/>
      <c r="G876" s="6"/>
      <c r="H876" s="7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5.75" customHeight="1">
      <c r="A877" s="9"/>
      <c r="B877" s="9"/>
      <c r="C877" s="16"/>
      <c r="D877" s="16"/>
      <c r="E877" s="6"/>
      <c r="F877" s="6"/>
      <c r="G877" s="6"/>
      <c r="H877" s="7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5.75" customHeight="1">
      <c r="A878" s="9"/>
      <c r="B878" s="9"/>
      <c r="C878" s="16"/>
      <c r="D878" s="16"/>
      <c r="E878" s="6"/>
      <c r="F878" s="6"/>
      <c r="G878" s="6"/>
      <c r="H878" s="7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5.75" customHeight="1">
      <c r="A879" s="9"/>
      <c r="B879" s="9"/>
      <c r="C879" s="16"/>
      <c r="D879" s="16"/>
      <c r="E879" s="6"/>
      <c r="F879" s="6"/>
      <c r="G879" s="6"/>
      <c r="H879" s="7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5.75" customHeight="1">
      <c r="A880" s="9"/>
      <c r="B880" s="9"/>
      <c r="C880" s="16"/>
      <c r="D880" s="16"/>
      <c r="E880" s="6"/>
      <c r="F880" s="6"/>
      <c r="G880" s="6"/>
      <c r="H880" s="7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5.75" customHeight="1">
      <c r="A881" s="9"/>
      <c r="B881" s="9"/>
      <c r="C881" s="16"/>
      <c r="D881" s="16"/>
      <c r="E881" s="6"/>
      <c r="F881" s="6"/>
      <c r="G881" s="6"/>
      <c r="H881" s="7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5.75" customHeight="1">
      <c r="A882" s="9"/>
      <c r="B882" s="9"/>
      <c r="C882" s="16"/>
      <c r="D882" s="16"/>
      <c r="E882" s="6"/>
      <c r="F882" s="6"/>
      <c r="G882" s="6"/>
      <c r="H882" s="7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5.75" customHeight="1">
      <c r="A883" s="9"/>
      <c r="B883" s="9"/>
      <c r="C883" s="16"/>
      <c r="D883" s="16"/>
      <c r="E883" s="6"/>
      <c r="F883" s="6"/>
      <c r="G883" s="6"/>
      <c r="H883" s="7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5.75" customHeight="1">
      <c r="A884" s="9"/>
      <c r="B884" s="9"/>
      <c r="C884" s="16"/>
      <c r="D884" s="16"/>
      <c r="E884" s="6"/>
      <c r="F884" s="6"/>
      <c r="G884" s="6"/>
      <c r="H884" s="7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5.75" customHeight="1">
      <c r="A885" s="9"/>
      <c r="B885" s="9"/>
      <c r="C885" s="16"/>
      <c r="D885" s="16"/>
      <c r="E885" s="6"/>
      <c r="F885" s="6"/>
      <c r="G885" s="6"/>
      <c r="H885" s="7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5.75" customHeight="1">
      <c r="A886" s="9"/>
      <c r="B886" s="9"/>
      <c r="C886" s="16"/>
      <c r="D886" s="16"/>
      <c r="E886" s="6"/>
      <c r="F886" s="6"/>
      <c r="G886" s="6"/>
      <c r="H886" s="7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5.75" customHeight="1">
      <c r="A887" s="9"/>
      <c r="B887" s="9"/>
      <c r="C887" s="16"/>
      <c r="D887" s="16"/>
      <c r="E887" s="6"/>
      <c r="F887" s="6"/>
      <c r="G887" s="6"/>
      <c r="H887" s="7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5.75" customHeight="1">
      <c r="A888" s="9"/>
      <c r="B888" s="9"/>
      <c r="C888" s="16"/>
      <c r="D888" s="16"/>
      <c r="E888" s="6"/>
      <c r="F888" s="6"/>
      <c r="G888" s="6"/>
      <c r="H888" s="7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5.75" customHeight="1">
      <c r="A889" s="9"/>
      <c r="B889" s="9"/>
      <c r="C889" s="16"/>
      <c r="D889" s="16"/>
      <c r="E889" s="6"/>
      <c r="F889" s="6"/>
      <c r="G889" s="6"/>
      <c r="H889" s="7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5.75" customHeight="1">
      <c r="A890" s="9"/>
      <c r="B890" s="9"/>
      <c r="C890" s="16"/>
      <c r="D890" s="16"/>
      <c r="E890" s="6"/>
      <c r="F890" s="6"/>
      <c r="G890" s="6"/>
      <c r="H890" s="7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5.75" customHeight="1">
      <c r="A891" s="9"/>
      <c r="B891" s="9"/>
      <c r="C891" s="16"/>
      <c r="D891" s="16"/>
      <c r="E891" s="6"/>
      <c r="F891" s="6"/>
      <c r="G891" s="6"/>
      <c r="H891" s="7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5.75" customHeight="1">
      <c r="A892" s="9"/>
      <c r="B892" s="9"/>
      <c r="C892" s="16"/>
      <c r="D892" s="16"/>
      <c r="E892" s="6"/>
      <c r="F892" s="6"/>
      <c r="G892" s="6"/>
      <c r="H892" s="7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5.75" customHeight="1">
      <c r="A893" s="9"/>
      <c r="B893" s="9"/>
      <c r="C893" s="16"/>
      <c r="D893" s="16"/>
      <c r="E893" s="6"/>
      <c r="F893" s="6"/>
      <c r="G893" s="6"/>
      <c r="H893" s="7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5.75" customHeight="1">
      <c r="A894" s="9"/>
      <c r="B894" s="9"/>
      <c r="C894" s="16"/>
      <c r="D894" s="16"/>
      <c r="E894" s="6"/>
      <c r="F894" s="6"/>
      <c r="G894" s="6"/>
      <c r="H894" s="7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5.75" customHeight="1">
      <c r="A895" s="9"/>
      <c r="B895" s="9"/>
      <c r="C895" s="16"/>
      <c r="D895" s="16"/>
      <c r="E895" s="6"/>
      <c r="F895" s="6"/>
      <c r="G895" s="6"/>
      <c r="H895" s="7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5.75" customHeight="1">
      <c r="A896" s="9"/>
      <c r="B896" s="9"/>
      <c r="C896" s="16"/>
      <c r="D896" s="16"/>
      <c r="E896" s="6"/>
      <c r="F896" s="6"/>
      <c r="G896" s="6"/>
      <c r="H896" s="7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5.75" customHeight="1">
      <c r="A897" s="9"/>
      <c r="B897" s="9"/>
      <c r="C897" s="16"/>
      <c r="D897" s="16"/>
      <c r="E897" s="6"/>
      <c r="F897" s="6"/>
      <c r="G897" s="6"/>
      <c r="H897" s="7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5.75" customHeight="1">
      <c r="A898" s="9"/>
      <c r="B898" s="9"/>
      <c r="C898" s="16"/>
      <c r="D898" s="16"/>
      <c r="E898" s="6"/>
      <c r="F898" s="6"/>
      <c r="G898" s="6"/>
      <c r="H898" s="7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5.75" customHeight="1">
      <c r="A899" s="9"/>
      <c r="B899" s="9"/>
      <c r="C899" s="16"/>
      <c r="D899" s="16"/>
      <c r="E899" s="6"/>
      <c r="F899" s="6"/>
      <c r="G899" s="6"/>
      <c r="H899" s="7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5.75" customHeight="1">
      <c r="A900" s="9"/>
      <c r="B900" s="9"/>
      <c r="C900" s="16"/>
      <c r="D900" s="16"/>
      <c r="E900" s="6"/>
      <c r="F900" s="6"/>
      <c r="G900" s="6"/>
      <c r="H900" s="7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5.75" customHeight="1">
      <c r="A901" s="9"/>
      <c r="B901" s="9"/>
      <c r="C901" s="16"/>
      <c r="D901" s="16"/>
      <c r="E901" s="6"/>
      <c r="F901" s="6"/>
      <c r="G901" s="6"/>
      <c r="H901" s="7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5.75" customHeight="1">
      <c r="A902" s="9"/>
      <c r="B902" s="9"/>
      <c r="C902" s="16"/>
      <c r="D902" s="16"/>
      <c r="E902" s="6"/>
      <c r="F902" s="6"/>
      <c r="G902" s="6"/>
      <c r="H902" s="7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5.75" customHeight="1">
      <c r="A903" s="9"/>
      <c r="B903" s="9"/>
      <c r="C903" s="16"/>
      <c r="D903" s="16"/>
      <c r="E903" s="6"/>
      <c r="F903" s="6"/>
      <c r="G903" s="6"/>
      <c r="H903" s="7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5.75" customHeight="1">
      <c r="A904" s="9"/>
      <c r="B904" s="9"/>
      <c r="C904" s="16"/>
      <c r="D904" s="16"/>
      <c r="E904" s="6"/>
      <c r="F904" s="6"/>
      <c r="G904" s="6"/>
      <c r="H904" s="7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5.75" customHeight="1">
      <c r="A905" s="9"/>
      <c r="B905" s="9"/>
      <c r="C905" s="16"/>
      <c r="D905" s="16"/>
      <c r="E905" s="6"/>
      <c r="F905" s="6"/>
      <c r="G905" s="6"/>
      <c r="H905" s="7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5.75" customHeight="1">
      <c r="A906" s="9"/>
      <c r="B906" s="9"/>
      <c r="C906" s="16"/>
      <c r="D906" s="16"/>
      <c r="E906" s="6"/>
      <c r="F906" s="6"/>
      <c r="G906" s="6"/>
      <c r="H906" s="7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5.75" customHeight="1">
      <c r="A907" s="9"/>
      <c r="B907" s="9"/>
      <c r="C907" s="16"/>
      <c r="D907" s="16"/>
      <c r="E907" s="6"/>
      <c r="F907" s="6"/>
      <c r="G907" s="6"/>
      <c r="H907" s="7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5.75" customHeight="1">
      <c r="A908" s="9"/>
      <c r="B908" s="9"/>
      <c r="C908" s="16"/>
      <c r="D908" s="16"/>
      <c r="E908" s="6"/>
      <c r="F908" s="6"/>
      <c r="G908" s="6"/>
      <c r="H908" s="7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5.75" customHeight="1">
      <c r="A909" s="9"/>
      <c r="B909" s="9"/>
      <c r="C909" s="16"/>
      <c r="D909" s="16"/>
      <c r="E909" s="6"/>
      <c r="F909" s="6"/>
      <c r="G909" s="6"/>
      <c r="H909" s="7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5.75" customHeight="1">
      <c r="A910" s="9"/>
      <c r="B910" s="9"/>
      <c r="C910" s="16"/>
      <c r="D910" s="16"/>
      <c r="E910" s="6"/>
      <c r="F910" s="6"/>
      <c r="G910" s="6"/>
      <c r="H910" s="7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5.75" customHeight="1">
      <c r="A911" s="9"/>
      <c r="B911" s="9"/>
      <c r="C911" s="16"/>
      <c r="D911" s="16"/>
      <c r="E911" s="6"/>
      <c r="F911" s="6"/>
      <c r="G911" s="6"/>
      <c r="H911" s="7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5.75" customHeight="1">
      <c r="A912" s="9"/>
      <c r="B912" s="9"/>
      <c r="C912" s="16"/>
      <c r="D912" s="16"/>
      <c r="E912" s="6"/>
      <c r="F912" s="6"/>
      <c r="G912" s="6"/>
      <c r="H912" s="7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5.75" customHeight="1">
      <c r="A913" s="9"/>
      <c r="B913" s="9"/>
      <c r="C913" s="16"/>
      <c r="D913" s="16"/>
      <c r="E913" s="6"/>
      <c r="F913" s="6"/>
      <c r="G913" s="6"/>
      <c r="H913" s="7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5.75" customHeight="1">
      <c r="A914" s="9"/>
      <c r="B914" s="9"/>
      <c r="C914" s="16"/>
      <c r="D914" s="16"/>
      <c r="E914" s="6"/>
      <c r="F914" s="6"/>
      <c r="G914" s="6"/>
      <c r="H914" s="7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5.75" customHeight="1">
      <c r="A915" s="9"/>
      <c r="B915" s="9"/>
      <c r="C915" s="16"/>
      <c r="D915" s="16"/>
      <c r="E915" s="6"/>
      <c r="F915" s="6"/>
      <c r="G915" s="6"/>
      <c r="H915" s="7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5.75" customHeight="1">
      <c r="A916" s="9"/>
      <c r="B916" s="9"/>
      <c r="C916" s="16"/>
      <c r="D916" s="16"/>
      <c r="E916" s="6"/>
      <c r="F916" s="6"/>
      <c r="G916" s="6"/>
      <c r="H916" s="7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5.75" customHeight="1">
      <c r="A917" s="9"/>
      <c r="B917" s="9"/>
      <c r="C917" s="16"/>
      <c r="D917" s="16"/>
      <c r="E917" s="6"/>
      <c r="F917" s="6"/>
      <c r="G917" s="6"/>
      <c r="H917" s="7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5.75" customHeight="1">
      <c r="A918" s="9"/>
      <c r="B918" s="9"/>
      <c r="C918" s="16"/>
      <c r="D918" s="16"/>
      <c r="E918" s="6"/>
      <c r="F918" s="6"/>
      <c r="G918" s="6"/>
      <c r="H918" s="7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5.75" customHeight="1">
      <c r="A919" s="9"/>
      <c r="B919" s="9"/>
      <c r="C919" s="16"/>
      <c r="D919" s="16"/>
      <c r="E919" s="6"/>
      <c r="F919" s="6"/>
      <c r="G919" s="6"/>
      <c r="H919" s="7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5.75" customHeight="1">
      <c r="A920" s="9"/>
      <c r="B920" s="9"/>
      <c r="C920" s="16"/>
      <c r="D920" s="16"/>
      <c r="E920" s="6"/>
      <c r="F920" s="6"/>
      <c r="G920" s="6"/>
      <c r="H920" s="7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5.75" customHeight="1">
      <c r="A921" s="9"/>
      <c r="B921" s="9"/>
      <c r="C921" s="16"/>
      <c r="D921" s="16"/>
      <c r="E921" s="6"/>
      <c r="F921" s="6"/>
      <c r="G921" s="6"/>
      <c r="H921" s="7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5.75" customHeight="1">
      <c r="A922" s="9"/>
      <c r="B922" s="9"/>
      <c r="C922" s="16"/>
      <c r="D922" s="16"/>
      <c r="E922" s="6"/>
      <c r="F922" s="6"/>
      <c r="G922" s="6"/>
      <c r="H922" s="7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5.75" customHeight="1">
      <c r="A923" s="9"/>
      <c r="B923" s="9"/>
      <c r="C923" s="16"/>
      <c r="D923" s="16"/>
      <c r="E923" s="6"/>
      <c r="F923" s="6"/>
      <c r="G923" s="6"/>
      <c r="H923" s="7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5.75" customHeight="1">
      <c r="A924" s="9"/>
      <c r="B924" s="9"/>
      <c r="C924" s="16"/>
      <c r="D924" s="16"/>
      <c r="E924" s="6"/>
      <c r="F924" s="6"/>
      <c r="G924" s="6"/>
      <c r="H924" s="7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5.75" customHeight="1">
      <c r="A925" s="9"/>
      <c r="B925" s="9"/>
      <c r="C925" s="16"/>
      <c r="D925" s="16"/>
      <c r="E925" s="6"/>
      <c r="F925" s="6"/>
      <c r="G925" s="6"/>
      <c r="H925" s="7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5.75" customHeight="1">
      <c r="A926" s="9"/>
      <c r="B926" s="9"/>
      <c r="C926" s="16"/>
      <c r="D926" s="16"/>
      <c r="E926" s="6"/>
      <c r="F926" s="6"/>
      <c r="G926" s="6"/>
      <c r="H926" s="7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5.75" customHeight="1">
      <c r="A927" s="9"/>
      <c r="B927" s="9"/>
      <c r="C927" s="16"/>
      <c r="D927" s="16"/>
      <c r="E927" s="6"/>
      <c r="F927" s="6"/>
      <c r="G927" s="6"/>
      <c r="H927" s="7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5.75" customHeight="1">
      <c r="A928" s="9"/>
      <c r="B928" s="9"/>
      <c r="C928" s="16"/>
      <c r="D928" s="16"/>
      <c r="E928" s="6"/>
      <c r="F928" s="6"/>
      <c r="G928" s="6"/>
      <c r="H928" s="7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5.75" customHeight="1">
      <c r="A929" s="9"/>
      <c r="B929" s="9"/>
      <c r="C929" s="16"/>
      <c r="D929" s="16"/>
      <c r="E929" s="6"/>
      <c r="F929" s="6"/>
      <c r="G929" s="6"/>
      <c r="H929" s="7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5.75" customHeight="1">
      <c r="A930" s="9"/>
      <c r="B930" s="9"/>
      <c r="C930" s="16"/>
      <c r="D930" s="16"/>
      <c r="E930" s="6"/>
      <c r="F930" s="6"/>
      <c r="G930" s="6"/>
      <c r="H930" s="7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5.75" customHeight="1">
      <c r="A931" s="9"/>
      <c r="B931" s="9"/>
      <c r="C931" s="16"/>
      <c r="D931" s="16"/>
      <c r="E931" s="6"/>
      <c r="F931" s="6"/>
      <c r="G931" s="6"/>
      <c r="H931" s="7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5.75" customHeight="1">
      <c r="A932" s="9"/>
      <c r="B932" s="9"/>
      <c r="C932" s="16"/>
      <c r="D932" s="16"/>
      <c r="E932" s="6"/>
      <c r="F932" s="6"/>
      <c r="G932" s="6"/>
      <c r="H932" s="7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5.75" customHeight="1">
      <c r="A933" s="9"/>
      <c r="B933" s="9"/>
      <c r="C933" s="16"/>
      <c r="D933" s="16"/>
      <c r="E933" s="6"/>
      <c r="F933" s="6"/>
      <c r="G933" s="6"/>
      <c r="H933" s="7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5.75" customHeight="1">
      <c r="A934" s="9"/>
      <c r="B934" s="9"/>
      <c r="C934" s="16"/>
      <c r="D934" s="16"/>
      <c r="E934" s="6"/>
      <c r="F934" s="6"/>
      <c r="G934" s="6"/>
      <c r="H934" s="7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5.75" customHeight="1">
      <c r="A935" s="9"/>
      <c r="B935" s="9"/>
      <c r="C935" s="16"/>
      <c r="D935" s="16"/>
      <c r="E935" s="6"/>
      <c r="F935" s="6"/>
      <c r="G935" s="6"/>
      <c r="H935" s="7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5.75" customHeight="1">
      <c r="A936" s="9"/>
      <c r="B936" s="9"/>
      <c r="C936" s="16"/>
      <c r="D936" s="16"/>
      <c r="E936" s="6"/>
      <c r="F936" s="6"/>
      <c r="G936" s="6"/>
      <c r="H936" s="7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5.75" customHeight="1">
      <c r="A937" s="9"/>
      <c r="B937" s="9"/>
      <c r="C937" s="16"/>
      <c r="D937" s="16"/>
      <c r="E937" s="6"/>
      <c r="F937" s="6"/>
      <c r="G937" s="6"/>
      <c r="H937" s="7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5.75" customHeight="1">
      <c r="A938" s="9"/>
      <c r="B938" s="9"/>
      <c r="C938" s="16"/>
      <c r="D938" s="16"/>
      <c r="E938" s="6"/>
      <c r="F938" s="6"/>
      <c r="G938" s="6"/>
      <c r="H938" s="7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5.75" customHeight="1">
      <c r="A939" s="9"/>
      <c r="B939" s="9"/>
      <c r="C939" s="16"/>
      <c r="D939" s="16"/>
      <c r="E939" s="6"/>
      <c r="F939" s="6"/>
      <c r="G939" s="6"/>
      <c r="H939" s="7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5.75" customHeight="1">
      <c r="A940" s="9"/>
      <c r="B940" s="9"/>
      <c r="C940" s="16"/>
      <c r="D940" s="16"/>
      <c r="E940" s="6"/>
      <c r="F940" s="6"/>
      <c r="G940" s="6"/>
      <c r="H940" s="7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5.75" customHeight="1">
      <c r="A941" s="9"/>
      <c r="B941" s="9"/>
      <c r="C941" s="16"/>
      <c r="D941" s="16"/>
      <c r="E941" s="6"/>
      <c r="F941" s="6"/>
      <c r="G941" s="6"/>
      <c r="H941" s="7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5.75" customHeight="1">
      <c r="A942" s="9"/>
      <c r="B942" s="9"/>
      <c r="C942" s="16"/>
      <c r="D942" s="16"/>
      <c r="E942" s="6"/>
      <c r="F942" s="6"/>
      <c r="G942" s="6"/>
      <c r="H942" s="7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5.75" customHeight="1">
      <c r="A943" s="9"/>
      <c r="B943" s="9"/>
      <c r="C943" s="16"/>
      <c r="D943" s="16"/>
      <c r="E943" s="6"/>
      <c r="F943" s="6"/>
      <c r="G943" s="6"/>
      <c r="H943" s="7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5.75" customHeight="1">
      <c r="A944" s="9"/>
      <c r="B944" s="9"/>
      <c r="C944" s="16"/>
      <c r="D944" s="16"/>
      <c r="E944" s="6"/>
      <c r="F944" s="6"/>
      <c r="G944" s="6"/>
      <c r="H944" s="7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5.75" customHeight="1">
      <c r="A945" s="9"/>
      <c r="B945" s="9"/>
      <c r="C945" s="16"/>
      <c r="D945" s="16"/>
      <c r="E945" s="6"/>
      <c r="F945" s="6"/>
      <c r="G945" s="6"/>
      <c r="H945" s="7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5.75" customHeight="1">
      <c r="A946" s="9"/>
      <c r="B946" s="9"/>
      <c r="C946" s="16"/>
      <c r="D946" s="16"/>
      <c r="E946" s="6"/>
      <c r="F946" s="6"/>
      <c r="G946" s="6"/>
      <c r="H946" s="7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5.75" customHeight="1">
      <c r="A947" s="9"/>
      <c r="B947" s="9"/>
      <c r="C947" s="16"/>
      <c r="D947" s="16"/>
      <c r="E947" s="6"/>
      <c r="F947" s="6"/>
      <c r="G947" s="6"/>
      <c r="H947" s="7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5.75" customHeight="1">
      <c r="A948" s="9"/>
      <c r="B948" s="9"/>
      <c r="C948" s="16"/>
      <c r="D948" s="16"/>
      <c r="E948" s="6"/>
      <c r="F948" s="6"/>
      <c r="G948" s="6"/>
      <c r="H948" s="7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5.75" customHeight="1">
      <c r="A949" s="9"/>
      <c r="B949" s="9"/>
      <c r="C949" s="16"/>
      <c r="D949" s="16"/>
      <c r="E949" s="6"/>
      <c r="F949" s="6"/>
      <c r="G949" s="6"/>
      <c r="H949" s="7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5.75" customHeight="1">
      <c r="A950" s="9"/>
      <c r="B950" s="9"/>
      <c r="C950" s="16"/>
      <c r="D950" s="16"/>
      <c r="E950" s="6"/>
      <c r="F950" s="6"/>
      <c r="G950" s="6"/>
      <c r="H950" s="7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5.75" customHeight="1">
      <c r="A951" s="9"/>
      <c r="B951" s="9"/>
      <c r="C951" s="16"/>
      <c r="D951" s="16"/>
      <c r="E951" s="6"/>
      <c r="F951" s="6"/>
      <c r="G951" s="6"/>
      <c r="H951" s="7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5.75" customHeight="1">
      <c r="A952" s="9"/>
      <c r="B952" s="9"/>
      <c r="C952" s="16"/>
      <c r="D952" s="16"/>
      <c r="E952" s="6"/>
      <c r="F952" s="6"/>
      <c r="G952" s="6"/>
      <c r="H952" s="7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5.75" customHeight="1">
      <c r="A953" s="9"/>
      <c r="B953" s="9"/>
      <c r="C953" s="16"/>
      <c r="D953" s="16"/>
      <c r="E953" s="6"/>
      <c r="F953" s="6"/>
      <c r="G953" s="6"/>
      <c r="H953" s="7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5.75" customHeight="1">
      <c r="A954" s="9"/>
      <c r="B954" s="9"/>
      <c r="C954" s="16"/>
      <c r="D954" s="16"/>
      <c r="E954" s="6"/>
      <c r="F954" s="6"/>
      <c r="G954" s="6"/>
      <c r="H954" s="7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5.75" customHeight="1">
      <c r="A955" s="9"/>
      <c r="B955" s="9"/>
      <c r="C955" s="16"/>
      <c r="D955" s="16"/>
      <c r="E955" s="6"/>
      <c r="F955" s="6"/>
      <c r="G955" s="6"/>
      <c r="H955" s="7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5.75" customHeight="1">
      <c r="A956" s="9"/>
      <c r="B956" s="9"/>
      <c r="C956" s="16"/>
      <c r="D956" s="16"/>
      <c r="E956" s="6"/>
      <c r="F956" s="6"/>
      <c r="G956" s="6"/>
      <c r="H956" s="7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5.75" customHeight="1">
      <c r="A957" s="9"/>
      <c r="B957" s="9"/>
      <c r="C957" s="16"/>
      <c r="D957" s="16"/>
      <c r="E957" s="6"/>
      <c r="F957" s="6"/>
      <c r="G957" s="6"/>
      <c r="H957" s="7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5.75" customHeight="1">
      <c r="A958" s="9"/>
      <c r="B958" s="9"/>
      <c r="C958" s="16"/>
      <c r="D958" s="16"/>
      <c r="E958" s="6"/>
      <c r="F958" s="6"/>
      <c r="G958" s="6"/>
      <c r="H958" s="7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5.75" customHeight="1">
      <c r="A959" s="9"/>
      <c r="B959" s="9"/>
      <c r="C959" s="16"/>
      <c r="D959" s="16"/>
      <c r="E959" s="6"/>
      <c r="F959" s="6"/>
      <c r="G959" s="6"/>
      <c r="H959" s="7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5.75" customHeight="1">
      <c r="A960" s="9"/>
      <c r="B960" s="9"/>
      <c r="C960" s="16"/>
      <c r="D960" s="16"/>
      <c r="E960" s="6"/>
      <c r="F960" s="6"/>
      <c r="G960" s="6"/>
      <c r="H960" s="7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5.75" customHeight="1">
      <c r="A961" s="9"/>
      <c r="B961" s="9"/>
      <c r="C961" s="16"/>
      <c r="D961" s="16"/>
      <c r="E961" s="6"/>
      <c r="F961" s="6"/>
      <c r="G961" s="6"/>
      <c r="H961" s="7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5.75" customHeight="1">
      <c r="A962" s="9"/>
      <c r="B962" s="9"/>
      <c r="C962" s="16"/>
      <c r="D962" s="16"/>
      <c r="E962" s="6"/>
      <c r="F962" s="6"/>
      <c r="G962" s="6"/>
      <c r="H962" s="7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5.75" customHeight="1">
      <c r="A963" s="9"/>
      <c r="B963" s="9"/>
      <c r="C963" s="16"/>
      <c r="D963" s="16"/>
      <c r="E963" s="6"/>
      <c r="F963" s="6"/>
      <c r="G963" s="6"/>
      <c r="H963" s="7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5.75" customHeight="1">
      <c r="A964" s="9"/>
      <c r="B964" s="9"/>
      <c r="C964" s="16"/>
      <c r="D964" s="16"/>
      <c r="E964" s="6"/>
      <c r="F964" s="6"/>
      <c r="G964" s="6"/>
      <c r="H964" s="7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5.75" customHeight="1">
      <c r="A965" s="9"/>
      <c r="B965" s="9"/>
      <c r="C965" s="16"/>
      <c r="D965" s="16"/>
      <c r="E965" s="6"/>
      <c r="F965" s="6"/>
      <c r="G965" s="6"/>
      <c r="H965" s="7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5.75" customHeight="1">
      <c r="A966" s="9"/>
      <c r="B966" s="9"/>
      <c r="C966" s="16"/>
      <c r="D966" s="16"/>
      <c r="E966" s="6"/>
      <c r="F966" s="6"/>
      <c r="G966" s="6"/>
      <c r="H966" s="7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5.75" customHeight="1">
      <c r="A967" s="9"/>
      <c r="B967" s="9"/>
      <c r="C967" s="16"/>
      <c r="D967" s="16"/>
      <c r="E967" s="6"/>
      <c r="F967" s="6"/>
      <c r="G967" s="6"/>
      <c r="H967" s="7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5.75" customHeight="1">
      <c r="A968" s="9"/>
      <c r="B968" s="9"/>
      <c r="C968" s="16"/>
      <c r="D968" s="16"/>
      <c r="E968" s="6"/>
      <c r="F968" s="6"/>
      <c r="G968" s="6"/>
      <c r="H968" s="7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5.75" customHeight="1">
      <c r="A969" s="9"/>
      <c r="B969" s="9"/>
      <c r="C969" s="16"/>
      <c r="D969" s="16"/>
      <c r="E969" s="6"/>
      <c r="F969" s="6"/>
      <c r="G969" s="6"/>
      <c r="H969" s="7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5.75" customHeight="1">
      <c r="A970" s="9"/>
      <c r="B970" s="9"/>
      <c r="C970" s="16"/>
      <c r="D970" s="16"/>
      <c r="E970" s="6"/>
      <c r="F970" s="6"/>
      <c r="G970" s="6"/>
      <c r="H970" s="7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5.75" customHeight="1">
      <c r="A971" s="9"/>
      <c r="B971" s="9"/>
      <c r="C971" s="16"/>
      <c r="D971" s="16"/>
      <c r="E971" s="6"/>
      <c r="F971" s="6"/>
      <c r="G971" s="6"/>
      <c r="H971" s="7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5.75" customHeight="1">
      <c r="A972" s="9"/>
      <c r="B972" s="9"/>
      <c r="C972" s="16"/>
      <c r="D972" s="16"/>
      <c r="E972" s="6"/>
      <c r="F972" s="6"/>
      <c r="G972" s="6"/>
      <c r="H972" s="7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5.75" customHeight="1">
      <c r="A973" s="9"/>
      <c r="B973" s="9"/>
      <c r="C973" s="16"/>
      <c r="D973" s="16"/>
      <c r="E973" s="6"/>
      <c r="F973" s="6"/>
      <c r="G973" s="6"/>
      <c r="H973" s="7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5.75" customHeight="1">
      <c r="A974" s="9"/>
      <c r="B974" s="9"/>
      <c r="C974" s="16"/>
      <c r="D974" s="16"/>
      <c r="E974" s="6"/>
      <c r="F974" s="6"/>
      <c r="G974" s="6"/>
      <c r="H974" s="7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5.75" customHeight="1">
      <c r="A975" s="9"/>
      <c r="B975" s="9"/>
      <c r="C975" s="16"/>
      <c r="D975" s="16"/>
      <c r="E975" s="6"/>
      <c r="F975" s="6"/>
      <c r="G975" s="6"/>
      <c r="H975" s="7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5.75" customHeight="1">
      <c r="A976" s="9"/>
      <c r="B976" s="9"/>
      <c r="C976" s="16"/>
      <c r="D976" s="16"/>
      <c r="E976" s="6"/>
      <c r="F976" s="6"/>
      <c r="G976" s="6"/>
      <c r="H976" s="7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5.75" customHeight="1">
      <c r="A977" s="9"/>
      <c r="B977" s="9"/>
      <c r="C977" s="16"/>
      <c r="D977" s="16"/>
      <c r="E977" s="6"/>
      <c r="F977" s="6"/>
      <c r="G977" s="6"/>
      <c r="H977" s="7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5.75" customHeight="1">
      <c r="A978" s="9"/>
      <c r="B978" s="9"/>
      <c r="C978" s="16"/>
      <c r="D978" s="16"/>
      <c r="E978" s="6"/>
      <c r="F978" s="6"/>
      <c r="G978" s="6"/>
      <c r="H978" s="7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5.75" customHeight="1">
      <c r="A979" s="9"/>
      <c r="B979" s="9"/>
      <c r="C979" s="16"/>
      <c r="D979" s="16"/>
      <c r="E979" s="6"/>
      <c r="F979" s="6"/>
      <c r="G979" s="6"/>
      <c r="H979" s="7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5.75" customHeight="1">
      <c r="A980" s="9"/>
      <c r="B980" s="9"/>
      <c r="C980" s="16"/>
      <c r="D980" s="16"/>
      <c r="E980" s="6"/>
      <c r="F980" s="6"/>
      <c r="G980" s="6"/>
      <c r="H980" s="7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</sheetData>
  <autoFilter ref="$B$7:$L$722"/>
  <mergeCells count="3">
    <mergeCell ref="B6:C6"/>
    <mergeCell ref="E6:J6"/>
    <mergeCell ref="K6:L6"/>
  </mergeCells>
  <conditionalFormatting sqref="I8:I723 J197">
    <cfRule type="cellIs" dxfId="0" priority="1" operator="greaterThanOrEqual">
      <formula>0.3</formula>
    </cfRule>
  </conditionalFormatting>
  <conditionalFormatting sqref="I8:I723 J197">
    <cfRule type="cellIs" dxfId="1" priority="2" operator="greaterThan">
      <formula>0.3</formula>
    </cfRule>
  </conditionalFormatting>
  <conditionalFormatting sqref="I8:I723 J197">
    <cfRule type="cellIs" dxfId="2" priority="3" operator="greaterThanOrEqual">
      <formula>0.3</formula>
    </cfRule>
  </conditionalFormatting>
  <conditionalFormatting sqref="J8:J72 J74:J417 J419:J723">
    <cfRule type="cellIs" dxfId="3" priority="4" operator="between">
      <formula>35</formula>
      <formula>1000</formula>
    </cfRule>
  </conditionalFormatting>
  <conditionalFormatting sqref="J8:J72 J74:J417 J419:J723">
    <cfRule type="cellIs" dxfId="3" priority="5" operator="between">
      <formula>0.35</formula>
      <formula>10</formula>
    </cfRule>
  </conditionalFormatting>
  <dataValidations>
    <dataValidation type="list" allowBlank="1" showErrorMessage="1" sqref="B1:D1">
      <formula1>campos</formula1>
    </dataValidation>
  </dataValidations>
  <printOptions/>
  <pageMargins bottom="0.7875" footer="0.0" header="0.0" left="0.511805555555556" right="0.511805555555556" top="0.78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14.71"/>
    <col customWidth="1" min="2" max="2" width="67.86"/>
    <col customWidth="1" min="3" max="3" width="56.0"/>
    <col customWidth="1" min="4" max="6" width="11.57"/>
    <col customWidth="1" min="7" max="7" width="10.71"/>
    <col customWidth="1" min="12" max="12" width="56.14"/>
  </cols>
  <sheetData>
    <row r="1">
      <c r="A1" s="30" t="s">
        <v>1</v>
      </c>
      <c r="B1" s="31" t="s">
        <v>2</v>
      </c>
      <c r="C1" s="30" t="s">
        <v>8</v>
      </c>
      <c r="D1" s="32" t="s">
        <v>9</v>
      </c>
      <c r="E1" s="33" t="s">
        <v>10</v>
      </c>
      <c r="F1" s="33" t="s">
        <v>11</v>
      </c>
      <c r="G1" s="33" t="s">
        <v>12</v>
      </c>
      <c r="H1" s="33" t="s">
        <v>13</v>
      </c>
      <c r="I1" s="34" t="s">
        <v>14</v>
      </c>
      <c r="J1" s="35" t="s">
        <v>15</v>
      </c>
      <c r="K1" s="35" t="s">
        <v>16</v>
      </c>
      <c r="L1" s="237" t="s">
        <v>713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>
      <c r="A2" s="81">
        <v>1.0001285E8</v>
      </c>
      <c r="B2" s="89" t="s">
        <v>80</v>
      </c>
      <c r="C2" s="83" t="s">
        <v>81</v>
      </c>
      <c r="D2" s="95">
        <v>135692.04</v>
      </c>
      <c r="E2" s="54">
        <v>135692.04</v>
      </c>
      <c r="F2" s="101">
        <v>135692.04</v>
      </c>
      <c r="G2" s="41">
        <f t="shared" ref="G2:G410" si="1">SUM(D2:F2)/3</f>
        <v>135692.04</v>
      </c>
      <c r="H2" s="49">
        <f t="shared" ref="H2:H46" si="2">IF(ISERROR(MAX(D2:F2)/MIN(D2:F2)-1),"",(MAX(D2:F2)/MIN(D2:F2)-1))</f>
        <v>0</v>
      </c>
      <c r="I2" s="43"/>
      <c r="J2" s="78"/>
      <c r="K2" s="78">
        <f t="shared" ref="K2:K410" si="3">EDATE(J2,6)</f>
        <v>182</v>
      </c>
      <c r="L2" s="238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>
      <c r="A3" s="150">
        <v>1.00002329E8</v>
      </c>
      <c r="B3" s="151" t="s">
        <v>264</v>
      </c>
      <c r="C3" s="152" t="s">
        <v>265</v>
      </c>
      <c r="D3" s="153"/>
      <c r="E3" s="154"/>
      <c r="F3" s="154"/>
      <c r="G3" s="155">
        <f t="shared" si="1"/>
        <v>0</v>
      </c>
      <c r="H3" s="156" t="str">
        <f t="shared" si="2"/>
        <v/>
      </c>
      <c r="I3" s="157" t="str">
        <f t="shared" ref="I3:I4" si="4">IF(ISERROR(MAX(D3:F3)/G3-1),"",(MAX(D3:F3)/G3-1))</f>
        <v/>
      </c>
      <c r="J3" s="158">
        <v>45909.0</v>
      </c>
      <c r="K3" s="165">
        <f t="shared" si="3"/>
        <v>46090</v>
      </c>
      <c r="L3" s="238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>
      <c r="A4" s="150">
        <v>1.0000233E8</v>
      </c>
      <c r="B4" s="151" t="s">
        <v>266</v>
      </c>
      <c r="C4" s="152" t="s">
        <v>265</v>
      </c>
      <c r="D4" s="153"/>
      <c r="E4" s="154"/>
      <c r="F4" s="154"/>
      <c r="G4" s="155">
        <f t="shared" si="1"/>
        <v>0</v>
      </c>
      <c r="H4" s="156" t="str">
        <f t="shared" si="2"/>
        <v/>
      </c>
      <c r="I4" s="157" t="str">
        <f t="shared" si="4"/>
        <v/>
      </c>
      <c r="J4" s="158">
        <v>45909.0</v>
      </c>
      <c r="K4" s="165">
        <f t="shared" si="3"/>
        <v>46090</v>
      </c>
      <c r="L4" s="23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>
      <c r="A5" s="150">
        <v>1.00011317E8</v>
      </c>
      <c r="B5" s="151" t="s">
        <v>267</v>
      </c>
      <c r="C5" s="152" t="s">
        <v>265</v>
      </c>
      <c r="D5" s="153"/>
      <c r="E5" s="154"/>
      <c r="F5" s="154"/>
      <c r="G5" s="155">
        <f t="shared" si="1"/>
        <v>0</v>
      </c>
      <c r="H5" s="156" t="str">
        <f t="shared" si="2"/>
        <v/>
      </c>
      <c r="I5" s="157"/>
      <c r="J5" s="158">
        <v>45909.0</v>
      </c>
      <c r="K5" s="239">
        <f t="shared" si="3"/>
        <v>46090</v>
      </c>
      <c r="L5" s="238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>
      <c r="A6" s="150">
        <v>1.00011317E8</v>
      </c>
      <c r="B6" s="151" t="s">
        <v>268</v>
      </c>
      <c r="C6" s="152" t="s">
        <v>265</v>
      </c>
      <c r="D6" s="153"/>
      <c r="E6" s="154"/>
      <c r="F6" s="154"/>
      <c r="G6" s="155">
        <f t="shared" si="1"/>
        <v>0</v>
      </c>
      <c r="H6" s="156" t="str">
        <f t="shared" si="2"/>
        <v/>
      </c>
      <c r="I6" s="157" t="str">
        <f t="shared" ref="I6:I410" si="5">IF(ISERROR(MAX(D6:F6)/G6-1),"",(MAX(D6:F6)/G6-1))</f>
        <v/>
      </c>
      <c r="J6" s="158">
        <v>45909.0</v>
      </c>
      <c r="K6" s="165">
        <f t="shared" si="3"/>
        <v>46090</v>
      </c>
      <c r="L6" s="238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>
      <c r="A7" s="150">
        <v>1.00011317E8</v>
      </c>
      <c r="B7" s="151" t="s">
        <v>269</v>
      </c>
      <c r="C7" s="152" t="s">
        <v>265</v>
      </c>
      <c r="D7" s="161"/>
      <c r="E7" s="154"/>
      <c r="F7" s="154"/>
      <c r="G7" s="155">
        <f t="shared" si="1"/>
        <v>0</v>
      </c>
      <c r="H7" s="156" t="str">
        <f t="shared" si="2"/>
        <v/>
      </c>
      <c r="I7" s="157" t="str">
        <f t="shared" si="5"/>
        <v/>
      </c>
      <c r="J7" s="158">
        <v>45909.0</v>
      </c>
      <c r="K7" s="165">
        <f t="shared" si="3"/>
        <v>46090</v>
      </c>
      <c r="L7" s="238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>
      <c r="A8" s="150">
        <v>1.00012664E8</v>
      </c>
      <c r="B8" s="151" t="s">
        <v>276</v>
      </c>
      <c r="C8" s="152" t="s">
        <v>277</v>
      </c>
      <c r="D8" s="162"/>
      <c r="E8" s="163"/>
      <c r="F8" s="164"/>
      <c r="G8" s="155">
        <f t="shared" si="1"/>
        <v>0</v>
      </c>
      <c r="H8" s="156" t="str">
        <f t="shared" si="2"/>
        <v/>
      </c>
      <c r="I8" s="157" t="str">
        <f t="shared" si="5"/>
        <v/>
      </c>
      <c r="J8" s="165"/>
      <c r="K8" s="165">
        <f t="shared" si="3"/>
        <v>182</v>
      </c>
      <c r="L8" s="238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>
      <c r="A9" s="150">
        <v>1.00012664E8</v>
      </c>
      <c r="B9" s="151" t="s">
        <v>292</v>
      </c>
      <c r="C9" s="152" t="s">
        <v>293</v>
      </c>
      <c r="D9" s="162"/>
      <c r="E9" s="166"/>
      <c r="F9" s="167"/>
      <c r="G9" s="155">
        <f t="shared" si="1"/>
        <v>0</v>
      </c>
      <c r="H9" s="156" t="str">
        <f t="shared" si="2"/>
        <v/>
      </c>
      <c r="I9" s="157" t="str">
        <f t="shared" si="5"/>
        <v/>
      </c>
      <c r="J9" s="165"/>
      <c r="K9" s="165">
        <f t="shared" si="3"/>
        <v>182</v>
      </c>
      <c r="L9" s="238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>
      <c r="A10" s="150">
        <v>1.00012664E8</v>
      </c>
      <c r="B10" s="151" t="s">
        <v>296</v>
      </c>
      <c r="C10" s="152" t="s">
        <v>297</v>
      </c>
      <c r="D10" s="162"/>
      <c r="E10" s="166"/>
      <c r="F10" s="167"/>
      <c r="G10" s="155">
        <f t="shared" si="1"/>
        <v>0</v>
      </c>
      <c r="H10" s="156" t="str">
        <f t="shared" si="2"/>
        <v/>
      </c>
      <c r="I10" s="157" t="str">
        <f t="shared" si="5"/>
        <v/>
      </c>
      <c r="J10" s="165"/>
      <c r="K10" s="165">
        <f t="shared" si="3"/>
        <v>182</v>
      </c>
      <c r="L10" s="238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>
      <c r="A11" s="190">
        <v>1.00002317E8</v>
      </c>
      <c r="B11" s="240" t="s">
        <v>353</v>
      </c>
      <c r="C11" s="104" t="s">
        <v>714</v>
      </c>
      <c r="D11" s="107">
        <v>60819.12</v>
      </c>
      <c r="E11" s="106">
        <v>60819.12</v>
      </c>
      <c r="F11" s="106">
        <v>60819.12</v>
      </c>
      <c r="G11" s="108">
        <f t="shared" si="1"/>
        <v>60819.12</v>
      </c>
      <c r="H11" s="109">
        <f t="shared" si="2"/>
        <v>0</v>
      </c>
      <c r="I11" s="110">
        <f t="shared" si="5"/>
        <v>0</v>
      </c>
      <c r="J11" s="241">
        <v>45802.0</v>
      </c>
      <c r="K11" s="111">
        <f t="shared" si="3"/>
        <v>45986</v>
      </c>
      <c r="L11" s="238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>
      <c r="A12" s="97">
        <v>1.00002323E8</v>
      </c>
      <c r="B12" s="98" t="s">
        <v>645</v>
      </c>
      <c r="C12" s="199" t="s">
        <v>646</v>
      </c>
      <c r="D12" s="200">
        <v>20592.74</v>
      </c>
      <c r="E12" s="201">
        <v>20592.74</v>
      </c>
      <c r="F12" s="57">
        <v>20592.74</v>
      </c>
      <c r="G12" s="41">
        <f t="shared" si="1"/>
        <v>20592.74</v>
      </c>
      <c r="H12" s="49">
        <f t="shared" si="2"/>
        <v>0</v>
      </c>
      <c r="I12" s="43">
        <f t="shared" si="5"/>
        <v>0</v>
      </c>
      <c r="J12" s="78"/>
      <c r="K12" s="78">
        <f t="shared" si="3"/>
        <v>182</v>
      </c>
      <c r="L12" s="238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>
      <c r="A13" s="97">
        <v>1.00002323E8</v>
      </c>
      <c r="B13" s="98" t="s">
        <v>647</v>
      </c>
      <c r="C13" s="202" t="s">
        <v>646</v>
      </c>
      <c r="D13" s="200">
        <v>17861.32</v>
      </c>
      <c r="E13" s="200">
        <v>17861.32</v>
      </c>
      <c r="F13" s="201">
        <v>17861.32</v>
      </c>
      <c r="G13" s="41">
        <f t="shared" si="1"/>
        <v>17861.32</v>
      </c>
      <c r="H13" s="49">
        <f t="shared" si="2"/>
        <v>0</v>
      </c>
      <c r="I13" s="43">
        <f t="shared" si="5"/>
        <v>0</v>
      </c>
      <c r="J13" s="78"/>
      <c r="K13" s="78">
        <f t="shared" si="3"/>
        <v>182</v>
      </c>
      <c r="L13" s="238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ht="15.75" customHeight="1">
      <c r="A14" s="97">
        <v>1.00002323E8</v>
      </c>
      <c r="B14" s="98" t="s">
        <v>648</v>
      </c>
      <c r="C14" s="113" t="s">
        <v>646</v>
      </c>
      <c r="D14" s="203">
        <v>357753.0</v>
      </c>
      <c r="E14" s="54">
        <v>357753.0</v>
      </c>
      <c r="F14" s="54">
        <v>357753.0</v>
      </c>
      <c r="G14" s="41">
        <f t="shared" si="1"/>
        <v>357753</v>
      </c>
      <c r="H14" s="49">
        <f t="shared" si="2"/>
        <v>0</v>
      </c>
      <c r="I14" s="43">
        <f t="shared" si="5"/>
        <v>0</v>
      </c>
      <c r="J14" s="78"/>
      <c r="K14" s="78">
        <f t="shared" si="3"/>
        <v>182</v>
      </c>
      <c r="L14" s="238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ht="15.75" customHeight="1">
      <c r="A15" s="97">
        <v>1.00002325E8</v>
      </c>
      <c r="B15" s="98" t="s">
        <v>649</v>
      </c>
      <c r="C15" s="113" t="s">
        <v>646</v>
      </c>
      <c r="D15" s="101">
        <v>8.12</v>
      </c>
      <c r="E15" s="54">
        <v>8.12</v>
      </c>
      <c r="F15" s="54">
        <v>8.12</v>
      </c>
      <c r="G15" s="41">
        <f t="shared" si="1"/>
        <v>8.12</v>
      </c>
      <c r="H15" s="49">
        <f t="shared" si="2"/>
        <v>0</v>
      </c>
      <c r="I15" s="43">
        <f t="shared" si="5"/>
        <v>0</v>
      </c>
      <c r="J15" s="78"/>
      <c r="K15" s="78">
        <f t="shared" si="3"/>
        <v>182</v>
      </c>
      <c r="L15" s="238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ht="15.75" customHeight="1">
      <c r="A16" s="97">
        <v>1.00002353E8</v>
      </c>
      <c r="B16" s="98" t="s">
        <v>650</v>
      </c>
      <c r="C16" s="113" t="s">
        <v>646</v>
      </c>
      <c r="D16" s="101">
        <v>23016.02</v>
      </c>
      <c r="E16" s="54">
        <v>23016.02</v>
      </c>
      <c r="F16" s="54">
        <v>23016.02</v>
      </c>
      <c r="G16" s="41">
        <f t="shared" si="1"/>
        <v>23016.02</v>
      </c>
      <c r="H16" s="49">
        <f t="shared" si="2"/>
        <v>0</v>
      </c>
      <c r="I16" s="43">
        <f t="shared" si="5"/>
        <v>0</v>
      </c>
      <c r="J16" s="78"/>
      <c r="K16" s="78">
        <f t="shared" si="3"/>
        <v>182</v>
      </c>
      <c r="L16" s="238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ht="15.75" customHeight="1">
      <c r="A17" s="97">
        <v>1.00002326E8</v>
      </c>
      <c r="B17" s="98" t="s">
        <v>651</v>
      </c>
      <c r="C17" s="113" t="s">
        <v>646</v>
      </c>
      <c r="D17" s="203">
        <v>60750.2</v>
      </c>
      <c r="E17" s="203">
        <v>60750.2</v>
      </c>
      <c r="F17" s="203">
        <v>60750.2</v>
      </c>
      <c r="G17" s="41">
        <f t="shared" si="1"/>
        <v>60750.2</v>
      </c>
      <c r="H17" s="49">
        <f t="shared" si="2"/>
        <v>0</v>
      </c>
      <c r="I17" s="43">
        <f t="shared" si="5"/>
        <v>0</v>
      </c>
      <c r="J17" s="78"/>
      <c r="K17" s="78">
        <f t="shared" si="3"/>
        <v>182</v>
      </c>
      <c r="L17" s="238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ht="15.75" customHeight="1">
      <c r="A18" s="97">
        <v>1.00002321E8</v>
      </c>
      <c r="B18" s="98" t="s">
        <v>655</v>
      </c>
      <c r="C18" s="113" t="s">
        <v>646</v>
      </c>
      <c r="D18" s="101">
        <v>4540.76</v>
      </c>
      <c r="E18" s="54">
        <v>4540.76</v>
      </c>
      <c r="F18" s="54">
        <v>4540.76</v>
      </c>
      <c r="G18" s="41">
        <f t="shared" si="1"/>
        <v>4540.76</v>
      </c>
      <c r="H18" s="49">
        <f t="shared" si="2"/>
        <v>0</v>
      </c>
      <c r="I18" s="43">
        <f t="shared" si="5"/>
        <v>0</v>
      </c>
      <c r="J18" s="78"/>
      <c r="K18" s="78">
        <f t="shared" si="3"/>
        <v>182</v>
      </c>
      <c r="L18" s="238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ht="15.75" customHeight="1">
      <c r="A19" s="97">
        <v>1.00012596E8</v>
      </c>
      <c r="B19" s="98" t="s">
        <v>656</v>
      </c>
      <c r="C19" s="113" t="s">
        <v>646</v>
      </c>
      <c r="D19" s="204">
        <v>76138.77</v>
      </c>
      <c r="E19" s="54">
        <v>76138.77</v>
      </c>
      <c r="F19" s="54">
        <v>76138.77</v>
      </c>
      <c r="G19" s="41">
        <f t="shared" si="1"/>
        <v>76138.77</v>
      </c>
      <c r="H19" s="49">
        <f t="shared" si="2"/>
        <v>0</v>
      </c>
      <c r="I19" s="43">
        <f t="shared" si="5"/>
        <v>0</v>
      </c>
      <c r="J19" s="78"/>
      <c r="K19" s="78">
        <f t="shared" si="3"/>
        <v>182</v>
      </c>
      <c r="L19" s="238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ht="15.75" customHeight="1">
      <c r="A20" s="97">
        <v>1.00012577E8</v>
      </c>
      <c r="B20" s="98" t="s">
        <v>657</v>
      </c>
      <c r="C20" s="113" t="s">
        <v>646</v>
      </c>
      <c r="D20" s="205">
        <v>127790.29</v>
      </c>
      <c r="E20" s="205">
        <v>127790.29</v>
      </c>
      <c r="F20" s="205">
        <v>127790.29</v>
      </c>
      <c r="G20" s="41">
        <f t="shared" si="1"/>
        <v>127790.29</v>
      </c>
      <c r="H20" s="49">
        <f t="shared" si="2"/>
        <v>0</v>
      </c>
      <c r="I20" s="43">
        <f t="shared" si="5"/>
        <v>0</v>
      </c>
      <c r="J20" s="78"/>
      <c r="K20" s="78">
        <f t="shared" si="3"/>
        <v>182</v>
      </c>
      <c r="L20" s="238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ht="15.75" customHeight="1">
      <c r="A21" s="97">
        <v>1.00012578E8</v>
      </c>
      <c r="B21" s="98" t="s">
        <v>659</v>
      </c>
      <c r="C21" s="188" t="s">
        <v>646</v>
      </c>
      <c r="D21" s="101">
        <v>103028.48</v>
      </c>
      <c r="E21" s="54">
        <v>103028.48</v>
      </c>
      <c r="F21" s="54">
        <v>103028.48</v>
      </c>
      <c r="G21" s="41">
        <f t="shared" si="1"/>
        <v>103028.48</v>
      </c>
      <c r="H21" s="49">
        <f t="shared" si="2"/>
        <v>0</v>
      </c>
      <c r="I21" s="43">
        <f t="shared" si="5"/>
        <v>0</v>
      </c>
      <c r="J21" s="78"/>
      <c r="K21" s="78">
        <f t="shared" si="3"/>
        <v>182</v>
      </c>
      <c r="L21" s="238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ht="15.75" customHeight="1">
      <c r="A22" s="97">
        <v>1.00012823E8</v>
      </c>
      <c r="B22" s="98" t="s">
        <v>660</v>
      </c>
      <c r="C22" s="113" t="s">
        <v>646</v>
      </c>
      <c r="D22" s="132">
        <v>63672.36</v>
      </c>
      <c r="E22" s="57">
        <v>63672.36</v>
      </c>
      <c r="F22" s="57">
        <v>63672.36</v>
      </c>
      <c r="G22" s="41">
        <f t="shared" si="1"/>
        <v>63672.36</v>
      </c>
      <c r="H22" s="49">
        <f t="shared" si="2"/>
        <v>0</v>
      </c>
      <c r="I22" s="43">
        <f t="shared" si="5"/>
        <v>0</v>
      </c>
      <c r="J22" s="78"/>
      <c r="K22" s="78">
        <f t="shared" si="3"/>
        <v>182</v>
      </c>
      <c r="L22" s="238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ht="15.75" customHeight="1">
      <c r="A23" s="97">
        <v>1.00002276E8</v>
      </c>
      <c r="B23" s="98" t="s">
        <v>666</v>
      </c>
      <c r="C23" s="113" t="s">
        <v>646</v>
      </c>
      <c r="D23" s="204">
        <v>200175.73</v>
      </c>
      <c r="E23" s="204">
        <v>200175.73</v>
      </c>
      <c r="F23" s="204">
        <v>200175.73</v>
      </c>
      <c r="G23" s="41">
        <f t="shared" si="1"/>
        <v>200175.73</v>
      </c>
      <c r="H23" s="49">
        <f t="shared" si="2"/>
        <v>0</v>
      </c>
      <c r="I23" s="43">
        <f t="shared" si="5"/>
        <v>0</v>
      </c>
      <c r="J23" s="78"/>
      <c r="K23" s="78">
        <f t="shared" si="3"/>
        <v>182</v>
      </c>
      <c r="L23" s="238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ht="15.75" customHeight="1">
      <c r="A24" s="97">
        <v>1.00002277E8</v>
      </c>
      <c r="B24" s="98" t="s">
        <v>667</v>
      </c>
      <c r="C24" s="113" t="s">
        <v>646</v>
      </c>
      <c r="D24" s="101">
        <v>117305.77</v>
      </c>
      <c r="E24" s="54">
        <v>117305.77</v>
      </c>
      <c r="F24" s="54">
        <v>117305.77</v>
      </c>
      <c r="G24" s="41">
        <f t="shared" si="1"/>
        <v>117305.77</v>
      </c>
      <c r="H24" s="49">
        <f t="shared" si="2"/>
        <v>0</v>
      </c>
      <c r="I24" s="43">
        <f t="shared" si="5"/>
        <v>0</v>
      </c>
      <c r="J24" s="78"/>
      <c r="K24" s="78">
        <f t="shared" si="3"/>
        <v>182</v>
      </c>
      <c r="L24" s="238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ht="15.75" customHeight="1">
      <c r="A25" s="97">
        <v>1.00002277E8</v>
      </c>
      <c r="B25" s="98" t="s">
        <v>668</v>
      </c>
      <c r="C25" s="113" t="s">
        <v>646</v>
      </c>
      <c r="D25" s="101">
        <v>7115.24</v>
      </c>
      <c r="E25" s="54">
        <v>7115.24</v>
      </c>
      <c r="F25" s="54">
        <v>7115.24</v>
      </c>
      <c r="G25" s="41">
        <f t="shared" si="1"/>
        <v>7115.24</v>
      </c>
      <c r="H25" s="49">
        <f t="shared" si="2"/>
        <v>0</v>
      </c>
      <c r="I25" s="43">
        <f t="shared" si="5"/>
        <v>0</v>
      </c>
      <c r="J25" s="78"/>
      <c r="K25" s="78">
        <f t="shared" si="3"/>
        <v>182</v>
      </c>
      <c r="L25" s="238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ht="15.75" customHeight="1">
      <c r="A26" s="97">
        <v>1.0001006E8</v>
      </c>
      <c r="B26" s="98" t="s">
        <v>610</v>
      </c>
      <c r="C26" s="113" t="s">
        <v>646</v>
      </c>
      <c r="D26" s="132">
        <v>23313.64</v>
      </c>
      <c r="E26" s="57">
        <v>23313.64</v>
      </c>
      <c r="F26" s="57">
        <v>23313.64</v>
      </c>
      <c r="G26" s="41">
        <f t="shared" si="1"/>
        <v>23313.64</v>
      </c>
      <c r="H26" s="49">
        <f t="shared" si="2"/>
        <v>0</v>
      </c>
      <c r="I26" s="43">
        <f t="shared" si="5"/>
        <v>0</v>
      </c>
      <c r="J26" s="78"/>
      <c r="K26" s="78">
        <f t="shared" si="3"/>
        <v>182</v>
      </c>
      <c r="L26" s="238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ht="15.75" customHeight="1">
      <c r="A27" s="97">
        <v>1.00010721E8</v>
      </c>
      <c r="B27" s="98" t="s">
        <v>669</v>
      </c>
      <c r="C27" s="113" t="s">
        <v>646</v>
      </c>
      <c r="D27" s="101">
        <v>1500.93</v>
      </c>
      <c r="E27" s="54">
        <v>1500.93</v>
      </c>
      <c r="F27" s="54">
        <v>1500.93</v>
      </c>
      <c r="G27" s="41">
        <f t="shared" si="1"/>
        <v>1500.93</v>
      </c>
      <c r="H27" s="49">
        <f t="shared" si="2"/>
        <v>0</v>
      </c>
      <c r="I27" s="43">
        <f t="shared" si="5"/>
        <v>0</v>
      </c>
      <c r="J27" s="78"/>
      <c r="K27" s="78">
        <f t="shared" si="3"/>
        <v>182</v>
      </c>
      <c r="L27" s="238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ht="15.75" customHeight="1">
      <c r="A28" s="97">
        <v>1.00012256E8</v>
      </c>
      <c r="B28" s="98" t="s">
        <v>670</v>
      </c>
      <c r="C28" s="113" t="s">
        <v>646</v>
      </c>
      <c r="D28" s="132">
        <v>29320.67</v>
      </c>
      <c r="E28" s="57">
        <v>29320.67</v>
      </c>
      <c r="F28" s="57">
        <v>29320.67</v>
      </c>
      <c r="G28" s="41">
        <f t="shared" si="1"/>
        <v>29320.67</v>
      </c>
      <c r="H28" s="49">
        <f t="shared" si="2"/>
        <v>0</v>
      </c>
      <c r="I28" s="43">
        <f t="shared" si="5"/>
        <v>0</v>
      </c>
      <c r="J28" s="78"/>
      <c r="K28" s="78">
        <f t="shared" si="3"/>
        <v>182</v>
      </c>
      <c r="L28" s="238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ht="15.75" customHeight="1">
      <c r="A29" s="97">
        <v>1.00010292E8</v>
      </c>
      <c r="B29" s="98" t="s">
        <v>673</v>
      </c>
      <c r="C29" s="113" t="s">
        <v>646</v>
      </c>
      <c r="D29" s="130">
        <v>919055.76</v>
      </c>
      <c r="E29" s="130">
        <v>919055.76</v>
      </c>
      <c r="F29" s="130">
        <v>919055.76</v>
      </c>
      <c r="G29" s="41">
        <f t="shared" si="1"/>
        <v>919055.76</v>
      </c>
      <c r="H29" s="49">
        <f t="shared" si="2"/>
        <v>0</v>
      </c>
      <c r="I29" s="43">
        <f t="shared" si="5"/>
        <v>0</v>
      </c>
      <c r="J29" s="78"/>
      <c r="K29" s="78">
        <f t="shared" si="3"/>
        <v>182</v>
      </c>
      <c r="L29" s="238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ht="15.75" customHeight="1">
      <c r="A30" s="97">
        <v>1.00010292E8</v>
      </c>
      <c r="B30" s="98" t="s">
        <v>674</v>
      </c>
      <c r="C30" s="113" t="s">
        <v>646</v>
      </c>
      <c r="D30" s="132">
        <v>92136.37</v>
      </c>
      <c r="E30" s="132">
        <v>92136.37</v>
      </c>
      <c r="F30" s="132">
        <v>92136.37</v>
      </c>
      <c r="G30" s="41">
        <f t="shared" si="1"/>
        <v>92136.37</v>
      </c>
      <c r="H30" s="49">
        <f t="shared" si="2"/>
        <v>0</v>
      </c>
      <c r="I30" s="43">
        <f t="shared" si="5"/>
        <v>0</v>
      </c>
      <c r="J30" s="78"/>
      <c r="K30" s="78">
        <f t="shared" si="3"/>
        <v>182</v>
      </c>
      <c r="L30" s="238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ht="15.75" customHeight="1">
      <c r="A31" s="97">
        <v>1.00010292E8</v>
      </c>
      <c r="B31" s="98" t="s">
        <v>675</v>
      </c>
      <c r="C31" s="113" t="s">
        <v>646</v>
      </c>
      <c r="D31" s="101">
        <v>373083.84</v>
      </c>
      <c r="E31" s="101">
        <v>373083.84</v>
      </c>
      <c r="F31" s="101">
        <v>373083.84</v>
      </c>
      <c r="G31" s="41">
        <f t="shared" si="1"/>
        <v>373083.84</v>
      </c>
      <c r="H31" s="49">
        <f t="shared" si="2"/>
        <v>0</v>
      </c>
      <c r="I31" s="43">
        <f t="shared" si="5"/>
        <v>0</v>
      </c>
      <c r="J31" s="78"/>
      <c r="K31" s="78">
        <f t="shared" si="3"/>
        <v>182</v>
      </c>
      <c r="L31" s="238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ht="15.75" customHeight="1">
      <c r="A32" s="97">
        <v>1.00010292E8</v>
      </c>
      <c r="B32" s="98" t="s">
        <v>676</v>
      </c>
      <c r="C32" s="113" t="s">
        <v>646</v>
      </c>
      <c r="D32" s="101">
        <v>506839.75</v>
      </c>
      <c r="E32" s="101">
        <v>506839.75</v>
      </c>
      <c r="F32" s="101">
        <v>506839.75</v>
      </c>
      <c r="G32" s="41">
        <f t="shared" si="1"/>
        <v>506839.75</v>
      </c>
      <c r="H32" s="49">
        <f t="shared" si="2"/>
        <v>0</v>
      </c>
      <c r="I32" s="43">
        <f t="shared" si="5"/>
        <v>0</v>
      </c>
      <c r="J32" s="78"/>
      <c r="K32" s="78">
        <f t="shared" si="3"/>
        <v>182</v>
      </c>
      <c r="L32" s="238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ht="15.75" customHeight="1">
      <c r="A33" s="97">
        <v>1.00010292E8</v>
      </c>
      <c r="B33" s="98" t="s">
        <v>677</v>
      </c>
      <c r="C33" s="113" t="s">
        <v>646</v>
      </c>
      <c r="D33" s="101">
        <v>87592.57</v>
      </c>
      <c r="E33" s="101">
        <v>87592.57</v>
      </c>
      <c r="F33" s="101">
        <v>87592.57</v>
      </c>
      <c r="G33" s="41">
        <f t="shared" si="1"/>
        <v>87592.57</v>
      </c>
      <c r="H33" s="49">
        <f t="shared" si="2"/>
        <v>0</v>
      </c>
      <c r="I33" s="43">
        <f t="shared" si="5"/>
        <v>0</v>
      </c>
      <c r="J33" s="78"/>
      <c r="K33" s="78">
        <f t="shared" si="3"/>
        <v>182</v>
      </c>
      <c r="L33" s="238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ht="15.75" customHeight="1">
      <c r="A34" s="97">
        <v>1.00010292E8</v>
      </c>
      <c r="B34" s="98" t="s">
        <v>678</v>
      </c>
      <c r="C34" s="113" t="s">
        <v>646</v>
      </c>
      <c r="D34" s="101">
        <v>208035.76</v>
      </c>
      <c r="E34" s="101">
        <v>208035.76</v>
      </c>
      <c r="F34" s="101">
        <v>208035.76</v>
      </c>
      <c r="G34" s="41">
        <f t="shared" si="1"/>
        <v>208035.76</v>
      </c>
      <c r="H34" s="49">
        <f t="shared" si="2"/>
        <v>0</v>
      </c>
      <c r="I34" s="43">
        <f t="shared" si="5"/>
        <v>0</v>
      </c>
      <c r="J34" s="78"/>
      <c r="K34" s="78">
        <f t="shared" si="3"/>
        <v>182</v>
      </c>
      <c r="L34" s="238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ht="15.75" customHeight="1">
      <c r="A35" s="97">
        <v>1.0001288E8</v>
      </c>
      <c r="B35" s="98" t="s">
        <v>680</v>
      </c>
      <c r="C35" s="113" t="s">
        <v>646</v>
      </c>
      <c r="D35" s="101">
        <v>7674.62</v>
      </c>
      <c r="E35" s="54">
        <v>7674.62</v>
      </c>
      <c r="F35" s="54">
        <v>7674.62</v>
      </c>
      <c r="G35" s="41">
        <f t="shared" si="1"/>
        <v>7674.62</v>
      </c>
      <c r="H35" s="49">
        <f t="shared" si="2"/>
        <v>0</v>
      </c>
      <c r="I35" s="43">
        <f t="shared" si="5"/>
        <v>0</v>
      </c>
      <c r="J35" s="58"/>
      <c r="K35" s="78">
        <f t="shared" si="3"/>
        <v>182</v>
      </c>
      <c r="L35" s="238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ht="15.75" customHeight="1">
      <c r="A36" s="97">
        <v>1.00013116E8</v>
      </c>
      <c r="B36" s="98" t="s">
        <v>681</v>
      </c>
      <c r="C36" s="113" t="s">
        <v>646</v>
      </c>
      <c r="D36" s="132">
        <v>5839.75</v>
      </c>
      <c r="E36" s="132">
        <v>5839.75</v>
      </c>
      <c r="F36" s="132">
        <v>5839.75</v>
      </c>
      <c r="G36" s="41">
        <f t="shared" si="1"/>
        <v>5839.75</v>
      </c>
      <c r="H36" s="49">
        <f t="shared" si="2"/>
        <v>0</v>
      </c>
      <c r="I36" s="43">
        <f t="shared" si="5"/>
        <v>0</v>
      </c>
      <c r="J36" s="78"/>
      <c r="K36" s="78">
        <f t="shared" si="3"/>
        <v>182</v>
      </c>
      <c r="L36" s="238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ht="15.75" customHeight="1">
      <c r="A37" s="97">
        <v>1.00012696E8</v>
      </c>
      <c r="B37" s="98" t="s">
        <v>684</v>
      </c>
      <c r="C37" s="113" t="s">
        <v>646</v>
      </c>
      <c r="D37" s="101">
        <v>11252.53</v>
      </c>
      <c r="E37" s="101">
        <v>11252.53</v>
      </c>
      <c r="F37" s="101">
        <v>11252.53</v>
      </c>
      <c r="G37" s="41">
        <f t="shared" si="1"/>
        <v>11252.53</v>
      </c>
      <c r="H37" s="49">
        <f t="shared" si="2"/>
        <v>0</v>
      </c>
      <c r="I37" s="43">
        <f t="shared" si="5"/>
        <v>0</v>
      </c>
      <c r="J37" s="78"/>
      <c r="K37" s="78">
        <f t="shared" si="3"/>
        <v>182</v>
      </c>
      <c r="L37" s="242" t="s">
        <v>715</v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ht="15.75" customHeight="1">
      <c r="A38" s="190">
        <v>1.00012867E8</v>
      </c>
      <c r="B38" s="98" t="s">
        <v>716</v>
      </c>
      <c r="C38" s="113" t="s">
        <v>717</v>
      </c>
      <c r="D38" s="101">
        <v>181016.78</v>
      </c>
      <c r="E38" s="101">
        <v>181016.78</v>
      </c>
      <c r="F38" s="101">
        <v>181016.78</v>
      </c>
      <c r="G38" s="41">
        <f t="shared" si="1"/>
        <v>181016.78</v>
      </c>
      <c r="H38" s="49">
        <f t="shared" si="2"/>
        <v>0</v>
      </c>
      <c r="I38" s="43">
        <f t="shared" si="5"/>
        <v>0</v>
      </c>
      <c r="J38" s="78"/>
      <c r="K38" s="78">
        <f t="shared" si="3"/>
        <v>182</v>
      </c>
      <c r="L38" s="242" t="s">
        <v>715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ht="15.75" customHeight="1">
      <c r="A39" s="190">
        <v>1.00012867E8</v>
      </c>
      <c r="B39" s="98" t="s">
        <v>716</v>
      </c>
      <c r="C39" s="113" t="s">
        <v>718</v>
      </c>
      <c r="D39" s="101">
        <v>76584.02</v>
      </c>
      <c r="E39" s="101">
        <v>76584.02</v>
      </c>
      <c r="F39" s="101">
        <v>76584.02</v>
      </c>
      <c r="G39" s="41">
        <f t="shared" si="1"/>
        <v>76584.02</v>
      </c>
      <c r="H39" s="49">
        <f t="shared" si="2"/>
        <v>0</v>
      </c>
      <c r="I39" s="43">
        <f t="shared" si="5"/>
        <v>0</v>
      </c>
      <c r="J39" s="78"/>
      <c r="K39" s="78">
        <f t="shared" si="3"/>
        <v>182</v>
      </c>
      <c r="L39" s="242" t="s">
        <v>715</v>
      </c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ht="15.75" customHeight="1">
      <c r="A40" s="97">
        <v>1.00012872E8</v>
      </c>
      <c r="B40" s="98" t="s">
        <v>719</v>
      </c>
      <c r="C40" s="113" t="s">
        <v>646</v>
      </c>
      <c r="D40" s="101">
        <v>83546.21</v>
      </c>
      <c r="E40" s="101">
        <v>83546.21</v>
      </c>
      <c r="F40" s="101">
        <v>83546.21</v>
      </c>
      <c r="G40" s="41">
        <f t="shared" si="1"/>
        <v>83546.21</v>
      </c>
      <c r="H40" s="49">
        <f t="shared" si="2"/>
        <v>0</v>
      </c>
      <c r="I40" s="43">
        <f t="shared" si="5"/>
        <v>0</v>
      </c>
      <c r="J40" s="78"/>
      <c r="K40" s="78">
        <f t="shared" si="3"/>
        <v>182</v>
      </c>
      <c r="L40" s="242" t="s">
        <v>715</v>
      </c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ht="15.75" customHeight="1">
      <c r="A41" s="97">
        <v>1.00012499E8</v>
      </c>
      <c r="B41" s="98" t="s">
        <v>720</v>
      </c>
      <c r="C41" s="113" t="s">
        <v>646</v>
      </c>
      <c r="D41" s="101">
        <v>164308.62</v>
      </c>
      <c r="E41" s="101">
        <v>164308.62</v>
      </c>
      <c r="F41" s="101">
        <v>164308.62</v>
      </c>
      <c r="G41" s="41">
        <f t="shared" si="1"/>
        <v>164308.62</v>
      </c>
      <c r="H41" s="49">
        <f t="shared" si="2"/>
        <v>0</v>
      </c>
      <c r="I41" s="43">
        <f t="shared" si="5"/>
        <v>0</v>
      </c>
      <c r="J41" s="78"/>
      <c r="K41" s="78">
        <f t="shared" si="3"/>
        <v>182</v>
      </c>
      <c r="L41" s="242" t="s">
        <v>715</v>
      </c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ht="15.75" customHeight="1">
      <c r="A42" s="97">
        <v>1.00012821E8</v>
      </c>
      <c r="B42" s="98" t="s">
        <v>721</v>
      </c>
      <c r="C42" s="113" t="s">
        <v>646</v>
      </c>
      <c r="D42" s="101">
        <v>564509.79</v>
      </c>
      <c r="E42" s="101">
        <v>564509.79</v>
      </c>
      <c r="F42" s="101">
        <v>564509.79</v>
      </c>
      <c r="G42" s="41">
        <f t="shared" si="1"/>
        <v>564509.79</v>
      </c>
      <c r="H42" s="49">
        <f t="shared" si="2"/>
        <v>0</v>
      </c>
      <c r="I42" s="43">
        <f t="shared" si="5"/>
        <v>0</v>
      </c>
      <c r="J42" s="78"/>
      <c r="K42" s="78">
        <f t="shared" si="3"/>
        <v>182</v>
      </c>
      <c r="L42" s="242" t="s">
        <v>715</v>
      </c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ht="15.75" customHeight="1">
      <c r="A43" s="97">
        <v>1.0001241E8</v>
      </c>
      <c r="B43" s="98" t="s">
        <v>722</v>
      </c>
      <c r="C43" s="113" t="s">
        <v>646</v>
      </c>
      <c r="D43" s="101">
        <v>7164.81</v>
      </c>
      <c r="E43" s="101">
        <v>7164.81</v>
      </c>
      <c r="F43" s="101">
        <v>7164.81</v>
      </c>
      <c r="G43" s="41">
        <f t="shared" si="1"/>
        <v>7164.81</v>
      </c>
      <c r="H43" s="49">
        <f t="shared" si="2"/>
        <v>0</v>
      </c>
      <c r="I43" s="43">
        <f t="shared" si="5"/>
        <v>0</v>
      </c>
      <c r="J43" s="78"/>
      <c r="K43" s="78">
        <f t="shared" si="3"/>
        <v>182</v>
      </c>
      <c r="L43" s="242" t="s">
        <v>723</v>
      </c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ht="15.75" customHeight="1">
      <c r="A44" s="97">
        <v>1.0001282E8</v>
      </c>
      <c r="B44" s="98" t="s">
        <v>724</v>
      </c>
      <c r="C44" s="113" t="s">
        <v>646</v>
      </c>
      <c r="D44" s="101">
        <v>1231419.07</v>
      </c>
      <c r="E44" s="101">
        <v>1231419.07</v>
      </c>
      <c r="F44" s="101">
        <v>1231419.07</v>
      </c>
      <c r="G44" s="41">
        <f t="shared" si="1"/>
        <v>1231419.07</v>
      </c>
      <c r="H44" s="49">
        <f t="shared" si="2"/>
        <v>0</v>
      </c>
      <c r="I44" s="43">
        <f t="shared" si="5"/>
        <v>0</v>
      </c>
      <c r="J44" s="78"/>
      <c r="K44" s="78">
        <f t="shared" si="3"/>
        <v>182</v>
      </c>
      <c r="L44" s="242" t="s">
        <v>725</v>
      </c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ht="15.75" customHeight="1">
      <c r="A45" s="97">
        <v>1.00012515E8</v>
      </c>
      <c r="B45" s="243" t="s">
        <v>726</v>
      </c>
      <c r="C45" s="206" t="s">
        <v>727</v>
      </c>
      <c r="D45" s="101">
        <v>243948.7</v>
      </c>
      <c r="E45" s="101">
        <v>243948.7</v>
      </c>
      <c r="F45" s="101">
        <v>243948.7</v>
      </c>
      <c r="G45" s="41">
        <f t="shared" si="1"/>
        <v>243948.7</v>
      </c>
      <c r="H45" s="49">
        <f t="shared" si="2"/>
        <v>0</v>
      </c>
      <c r="I45" s="43">
        <f t="shared" si="5"/>
        <v>0</v>
      </c>
      <c r="J45" s="78"/>
      <c r="K45" s="78">
        <f t="shared" si="3"/>
        <v>182</v>
      </c>
      <c r="L45" s="242" t="s">
        <v>728</v>
      </c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ht="15.75" customHeight="1">
      <c r="A46" s="97">
        <v>1.00012515E8</v>
      </c>
      <c r="B46" s="243" t="s">
        <v>726</v>
      </c>
      <c r="C46" s="206" t="s">
        <v>729</v>
      </c>
      <c r="D46" s="101">
        <v>275679.99</v>
      </c>
      <c r="E46" s="101">
        <v>275679.99</v>
      </c>
      <c r="F46" s="101">
        <v>275679.99</v>
      </c>
      <c r="G46" s="41">
        <f t="shared" si="1"/>
        <v>275679.99</v>
      </c>
      <c r="H46" s="49">
        <f t="shared" si="2"/>
        <v>0</v>
      </c>
      <c r="I46" s="43">
        <f t="shared" si="5"/>
        <v>0</v>
      </c>
      <c r="J46" s="78"/>
      <c r="K46" s="78">
        <f t="shared" si="3"/>
        <v>182</v>
      </c>
      <c r="L46" s="238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ht="15.75" customHeight="1">
      <c r="A47" s="97">
        <v>1.00012278E8</v>
      </c>
      <c r="B47" s="243" t="s">
        <v>730</v>
      </c>
      <c r="C47" s="199" t="s">
        <v>646</v>
      </c>
      <c r="D47" s="101" t="s">
        <v>731</v>
      </c>
      <c r="E47" s="101" t="s">
        <v>731</v>
      </c>
      <c r="F47" s="101" t="s">
        <v>731</v>
      </c>
      <c r="G47" s="41">
        <f t="shared" si="1"/>
        <v>0</v>
      </c>
      <c r="H47" s="49" t="str">
        <f>IF(ISERROR(MAX(D47:F47)/MIN(D47:F47)-1),"",(MAX(D47:F47)/MIN(D47:F47)-1))</f>
        <v/>
      </c>
      <c r="I47" s="43" t="str">
        <f t="shared" si="5"/>
        <v/>
      </c>
      <c r="J47" s="78"/>
      <c r="K47" s="78">
        <f t="shared" si="3"/>
        <v>182</v>
      </c>
      <c r="L47" s="238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ht="15.75" customHeight="1">
      <c r="A48" s="97">
        <v>1.00012828E8</v>
      </c>
      <c r="B48" s="243" t="s">
        <v>732</v>
      </c>
      <c r="C48" s="199" t="s">
        <v>646</v>
      </c>
      <c r="D48" s="101">
        <v>121632.01</v>
      </c>
      <c r="E48" s="101">
        <v>121632.01</v>
      </c>
      <c r="F48" s="101">
        <v>121632.01</v>
      </c>
      <c r="G48" s="41">
        <f t="shared" si="1"/>
        <v>121632.01</v>
      </c>
      <c r="H48" s="49">
        <f t="shared" ref="H48:H410" si="6">IF(ISERROR(MAX(D48:F48)/MIN(D48:F48)-1),"",(MAX(D48:F48)/MIN(D48:F48)-1))</f>
        <v>0</v>
      </c>
      <c r="I48" s="43">
        <f t="shared" si="5"/>
        <v>0</v>
      </c>
      <c r="J48" s="78"/>
      <c r="K48" s="78">
        <f t="shared" si="3"/>
        <v>182</v>
      </c>
      <c r="L48" s="242" t="s">
        <v>715</v>
      </c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ht="15.75" customHeight="1">
      <c r="A49" s="97">
        <v>1.00012477E8</v>
      </c>
      <c r="B49" s="243" t="s">
        <v>733</v>
      </c>
      <c r="C49" s="199" t="s">
        <v>646</v>
      </c>
      <c r="D49" s="101">
        <v>1035.64</v>
      </c>
      <c r="E49" s="101">
        <v>1035.64</v>
      </c>
      <c r="F49" s="101">
        <v>1035.64</v>
      </c>
      <c r="G49" s="41">
        <f t="shared" si="1"/>
        <v>1035.64</v>
      </c>
      <c r="H49" s="49">
        <f t="shared" si="6"/>
        <v>0</v>
      </c>
      <c r="I49" s="43">
        <f t="shared" si="5"/>
        <v>0</v>
      </c>
      <c r="J49" s="78"/>
      <c r="K49" s="78">
        <f t="shared" si="3"/>
        <v>182</v>
      </c>
      <c r="L49" s="242" t="s">
        <v>734</v>
      </c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ht="15.75" customHeight="1">
      <c r="A50" s="244">
        <v>1.00012807E8</v>
      </c>
      <c r="B50" s="245" t="s">
        <v>735</v>
      </c>
      <c r="C50" s="199" t="s">
        <v>646</v>
      </c>
      <c r="D50" s="246">
        <v>8872.21</v>
      </c>
      <c r="E50" s="246">
        <v>8872.21</v>
      </c>
      <c r="F50" s="246">
        <v>8872.21</v>
      </c>
      <c r="G50" s="41">
        <f t="shared" si="1"/>
        <v>8872.21</v>
      </c>
      <c r="H50" s="49">
        <f t="shared" si="6"/>
        <v>0</v>
      </c>
      <c r="I50" s="43">
        <f t="shared" si="5"/>
        <v>0</v>
      </c>
      <c r="J50" s="78"/>
      <c r="K50" s="78">
        <f t="shared" si="3"/>
        <v>182</v>
      </c>
      <c r="L50" s="242" t="s">
        <v>736</v>
      </c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ht="15.75" customHeight="1">
      <c r="A51" s="244">
        <v>1.0001228E8</v>
      </c>
      <c r="B51" s="247" t="s">
        <v>737</v>
      </c>
      <c r="C51" s="199" t="s">
        <v>646</v>
      </c>
      <c r="D51" s="248">
        <v>48807.4</v>
      </c>
      <c r="E51" s="248">
        <v>48807.4</v>
      </c>
      <c r="F51" s="248">
        <v>48807.4</v>
      </c>
      <c r="G51" s="41">
        <f t="shared" si="1"/>
        <v>48807.4</v>
      </c>
      <c r="H51" s="49">
        <f t="shared" si="6"/>
        <v>0</v>
      </c>
      <c r="I51" s="43">
        <f t="shared" si="5"/>
        <v>0</v>
      </c>
      <c r="J51" s="78"/>
      <c r="K51" s="78">
        <f t="shared" si="3"/>
        <v>182</v>
      </c>
      <c r="L51" s="242" t="s">
        <v>736</v>
      </c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ht="15.75" customHeight="1">
      <c r="A52" s="244">
        <v>1.00012753E8</v>
      </c>
      <c r="B52" s="245" t="s">
        <v>738</v>
      </c>
      <c r="C52" s="199" t="s">
        <v>646</v>
      </c>
      <c r="D52" s="246">
        <v>8226.94</v>
      </c>
      <c r="E52" s="246">
        <v>8226.94</v>
      </c>
      <c r="F52" s="246">
        <v>8226.94</v>
      </c>
      <c r="G52" s="41">
        <f t="shared" si="1"/>
        <v>8226.94</v>
      </c>
      <c r="H52" s="49">
        <f t="shared" si="6"/>
        <v>0</v>
      </c>
      <c r="I52" s="43">
        <f t="shared" si="5"/>
        <v>0</v>
      </c>
      <c r="J52" s="78"/>
      <c r="K52" s="78">
        <f t="shared" si="3"/>
        <v>182</v>
      </c>
      <c r="L52" s="242" t="s">
        <v>736</v>
      </c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ht="15.75" customHeight="1">
      <c r="A53" s="244">
        <v>1.00012753E8</v>
      </c>
      <c r="B53" s="245" t="s">
        <v>739</v>
      </c>
      <c r="C53" s="199" t="s">
        <v>646</v>
      </c>
      <c r="D53" s="246">
        <v>5052.35</v>
      </c>
      <c r="E53" s="246">
        <v>5052.35</v>
      </c>
      <c r="F53" s="246">
        <v>5052.35</v>
      </c>
      <c r="G53" s="41">
        <f t="shared" si="1"/>
        <v>5052.35</v>
      </c>
      <c r="H53" s="49">
        <f t="shared" si="6"/>
        <v>0</v>
      </c>
      <c r="I53" s="43">
        <f t="shared" si="5"/>
        <v>0</v>
      </c>
      <c r="J53" s="78"/>
      <c r="K53" s="78">
        <f t="shared" si="3"/>
        <v>182</v>
      </c>
      <c r="L53" s="249" t="s">
        <v>736</v>
      </c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ht="15.75" customHeight="1">
      <c r="A54" s="244">
        <v>1.00012752E8</v>
      </c>
      <c r="B54" s="245" t="s">
        <v>740</v>
      </c>
      <c r="C54" s="199" t="s">
        <v>646</v>
      </c>
      <c r="D54" s="246">
        <v>760.99</v>
      </c>
      <c r="E54" s="246">
        <v>760.99</v>
      </c>
      <c r="F54" s="246">
        <v>760.99</v>
      </c>
      <c r="G54" s="41">
        <f t="shared" si="1"/>
        <v>760.99</v>
      </c>
      <c r="H54" s="49">
        <f t="shared" si="6"/>
        <v>0</v>
      </c>
      <c r="I54" s="43">
        <f t="shared" si="5"/>
        <v>0</v>
      </c>
      <c r="J54" s="78"/>
      <c r="K54" s="78">
        <f t="shared" si="3"/>
        <v>182</v>
      </c>
      <c r="L54" s="250" t="s">
        <v>736</v>
      </c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ht="15.75" customHeight="1">
      <c r="A55" s="244">
        <v>1.0001247E8</v>
      </c>
      <c r="B55" s="245" t="s">
        <v>741</v>
      </c>
      <c r="C55" s="199" t="s">
        <v>646</v>
      </c>
      <c r="D55" s="246">
        <v>24753.54</v>
      </c>
      <c r="E55" s="246">
        <v>24753.54</v>
      </c>
      <c r="F55" s="246">
        <v>24753.54</v>
      </c>
      <c r="G55" s="41">
        <f t="shared" si="1"/>
        <v>24753.54</v>
      </c>
      <c r="H55" s="49">
        <f t="shared" si="6"/>
        <v>0</v>
      </c>
      <c r="I55" s="43">
        <f t="shared" si="5"/>
        <v>0</v>
      </c>
      <c r="J55" s="78"/>
      <c r="K55" s="78">
        <f t="shared" si="3"/>
        <v>182</v>
      </c>
      <c r="L55" s="242" t="s">
        <v>742</v>
      </c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ht="15.75" customHeight="1">
      <c r="A56" s="244">
        <v>1.00012388E8</v>
      </c>
      <c r="B56" s="245" t="s">
        <v>743</v>
      </c>
      <c r="C56" s="199" t="s">
        <v>646</v>
      </c>
      <c r="D56" s="246">
        <v>68786.52</v>
      </c>
      <c r="E56" s="246">
        <v>68786.52</v>
      </c>
      <c r="F56" s="246">
        <v>68786.52</v>
      </c>
      <c r="G56" s="41">
        <f t="shared" si="1"/>
        <v>68786.52</v>
      </c>
      <c r="H56" s="49">
        <f t="shared" si="6"/>
        <v>0</v>
      </c>
      <c r="I56" s="43">
        <f t="shared" si="5"/>
        <v>0</v>
      </c>
      <c r="J56" s="78"/>
      <c r="K56" s="78">
        <f t="shared" si="3"/>
        <v>182</v>
      </c>
      <c r="L56" s="242" t="s">
        <v>742</v>
      </c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</row>
    <row r="57" ht="15.75" customHeight="1">
      <c r="A57" s="244">
        <v>1.0001275E8</v>
      </c>
      <c r="B57" s="245" t="s">
        <v>744</v>
      </c>
      <c r="C57" s="199" t="s">
        <v>646</v>
      </c>
      <c r="D57" s="246">
        <v>671.87</v>
      </c>
      <c r="E57" s="246">
        <v>671.87</v>
      </c>
      <c r="F57" s="246">
        <v>671.87</v>
      </c>
      <c r="G57" s="41">
        <f t="shared" si="1"/>
        <v>671.87</v>
      </c>
      <c r="H57" s="49">
        <f t="shared" si="6"/>
        <v>0</v>
      </c>
      <c r="I57" s="43">
        <f t="shared" si="5"/>
        <v>0</v>
      </c>
      <c r="J57" s="78"/>
      <c r="K57" s="78">
        <f t="shared" si="3"/>
        <v>182</v>
      </c>
      <c r="L57" s="242" t="s">
        <v>742</v>
      </c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8" ht="15.75" customHeight="1">
      <c r="A58" s="244">
        <v>1.00012371E8</v>
      </c>
      <c r="B58" s="251" t="s">
        <v>745</v>
      </c>
      <c r="C58" s="199" t="s">
        <v>646</v>
      </c>
      <c r="D58" s="130">
        <v>6192.14</v>
      </c>
      <c r="E58" s="130">
        <v>6192.14</v>
      </c>
      <c r="F58" s="130">
        <v>6192.14</v>
      </c>
      <c r="G58" s="41">
        <f t="shared" si="1"/>
        <v>6192.14</v>
      </c>
      <c r="H58" s="49">
        <f t="shared" si="6"/>
        <v>0</v>
      </c>
      <c r="I58" s="43">
        <f t="shared" si="5"/>
        <v>0</v>
      </c>
      <c r="J58" s="78"/>
      <c r="K58" s="78">
        <f t="shared" si="3"/>
        <v>182</v>
      </c>
      <c r="L58" s="242" t="s">
        <v>715</v>
      </c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ht="15.75" customHeight="1">
      <c r="A59" s="97">
        <v>1.00011316E8</v>
      </c>
      <c r="B59" s="243" t="s">
        <v>746</v>
      </c>
      <c r="C59" s="199" t="s">
        <v>646</v>
      </c>
      <c r="D59" s="101">
        <v>49761.29</v>
      </c>
      <c r="E59" s="101">
        <v>49761.29</v>
      </c>
      <c r="F59" s="101">
        <v>49761.29</v>
      </c>
      <c r="G59" s="41">
        <f t="shared" si="1"/>
        <v>49761.29</v>
      </c>
      <c r="H59" s="49">
        <f t="shared" si="6"/>
        <v>0</v>
      </c>
      <c r="I59" s="43">
        <f t="shared" si="5"/>
        <v>0</v>
      </c>
      <c r="J59" s="78"/>
      <c r="K59" s="78">
        <f t="shared" si="3"/>
        <v>182</v>
      </c>
      <c r="L59" s="238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ht="15.75" customHeight="1">
      <c r="A60" s="97">
        <v>1.00011316E8</v>
      </c>
      <c r="B60" s="243" t="s">
        <v>747</v>
      </c>
      <c r="C60" s="199" t="s">
        <v>748</v>
      </c>
      <c r="D60" s="101">
        <v>13117.61</v>
      </c>
      <c r="E60" s="101">
        <v>13117.61</v>
      </c>
      <c r="F60" s="101">
        <v>13117.61</v>
      </c>
      <c r="G60" s="41">
        <f t="shared" si="1"/>
        <v>13117.61</v>
      </c>
      <c r="H60" s="49">
        <f t="shared" si="6"/>
        <v>0</v>
      </c>
      <c r="I60" s="43">
        <f t="shared" si="5"/>
        <v>0</v>
      </c>
      <c r="J60" s="78"/>
      <c r="K60" s="78">
        <f t="shared" si="3"/>
        <v>182</v>
      </c>
      <c r="L60" s="238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ht="15.75" customHeight="1">
      <c r="A61" s="97">
        <v>1.00011316E8</v>
      </c>
      <c r="B61" s="243" t="s">
        <v>749</v>
      </c>
      <c r="C61" s="199" t="s">
        <v>646</v>
      </c>
      <c r="D61" s="101">
        <v>5273.75</v>
      </c>
      <c r="E61" s="101">
        <v>5273.75</v>
      </c>
      <c r="F61" s="101">
        <v>5273.75</v>
      </c>
      <c r="G61" s="41">
        <f t="shared" si="1"/>
        <v>5273.75</v>
      </c>
      <c r="H61" s="49">
        <f t="shared" si="6"/>
        <v>0</v>
      </c>
      <c r="I61" s="43">
        <f t="shared" si="5"/>
        <v>0</v>
      </c>
      <c r="J61" s="78"/>
      <c r="K61" s="78">
        <f t="shared" si="3"/>
        <v>182</v>
      </c>
      <c r="L61" s="238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ht="15.75" customHeight="1">
      <c r="A62" s="97">
        <v>1.00002319E8</v>
      </c>
      <c r="B62" s="243" t="s">
        <v>750</v>
      </c>
      <c r="C62" s="199" t="s">
        <v>646</v>
      </c>
      <c r="D62" s="101">
        <v>7.58</v>
      </c>
      <c r="E62" s="101">
        <v>7.58</v>
      </c>
      <c r="F62" s="101">
        <v>7.58</v>
      </c>
      <c r="G62" s="41">
        <f t="shared" si="1"/>
        <v>7.58</v>
      </c>
      <c r="H62" s="49">
        <f t="shared" si="6"/>
        <v>0</v>
      </c>
      <c r="I62" s="43">
        <f t="shared" si="5"/>
        <v>0</v>
      </c>
      <c r="J62" s="78"/>
      <c r="K62" s="78">
        <f t="shared" si="3"/>
        <v>182</v>
      </c>
      <c r="L62" s="238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ht="15.75" customHeight="1">
      <c r="A63" s="97">
        <v>1.00002342E8</v>
      </c>
      <c r="B63" s="243" t="s">
        <v>751</v>
      </c>
      <c r="C63" s="199" t="s">
        <v>646</v>
      </c>
      <c r="D63" s="101"/>
      <c r="E63" s="101"/>
      <c r="F63" s="101"/>
      <c r="G63" s="41">
        <f t="shared" si="1"/>
        <v>0</v>
      </c>
      <c r="H63" s="49" t="str">
        <f t="shared" si="6"/>
        <v/>
      </c>
      <c r="I63" s="43" t="str">
        <f t="shared" si="5"/>
        <v/>
      </c>
      <c r="J63" s="78"/>
      <c r="K63" s="78">
        <f t="shared" si="3"/>
        <v>182</v>
      </c>
      <c r="L63" s="238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ht="15.75" customHeight="1">
      <c r="A64" s="97">
        <v>1.00002319E8</v>
      </c>
      <c r="B64" s="243" t="s">
        <v>752</v>
      </c>
      <c r="C64" s="206" t="s">
        <v>646</v>
      </c>
      <c r="D64" s="101">
        <v>7.58</v>
      </c>
      <c r="E64" s="101">
        <v>7.58</v>
      </c>
      <c r="F64" s="101">
        <v>7.58</v>
      </c>
      <c r="G64" s="41">
        <f t="shared" si="1"/>
        <v>7.58</v>
      </c>
      <c r="H64" s="49">
        <f t="shared" si="6"/>
        <v>0</v>
      </c>
      <c r="I64" s="43">
        <f t="shared" si="5"/>
        <v>0</v>
      </c>
      <c r="J64" s="78"/>
      <c r="K64" s="78">
        <f t="shared" si="3"/>
        <v>182</v>
      </c>
      <c r="L64" s="238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ht="15.75" customHeight="1">
      <c r="A65" s="97">
        <v>1.00002363E8</v>
      </c>
      <c r="B65" s="243" t="s">
        <v>753</v>
      </c>
      <c r="C65" s="206" t="s">
        <v>646</v>
      </c>
      <c r="D65" s="101">
        <v>105.39</v>
      </c>
      <c r="E65" s="101">
        <v>105.39</v>
      </c>
      <c r="F65" s="101">
        <v>105.39</v>
      </c>
      <c r="G65" s="41">
        <f t="shared" si="1"/>
        <v>105.39</v>
      </c>
      <c r="H65" s="49">
        <f t="shared" si="6"/>
        <v>0</v>
      </c>
      <c r="I65" s="43">
        <f t="shared" si="5"/>
        <v>0</v>
      </c>
      <c r="J65" s="78"/>
      <c r="K65" s="78">
        <f t="shared" si="3"/>
        <v>182</v>
      </c>
      <c r="L65" s="238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ht="15.75" customHeight="1">
      <c r="A66" s="97"/>
      <c r="B66" s="243"/>
      <c r="C66" s="206" t="s">
        <v>646</v>
      </c>
      <c r="D66" s="101"/>
      <c r="E66" s="101"/>
      <c r="F66" s="101"/>
      <c r="G66" s="41">
        <f t="shared" si="1"/>
        <v>0</v>
      </c>
      <c r="H66" s="49" t="str">
        <f t="shared" si="6"/>
        <v/>
      </c>
      <c r="I66" s="43" t="str">
        <f t="shared" si="5"/>
        <v/>
      </c>
      <c r="J66" s="78"/>
      <c r="K66" s="78">
        <f t="shared" si="3"/>
        <v>182</v>
      </c>
      <c r="L66" s="238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ht="15.75" customHeight="1">
      <c r="A67" s="97"/>
      <c r="B67" s="243"/>
      <c r="C67" s="206" t="s">
        <v>646</v>
      </c>
      <c r="D67" s="101"/>
      <c r="E67" s="101"/>
      <c r="F67" s="101"/>
      <c r="G67" s="41">
        <f t="shared" si="1"/>
        <v>0</v>
      </c>
      <c r="H67" s="49" t="str">
        <f t="shared" si="6"/>
        <v/>
      </c>
      <c r="I67" s="43" t="str">
        <f t="shared" si="5"/>
        <v/>
      </c>
      <c r="J67" s="78"/>
      <c r="K67" s="78">
        <f t="shared" si="3"/>
        <v>182</v>
      </c>
      <c r="L67" s="238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ht="15.75" customHeight="1">
      <c r="A68" s="97"/>
      <c r="B68" s="243"/>
      <c r="C68" s="206" t="s">
        <v>646</v>
      </c>
      <c r="D68" s="101"/>
      <c r="E68" s="101"/>
      <c r="F68" s="101"/>
      <c r="G68" s="41">
        <f t="shared" si="1"/>
        <v>0</v>
      </c>
      <c r="H68" s="49" t="str">
        <f t="shared" si="6"/>
        <v/>
      </c>
      <c r="I68" s="43" t="str">
        <f t="shared" si="5"/>
        <v/>
      </c>
      <c r="J68" s="78"/>
      <c r="K68" s="78">
        <f t="shared" si="3"/>
        <v>182</v>
      </c>
      <c r="L68" s="238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ht="15.75" customHeight="1">
      <c r="A69" s="97"/>
      <c r="B69" s="243"/>
      <c r="C69" s="206" t="s">
        <v>646</v>
      </c>
      <c r="D69" s="101"/>
      <c r="E69" s="101"/>
      <c r="F69" s="101"/>
      <c r="G69" s="41">
        <f t="shared" si="1"/>
        <v>0</v>
      </c>
      <c r="H69" s="49" t="str">
        <f t="shared" si="6"/>
        <v/>
      </c>
      <c r="I69" s="43" t="str">
        <f t="shared" si="5"/>
        <v/>
      </c>
      <c r="J69" s="78"/>
      <c r="K69" s="78">
        <f t="shared" si="3"/>
        <v>182</v>
      </c>
      <c r="L69" s="238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ht="15.75" customHeight="1">
      <c r="A70" s="97"/>
      <c r="B70" s="243"/>
      <c r="C70" s="206" t="s">
        <v>646</v>
      </c>
      <c r="D70" s="101"/>
      <c r="E70" s="101"/>
      <c r="F70" s="101"/>
      <c r="G70" s="41">
        <f t="shared" si="1"/>
        <v>0</v>
      </c>
      <c r="H70" s="49" t="str">
        <f t="shared" si="6"/>
        <v/>
      </c>
      <c r="I70" s="43" t="str">
        <f t="shared" si="5"/>
        <v/>
      </c>
      <c r="J70" s="78"/>
      <c r="K70" s="78">
        <f t="shared" si="3"/>
        <v>182</v>
      </c>
      <c r="L70" s="238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ht="15.75" customHeight="1">
      <c r="A71" s="97"/>
      <c r="B71" s="243"/>
      <c r="C71" s="206" t="s">
        <v>646</v>
      </c>
      <c r="D71" s="101"/>
      <c r="E71" s="101"/>
      <c r="F71" s="101"/>
      <c r="G71" s="41">
        <f t="shared" si="1"/>
        <v>0</v>
      </c>
      <c r="H71" s="49" t="str">
        <f t="shared" si="6"/>
        <v/>
      </c>
      <c r="I71" s="43" t="str">
        <f t="shared" si="5"/>
        <v/>
      </c>
      <c r="J71" s="78"/>
      <c r="K71" s="78">
        <f t="shared" si="3"/>
        <v>182</v>
      </c>
      <c r="L71" s="238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ht="15.75" customHeight="1">
      <c r="A72" s="97"/>
      <c r="B72" s="243"/>
      <c r="C72" s="206" t="s">
        <v>646</v>
      </c>
      <c r="D72" s="101"/>
      <c r="E72" s="101"/>
      <c r="F72" s="101"/>
      <c r="G72" s="41">
        <f t="shared" si="1"/>
        <v>0</v>
      </c>
      <c r="H72" s="49" t="str">
        <f t="shared" si="6"/>
        <v/>
      </c>
      <c r="I72" s="43" t="str">
        <f t="shared" si="5"/>
        <v/>
      </c>
      <c r="J72" s="78"/>
      <c r="K72" s="78">
        <f t="shared" si="3"/>
        <v>182</v>
      </c>
      <c r="L72" s="238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ht="15.75" customHeight="1">
      <c r="A73" s="97"/>
      <c r="B73" s="243"/>
      <c r="C73" s="206" t="s">
        <v>646</v>
      </c>
      <c r="D73" s="101"/>
      <c r="E73" s="101"/>
      <c r="F73" s="101"/>
      <c r="G73" s="41">
        <f t="shared" si="1"/>
        <v>0</v>
      </c>
      <c r="H73" s="49" t="str">
        <f t="shared" si="6"/>
        <v/>
      </c>
      <c r="I73" s="43" t="str">
        <f t="shared" si="5"/>
        <v/>
      </c>
      <c r="J73" s="78"/>
      <c r="K73" s="78">
        <f t="shared" si="3"/>
        <v>182</v>
      </c>
      <c r="L73" s="238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ht="15.75" customHeight="1">
      <c r="A74" s="97"/>
      <c r="B74" s="243"/>
      <c r="C74" s="206" t="s">
        <v>646</v>
      </c>
      <c r="D74" s="101"/>
      <c r="E74" s="101"/>
      <c r="F74" s="101"/>
      <c r="G74" s="41">
        <f t="shared" si="1"/>
        <v>0</v>
      </c>
      <c r="H74" s="49" t="str">
        <f t="shared" si="6"/>
        <v/>
      </c>
      <c r="I74" s="43" t="str">
        <f t="shared" si="5"/>
        <v/>
      </c>
      <c r="J74" s="78"/>
      <c r="K74" s="78">
        <f t="shared" si="3"/>
        <v>182</v>
      </c>
      <c r="L74" s="238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ht="15.75" customHeight="1">
      <c r="A75" s="97"/>
      <c r="B75" s="243"/>
      <c r="C75" s="206" t="s">
        <v>646</v>
      </c>
      <c r="D75" s="101"/>
      <c r="E75" s="101"/>
      <c r="F75" s="101"/>
      <c r="G75" s="41">
        <f t="shared" si="1"/>
        <v>0</v>
      </c>
      <c r="H75" s="49" t="str">
        <f t="shared" si="6"/>
        <v/>
      </c>
      <c r="I75" s="43" t="str">
        <f t="shared" si="5"/>
        <v/>
      </c>
      <c r="J75" s="78"/>
      <c r="K75" s="78">
        <f t="shared" si="3"/>
        <v>182</v>
      </c>
      <c r="L75" s="238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ht="15.75" customHeight="1">
      <c r="A76" s="97"/>
      <c r="B76" s="243"/>
      <c r="C76" s="206" t="s">
        <v>646</v>
      </c>
      <c r="D76" s="101"/>
      <c r="E76" s="101"/>
      <c r="F76" s="101"/>
      <c r="G76" s="41">
        <f t="shared" si="1"/>
        <v>0</v>
      </c>
      <c r="H76" s="49" t="str">
        <f t="shared" si="6"/>
        <v/>
      </c>
      <c r="I76" s="43" t="str">
        <f t="shared" si="5"/>
        <v/>
      </c>
      <c r="J76" s="78"/>
      <c r="K76" s="78">
        <f t="shared" si="3"/>
        <v>182</v>
      </c>
      <c r="L76" s="238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ht="15.75" customHeight="1">
      <c r="A77" s="97"/>
      <c r="B77" s="243"/>
      <c r="C77" s="206" t="s">
        <v>646</v>
      </c>
      <c r="D77" s="101"/>
      <c r="E77" s="101"/>
      <c r="F77" s="101"/>
      <c r="G77" s="41">
        <f t="shared" si="1"/>
        <v>0</v>
      </c>
      <c r="H77" s="49" t="str">
        <f t="shared" si="6"/>
        <v/>
      </c>
      <c r="I77" s="43" t="str">
        <f t="shared" si="5"/>
        <v/>
      </c>
      <c r="J77" s="78"/>
      <c r="K77" s="78">
        <f t="shared" si="3"/>
        <v>182</v>
      </c>
      <c r="L77" s="238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ht="15.75" customHeight="1">
      <c r="A78" s="97"/>
      <c r="B78" s="243"/>
      <c r="C78" s="206" t="s">
        <v>646</v>
      </c>
      <c r="D78" s="101"/>
      <c r="E78" s="101"/>
      <c r="F78" s="101"/>
      <c r="G78" s="41">
        <f t="shared" si="1"/>
        <v>0</v>
      </c>
      <c r="H78" s="49" t="str">
        <f t="shared" si="6"/>
        <v/>
      </c>
      <c r="I78" s="43" t="str">
        <f t="shared" si="5"/>
        <v/>
      </c>
      <c r="J78" s="78"/>
      <c r="K78" s="78">
        <f t="shared" si="3"/>
        <v>182</v>
      </c>
      <c r="L78" s="238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ht="15.75" customHeight="1">
      <c r="A79" s="97"/>
      <c r="B79" s="243"/>
      <c r="C79" s="206" t="s">
        <v>646</v>
      </c>
      <c r="D79" s="101"/>
      <c r="E79" s="101"/>
      <c r="F79" s="101"/>
      <c r="G79" s="41">
        <f t="shared" si="1"/>
        <v>0</v>
      </c>
      <c r="H79" s="49" t="str">
        <f t="shared" si="6"/>
        <v/>
      </c>
      <c r="I79" s="43" t="str">
        <f t="shared" si="5"/>
        <v/>
      </c>
      <c r="J79" s="78"/>
      <c r="K79" s="78">
        <f t="shared" si="3"/>
        <v>182</v>
      </c>
      <c r="L79" s="238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ht="15.75" customHeight="1">
      <c r="A80" s="97"/>
      <c r="B80" s="243"/>
      <c r="C80" s="206" t="s">
        <v>646</v>
      </c>
      <c r="D80" s="101"/>
      <c r="E80" s="101"/>
      <c r="F80" s="101"/>
      <c r="G80" s="41">
        <f t="shared" si="1"/>
        <v>0</v>
      </c>
      <c r="H80" s="49" t="str">
        <f t="shared" si="6"/>
        <v/>
      </c>
      <c r="I80" s="43" t="str">
        <f t="shared" si="5"/>
        <v/>
      </c>
      <c r="J80" s="78"/>
      <c r="K80" s="78">
        <f t="shared" si="3"/>
        <v>182</v>
      </c>
      <c r="L80" s="238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ht="15.75" customHeight="1">
      <c r="A81" s="97"/>
      <c r="B81" s="243"/>
      <c r="C81" s="206" t="s">
        <v>646</v>
      </c>
      <c r="D81" s="101"/>
      <c r="E81" s="101"/>
      <c r="F81" s="101"/>
      <c r="G81" s="41">
        <f t="shared" si="1"/>
        <v>0</v>
      </c>
      <c r="H81" s="49" t="str">
        <f t="shared" si="6"/>
        <v/>
      </c>
      <c r="I81" s="43" t="str">
        <f t="shared" si="5"/>
        <v/>
      </c>
      <c r="J81" s="78"/>
      <c r="K81" s="78">
        <f t="shared" si="3"/>
        <v>182</v>
      </c>
      <c r="L81" s="238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ht="15.75" customHeight="1">
      <c r="A82" s="97"/>
      <c r="B82" s="243"/>
      <c r="C82" s="206" t="s">
        <v>646</v>
      </c>
      <c r="D82" s="101"/>
      <c r="E82" s="101"/>
      <c r="F82" s="101"/>
      <c r="G82" s="41">
        <f t="shared" si="1"/>
        <v>0</v>
      </c>
      <c r="H82" s="49" t="str">
        <f t="shared" si="6"/>
        <v/>
      </c>
      <c r="I82" s="43" t="str">
        <f t="shared" si="5"/>
        <v/>
      </c>
      <c r="J82" s="78"/>
      <c r="K82" s="78">
        <f t="shared" si="3"/>
        <v>182</v>
      </c>
      <c r="L82" s="238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ht="15.75" customHeight="1">
      <c r="A83" s="97"/>
      <c r="B83" s="243"/>
      <c r="C83" s="206" t="s">
        <v>646</v>
      </c>
      <c r="D83" s="101"/>
      <c r="E83" s="101"/>
      <c r="F83" s="101"/>
      <c r="G83" s="41">
        <f t="shared" si="1"/>
        <v>0</v>
      </c>
      <c r="H83" s="49" t="str">
        <f t="shared" si="6"/>
        <v/>
      </c>
      <c r="I83" s="43" t="str">
        <f t="shared" si="5"/>
        <v/>
      </c>
      <c r="J83" s="78"/>
      <c r="K83" s="78">
        <f t="shared" si="3"/>
        <v>182</v>
      </c>
      <c r="L83" s="238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ht="15.75" customHeight="1">
      <c r="A84" s="97"/>
      <c r="B84" s="243"/>
      <c r="C84" s="206" t="s">
        <v>646</v>
      </c>
      <c r="D84" s="101"/>
      <c r="E84" s="101"/>
      <c r="F84" s="101"/>
      <c r="G84" s="41">
        <f t="shared" si="1"/>
        <v>0</v>
      </c>
      <c r="H84" s="49" t="str">
        <f t="shared" si="6"/>
        <v/>
      </c>
      <c r="I84" s="43" t="str">
        <f t="shared" si="5"/>
        <v/>
      </c>
      <c r="J84" s="78"/>
      <c r="K84" s="78">
        <f t="shared" si="3"/>
        <v>182</v>
      </c>
      <c r="L84" s="238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ht="15.75" customHeight="1">
      <c r="A85" s="97"/>
      <c r="B85" s="243"/>
      <c r="C85" s="206" t="s">
        <v>646</v>
      </c>
      <c r="D85" s="101"/>
      <c r="E85" s="101"/>
      <c r="F85" s="101"/>
      <c r="G85" s="41">
        <f t="shared" si="1"/>
        <v>0</v>
      </c>
      <c r="H85" s="49" t="str">
        <f t="shared" si="6"/>
        <v/>
      </c>
      <c r="I85" s="43" t="str">
        <f t="shared" si="5"/>
        <v/>
      </c>
      <c r="J85" s="78"/>
      <c r="K85" s="78">
        <f t="shared" si="3"/>
        <v>182</v>
      </c>
      <c r="L85" s="238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ht="15.75" customHeight="1">
      <c r="A86" s="97"/>
      <c r="B86" s="243"/>
      <c r="C86" s="206" t="s">
        <v>646</v>
      </c>
      <c r="D86" s="101"/>
      <c r="E86" s="101"/>
      <c r="F86" s="101"/>
      <c r="G86" s="41">
        <f t="shared" si="1"/>
        <v>0</v>
      </c>
      <c r="H86" s="49" t="str">
        <f t="shared" si="6"/>
        <v/>
      </c>
      <c r="I86" s="43" t="str">
        <f t="shared" si="5"/>
        <v/>
      </c>
      <c r="J86" s="78"/>
      <c r="K86" s="78">
        <f t="shared" si="3"/>
        <v>182</v>
      </c>
      <c r="L86" s="238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ht="15.75" customHeight="1">
      <c r="A87" s="97"/>
      <c r="B87" s="243"/>
      <c r="C87" s="206" t="s">
        <v>646</v>
      </c>
      <c r="D87" s="101"/>
      <c r="E87" s="101"/>
      <c r="F87" s="101"/>
      <c r="G87" s="41">
        <f t="shared" si="1"/>
        <v>0</v>
      </c>
      <c r="H87" s="49" t="str">
        <f t="shared" si="6"/>
        <v/>
      </c>
      <c r="I87" s="43" t="str">
        <f t="shared" si="5"/>
        <v/>
      </c>
      <c r="J87" s="78"/>
      <c r="K87" s="78">
        <f t="shared" si="3"/>
        <v>182</v>
      </c>
      <c r="L87" s="238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ht="15.75" customHeight="1">
      <c r="A88" s="97"/>
      <c r="B88" s="243"/>
      <c r="C88" s="206" t="s">
        <v>646</v>
      </c>
      <c r="D88" s="101"/>
      <c r="E88" s="101"/>
      <c r="F88" s="101"/>
      <c r="G88" s="41">
        <f t="shared" si="1"/>
        <v>0</v>
      </c>
      <c r="H88" s="49" t="str">
        <f t="shared" si="6"/>
        <v/>
      </c>
      <c r="I88" s="43" t="str">
        <f t="shared" si="5"/>
        <v/>
      </c>
      <c r="J88" s="78"/>
      <c r="K88" s="78">
        <f t="shared" si="3"/>
        <v>182</v>
      </c>
      <c r="L88" s="238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ht="15.75" customHeight="1">
      <c r="A89" s="97"/>
      <c r="B89" s="243"/>
      <c r="C89" s="206" t="s">
        <v>646</v>
      </c>
      <c r="D89" s="101"/>
      <c r="E89" s="101"/>
      <c r="F89" s="101"/>
      <c r="G89" s="41">
        <f t="shared" si="1"/>
        <v>0</v>
      </c>
      <c r="H89" s="49" t="str">
        <f t="shared" si="6"/>
        <v/>
      </c>
      <c r="I89" s="43" t="str">
        <f t="shared" si="5"/>
        <v/>
      </c>
      <c r="J89" s="78"/>
      <c r="K89" s="78">
        <f t="shared" si="3"/>
        <v>182</v>
      </c>
      <c r="L89" s="238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ht="15.75" customHeight="1">
      <c r="A90" s="97"/>
      <c r="B90" s="243"/>
      <c r="C90" s="206" t="s">
        <v>646</v>
      </c>
      <c r="D90" s="101"/>
      <c r="E90" s="101"/>
      <c r="F90" s="101"/>
      <c r="G90" s="41">
        <f t="shared" si="1"/>
        <v>0</v>
      </c>
      <c r="H90" s="49" t="str">
        <f t="shared" si="6"/>
        <v/>
      </c>
      <c r="I90" s="43" t="str">
        <f t="shared" si="5"/>
        <v/>
      </c>
      <c r="J90" s="78"/>
      <c r="K90" s="78">
        <f t="shared" si="3"/>
        <v>182</v>
      </c>
      <c r="L90" s="238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ht="15.75" customHeight="1">
      <c r="A91" s="97"/>
      <c r="B91" s="243"/>
      <c r="C91" s="206" t="s">
        <v>646</v>
      </c>
      <c r="D91" s="101"/>
      <c r="E91" s="101"/>
      <c r="F91" s="101"/>
      <c r="G91" s="41">
        <f t="shared" si="1"/>
        <v>0</v>
      </c>
      <c r="H91" s="49" t="str">
        <f t="shared" si="6"/>
        <v/>
      </c>
      <c r="I91" s="43" t="str">
        <f t="shared" si="5"/>
        <v/>
      </c>
      <c r="J91" s="78"/>
      <c r="K91" s="78">
        <f t="shared" si="3"/>
        <v>182</v>
      </c>
      <c r="L91" s="238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ht="15.75" customHeight="1">
      <c r="A92" s="97"/>
      <c r="B92" s="243"/>
      <c r="C92" s="206" t="s">
        <v>646</v>
      </c>
      <c r="D92" s="101"/>
      <c r="E92" s="101"/>
      <c r="F92" s="101"/>
      <c r="G92" s="41">
        <f t="shared" si="1"/>
        <v>0</v>
      </c>
      <c r="H92" s="49" t="str">
        <f t="shared" si="6"/>
        <v/>
      </c>
      <c r="I92" s="43" t="str">
        <f t="shared" si="5"/>
        <v/>
      </c>
      <c r="J92" s="78"/>
      <c r="K92" s="78">
        <f t="shared" si="3"/>
        <v>182</v>
      </c>
      <c r="L92" s="238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ht="15.75" customHeight="1">
      <c r="A93" s="97"/>
      <c r="B93" s="243"/>
      <c r="C93" s="206" t="s">
        <v>646</v>
      </c>
      <c r="D93" s="101"/>
      <c r="E93" s="101"/>
      <c r="F93" s="101"/>
      <c r="G93" s="41">
        <f t="shared" si="1"/>
        <v>0</v>
      </c>
      <c r="H93" s="49" t="str">
        <f t="shared" si="6"/>
        <v/>
      </c>
      <c r="I93" s="43" t="str">
        <f t="shared" si="5"/>
        <v/>
      </c>
      <c r="J93" s="78"/>
      <c r="K93" s="78">
        <f t="shared" si="3"/>
        <v>182</v>
      </c>
      <c r="L93" s="238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ht="15.75" customHeight="1">
      <c r="A94" s="97"/>
      <c r="B94" s="243"/>
      <c r="C94" s="206" t="s">
        <v>646</v>
      </c>
      <c r="D94" s="101"/>
      <c r="E94" s="101"/>
      <c r="F94" s="101"/>
      <c r="G94" s="41">
        <f t="shared" si="1"/>
        <v>0</v>
      </c>
      <c r="H94" s="49" t="str">
        <f t="shared" si="6"/>
        <v/>
      </c>
      <c r="I94" s="43" t="str">
        <f t="shared" si="5"/>
        <v/>
      </c>
      <c r="J94" s="78"/>
      <c r="K94" s="78">
        <f t="shared" si="3"/>
        <v>182</v>
      </c>
      <c r="L94" s="238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ht="15.75" customHeight="1">
      <c r="A95" s="97"/>
      <c r="B95" s="243"/>
      <c r="C95" s="206" t="s">
        <v>646</v>
      </c>
      <c r="D95" s="101"/>
      <c r="E95" s="101"/>
      <c r="F95" s="101"/>
      <c r="G95" s="41">
        <f t="shared" si="1"/>
        <v>0</v>
      </c>
      <c r="H95" s="49" t="str">
        <f t="shared" si="6"/>
        <v/>
      </c>
      <c r="I95" s="43" t="str">
        <f t="shared" si="5"/>
        <v/>
      </c>
      <c r="J95" s="78"/>
      <c r="K95" s="78">
        <f t="shared" si="3"/>
        <v>182</v>
      </c>
      <c r="L95" s="238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ht="15.75" customHeight="1">
      <c r="A96" s="97"/>
      <c r="B96" s="243"/>
      <c r="C96" s="206" t="s">
        <v>646</v>
      </c>
      <c r="D96" s="101"/>
      <c r="E96" s="101"/>
      <c r="F96" s="101"/>
      <c r="G96" s="41">
        <f t="shared" si="1"/>
        <v>0</v>
      </c>
      <c r="H96" s="49" t="str">
        <f t="shared" si="6"/>
        <v/>
      </c>
      <c r="I96" s="43" t="str">
        <f t="shared" si="5"/>
        <v/>
      </c>
      <c r="J96" s="78"/>
      <c r="K96" s="78">
        <f t="shared" si="3"/>
        <v>182</v>
      </c>
      <c r="L96" s="238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ht="15.75" customHeight="1">
      <c r="A97" s="97"/>
      <c r="B97" s="98"/>
      <c r="C97" s="113" t="s">
        <v>646</v>
      </c>
      <c r="D97" s="101"/>
      <c r="E97" s="101"/>
      <c r="F97" s="101"/>
      <c r="G97" s="41">
        <f t="shared" si="1"/>
        <v>0</v>
      </c>
      <c r="H97" s="49" t="str">
        <f t="shared" si="6"/>
        <v/>
      </c>
      <c r="I97" s="43" t="str">
        <f t="shared" si="5"/>
        <v/>
      </c>
      <c r="J97" s="78"/>
      <c r="K97" s="78">
        <f t="shared" si="3"/>
        <v>182</v>
      </c>
      <c r="L97" s="238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ht="15.75" customHeight="1">
      <c r="A98" s="97"/>
      <c r="B98" s="98"/>
      <c r="C98" s="113" t="s">
        <v>646</v>
      </c>
      <c r="D98" s="101"/>
      <c r="E98" s="101"/>
      <c r="F98" s="101"/>
      <c r="G98" s="41">
        <f t="shared" si="1"/>
        <v>0</v>
      </c>
      <c r="H98" s="49" t="str">
        <f t="shared" si="6"/>
        <v/>
      </c>
      <c r="I98" s="43" t="str">
        <f t="shared" si="5"/>
        <v/>
      </c>
      <c r="J98" s="78"/>
      <c r="K98" s="78">
        <f t="shared" si="3"/>
        <v>182</v>
      </c>
      <c r="L98" s="238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ht="15.75" customHeight="1">
      <c r="A99" s="97"/>
      <c r="B99" s="98"/>
      <c r="C99" s="113" t="s">
        <v>646</v>
      </c>
      <c r="D99" s="101"/>
      <c r="E99" s="101"/>
      <c r="F99" s="101"/>
      <c r="G99" s="41">
        <f t="shared" si="1"/>
        <v>0</v>
      </c>
      <c r="H99" s="49" t="str">
        <f t="shared" si="6"/>
        <v/>
      </c>
      <c r="I99" s="43" t="str">
        <f t="shared" si="5"/>
        <v/>
      </c>
      <c r="J99" s="78"/>
      <c r="K99" s="78">
        <f t="shared" si="3"/>
        <v>182</v>
      </c>
      <c r="L99" s="238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ht="15.75" customHeight="1">
      <c r="A100" s="97"/>
      <c r="B100" s="98"/>
      <c r="C100" s="113" t="s">
        <v>646</v>
      </c>
      <c r="D100" s="101"/>
      <c r="E100" s="101"/>
      <c r="F100" s="101"/>
      <c r="G100" s="41">
        <f t="shared" si="1"/>
        <v>0</v>
      </c>
      <c r="H100" s="49" t="str">
        <f t="shared" si="6"/>
        <v/>
      </c>
      <c r="I100" s="43" t="str">
        <f t="shared" si="5"/>
        <v/>
      </c>
      <c r="J100" s="78"/>
      <c r="K100" s="78">
        <f t="shared" si="3"/>
        <v>182</v>
      </c>
      <c r="L100" s="238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ht="15.75" customHeight="1">
      <c r="A101" s="97"/>
      <c r="B101" s="98"/>
      <c r="C101" s="113" t="s">
        <v>646</v>
      </c>
      <c r="D101" s="101"/>
      <c r="E101" s="101"/>
      <c r="F101" s="101"/>
      <c r="G101" s="41">
        <f t="shared" si="1"/>
        <v>0</v>
      </c>
      <c r="H101" s="49" t="str">
        <f t="shared" si="6"/>
        <v/>
      </c>
      <c r="I101" s="43" t="str">
        <f t="shared" si="5"/>
        <v/>
      </c>
      <c r="J101" s="78"/>
      <c r="K101" s="78">
        <f t="shared" si="3"/>
        <v>182</v>
      </c>
      <c r="L101" s="238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ht="15.75" customHeight="1">
      <c r="A102" s="97"/>
      <c r="B102" s="98"/>
      <c r="C102" s="113" t="s">
        <v>646</v>
      </c>
      <c r="D102" s="101"/>
      <c r="E102" s="101"/>
      <c r="F102" s="101"/>
      <c r="G102" s="41">
        <f t="shared" si="1"/>
        <v>0</v>
      </c>
      <c r="H102" s="49" t="str">
        <f t="shared" si="6"/>
        <v/>
      </c>
      <c r="I102" s="43" t="str">
        <f t="shared" si="5"/>
        <v/>
      </c>
      <c r="J102" s="78"/>
      <c r="K102" s="78">
        <f t="shared" si="3"/>
        <v>182</v>
      </c>
      <c r="L102" s="238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  <row r="103" ht="15.75" customHeight="1">
      <c r="A103" s="97"/>
      <c r="B103" s="98"/>
      <c r="C103" s="113" t="s">
        <v>646</v>
      </c>
      <c r="D103" s="101"/>
      <c r="E103" s="101"/>
      <c r="F103" s="101"/>
      <c r="G103" s="41">
        <f t="shared" si="1"/>
        <v>0</v>
      </c>
      <c r="H103" s="49" t="str">
        <f t="shared" si="6"/>
        <v/>
      </c>
      <c r="I103" s="43" t="str">
        <f t="shared" si="5"/>
        <v/>
      </c>
      <c r="J103" s="78"/>
      <c r="K103" s="78">
        <f t="shared" si="3"/>
        <v>182</v>
      </c>
      <c r="L103" s="238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</row>
    <row r="104" ht="15.75" customHeight="1">
      <c r="A104" s="97"/>
      <c r="B104" s="98"/>
      <c r="C104" s="113" t="s">
        <v>646</v>
      </c>
      <c r="D104" s="101"/>
      <c r="E104" s="101"/>
      <c r="F104" s="101"/>
      <c r="G104" s="41">
        <f t="shared" si="1"/>
        <v>0</v>
      </c>
      <c r="H104" s="49" t="str">
        <f t="shared" si="6"/>
        <v/>
      </c>
      <c r="I104" s="43" t="str">
        <f t="shared" si="5"/>
        <v/>
      </c>
      <c r="J104" s="78"/>
      <c r="K104" s="78">
        <f t="shared" si="3"/>
        <v>182</v>
      </c>
      <c r="L104" s="238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</row>
    <row r="105" ht="15.75" customHeight="1">
      <c r="A105" s="97"/>
      <c r="B105" s="98"/>
      <c r="C105" s="113" t="s">
        <v>646</v>
      </c>
      <c r="D105" s="101"/>
      <c r="E105" s="101"/>
      <c r="F105" s="101"/>
      <c r="G105" s="41">
        <f t="shared" si="1"/>
        <v>0</v>
      </c>
      <c r="H105" s="49" t="str">
        <f t="shared" si="6"/>
        <v/>
      </c>
      <c r="I105" s="43" t="str">
        <f t="shared" si="5"/>
        <v/>
      </c>
      <c r="J105" s="78"/>
      <c r="K105" s="78">
        <f t="shared" si="3"/>
        <v>182</v>
      </c>
      <c r="L105" s="238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</row>
    <row r="106" ht="15.75" customHeight="1">
      <c r="A106" s="97"/>
      <c r="B106" s="98"/>
      <c r="C106" s="113" t="s">
        <v>646</v>
      </c>
      <c r="D106" s="101"/>
      <c r="E106" s="101"/>
      <c r="F106" s="101"/>
      <c r="G106" s="41">
        <f t="shared" si="1"/>
        <v>0</v>
      </c>
      <c r="H106" s="49" t="str">
        <f t="shared" si="6"/>
        <v/>
      </c>
      <c r="I106" s="43" t="str">
        <f t="shared" si="5"/>
        <v/>
      </c>
      <c r="J106" s="78"/>
      <c r="K106" s="78">
        <f t="shared" si="3"/>
        <v>182</v>
      </c>
      <c r="L106" s="238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</row>
    <row r="107" ht="15.75" customHeight="1">
      <c r="A107" s="97"/>
      <c r="B107" s="98"/>
      <c r="C107" s="113" t="s">
        <v>646</v>
      </c>
      <c r="D107" s="101"/>
      <c r="E107" s="101"/>
      <c r="F107" s="101"/>
      <c r="G107" s="41">
        <f t="shared" si="1"/>
        <v>0</v>
      </c>
      <c r="H107" s="49" t="str">
        <f t="shared" si="6"/>
        <v/>
      </c>
      <c r="I107" s="43" t="str">
        <f t="shared" si="5"/>
        <v/>
      </c>
      <c r="J107" s="78"/>
      <c r="K107" s="78">
        <f t="shared" si="3"/>
        <v>182</v>
      </c>
      <c r="L107" s="238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ht="15.75" customHeight="1">
      <c r="A108" s="97"/>
      <c r="B108" s="98"/>
      <c r="C108" s="113" t="s">
        <v>646</v>
      </c>
      <c r="D108" s="101"/>
      <c r="E108" s="101"/>
      <c r="F108" s="101"/>
      <c r="G108" s="41">
        <f t="shared" si="1"/>
        <v>0</v>
      </c>
      <c r="H108" s="49" t="str">
        <f t="shared" si="6"/>
        <v/>
      </c>
      <c r="I108" s="43" t="str">
        <f t="shared" si="5"/>
        <v/>
      </c>
      <c r="J108" s="78"/>
      <c r="K108" s="78">
        <f t="shared" si="3"/>
        <v>182</v>
      </c>
      <c r="L108" s="238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ht="15.75" customHeight="1">
      <c r="A109" s="97"/>
      <c r="B109" s="98"/>
      <c r="C109" s="113" t="s">
        <v>646</v>
      </c>
      <c r="D109" s="101"/>
      <c r="E109" s="101"/>
      <c r="F109" s="101"/>
      <c r="G109" s="41">
        <f t="shared" si="1"/>
        <v>0</v>
      </c>
      <c r="H109" s="49" t="str">
        <f t="shared" si="6"/>
        <v/>
      </c>
      <c r="I109" s="43" t="str">
        <f t="shared" si="5"/>
        <v/>
      </c>
      <c r="J109" s="78"/>
      <c r="K109" s="78">
        <f t="shared" si="3"/>
        <v>182</v>
      </c>
      <c r="L109" s="238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ht="15.75" customHeight="1">
      <c r="A110" s="97"/>
      <c r="B110" s="98"/>
      <c r="C110" s="113" t="s">
        <v>646</v>
      </c>
      <c r="D110" s="101"/>
      <c r="E110" s="101"/>
      <c r="F110" s="101"/>
      <c r="G110" s="41">
        <f t="shared" si="1"/>
        <v>0</v>
      </c>
      <c r="H110" s="49" t="str">
        <f t="shared" si="6"/>
        <v/>
      </c>
      <c r="I110" s="43" t="str">
        <f t="shared" si="5"/>
        <v/>
      </c>
      <c r="J110" s="78"/>
      <c r="K110" s="78">
        <f t="shared" si="3"/>
        <v>182</v>
      </c>
      <c r="L110" s="238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</row>
    <row r="111" ht="15.75" customHeight="1">
      <c r="A111" s="97"/>
      <c r="B111" s="98"/>
      <c r="C111" s="113" t="s">
        <v>646</v>
      </c>
      <c r="D111" s="101"/>
      <c r="E111" s="101"/>
      <c r="F111" s="101"/>
      <c r="G111" s="41">
        <f t="shared" si="1"/>
        <v>0</v>
      </c>
      <c r="H111" s="49" t="str">
        <f t="shared" si="6"/>
        <v/>
      </c>
      <c r="I111" s="43" t="str">
        <f t="shared" si="5"/>
        <v/>
      </c>
      <c r="J111" s="78"/>
      <c r="K111" s="78">
        <f t="shared" si="3"/>
        <v>182</v>
      </c>
      <c r="L111" s="238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</row>
    <row r="112" ht="15.75" customHeight="1">
      <c r="A112" s="97"/>
      <c r="B112" s="98"/>
      <c r="C112" s="113" t="s">
        <v>646</v>
      </c>
      <c r="D112" s="101"/>
      <c r="E112" s="101"/>
      <c r="F112" s="101"/>
      <c r="G112" s="41">
        <f t="shared" si="1"/>
        <v>0</v>
      </c>
      <c r="H112" s="49" t="str">
        <f t="shared" si="6"/>
        <v/>
      </c>
      <c r="I112" s="43" t="str">
        <f t="shared" si="5"/>
        <v/>
      </c>
      <c r="J112" s="78"/>
      <c r="K112" s="78">
        <f t="shared" si="3"/>
        <v>182</v>
      </c>
      <c r="L112" s="238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</row>
    <row r="113" ht="15.75" customHeight="1">
      <c r="A113" s="97"/>
      <c r="B113" s="98"/>
      <c r="C113" s="113" t="s">
        <v>646</v>
      </c>
      <c r="D113" s="101"/>
      <c r="E113" s="101"/>
      <c r="F113" s="101"/>
      <c r="G113" s="41">
        <f t="shared" si="1"/>
        <v>0</v>
      </c>
      <c r="H113" s="49" t="str">
        <f t="shared" si="6"/>
        <v/>
      </c>
      <c r="I113" s="43" t="str">
        <f t="shared" si="5"/>
        <v/>
      </c>
      <c r="J113" s="78"/>
      <c r="K113" s="78">
        <f t="shared" si="3"/>
        <v>182</v>
      </c>
      <c r="L113" s="238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</row>
    <row r="114" ht="15.75" customHeight="1">
      <c r="A114" s="97"/>
      <c r="B114" s="98"/>
      <c r="C114" s="113" t="s">
        <v>646</v>
      </c>
      <c r="D114" s="101"/>
      <c r="E114" s="101"/>
      <c r="F114" s="101"/>
      <c r="G114" s="41">
        <f t="shared" si="1"/>
        <v>0</v>
      </c>
      <c r="H114" s="49" t="str">
        <f t="shared" si="6"/>
        <v/>
      </c>
      <c r="I114" s="43" t="str">
        <f t="shared" si="5"/>
        <v/>
      </c>
      <c r="J114" s="78"/>
      <c r="K114" s="78">
        <f t="shared" si="3"/>
        <v>182</v>
      </c>
      <c r="L114" s="238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ht="15.75" customHeight="1">
      <c r="A115" s="97"/>
      <c r="B115" s="98"/>
      <c r="C115" s="113" t="s">
        <v>646</v>
      </c>
      <c r="D115" s="101"/>
      <c r="E115" s="101"/>
      <c r="F115" s="101"/>
      <c r="G115" s="41">
        <f t="shared" si="1"/>
        <v>0</v>
      </c>
      <c r="H115" s="49" t="str">
        <f t="shared" si="6"/>
        <v/>
      </c>
      <c r="I115" s="43" t="str">
        <f t="shared" si="5"/>
        <v/>
      </c>
      <c r="J115" s="78"/>
      <c r="K115" s="78">
        <f t="shared" si="3"/>
        <v>182</v>
      </c>
      <c r="L115" s="238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</row>
    <row r="116" ht="15.75" customHeight="1">
      <c r="A116" s="97"/>
      <c r="B116" s="98"/>
      <c r="C116" s="113" t="s">
        <v>646</v>
      </c>
      <c r="D116" s="101"/>
      <c r="E116" s="101"/>
      <c r="F116" s="101"/>
      <c r="G116" s="41">
        <f t="shared" si="1"/>
        <v>0</v>
      </c>
      <c r="H116" s="49" t="str">
        <f t="shared" si="6"/>
        <v/>
      </c>
      <c r="I116" s="43" t="str">
        <f t="shared" si="5"/>
        <v/>
      </c>
      <c r="J116" s="78"/>
      <c r="K116" s="78">
        <f t="shared" si="3"/>
        <v>182</v>
      </c>
      <c r="L116" s="238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</row>
    <row r="117" ht="15.75" customHeight="1">
      <c r="A117" s="97"/>
      <c r="B117" s="98"/>
      <c r="C117" s="113" t="s">
        <v>646</v>
      </c>
      <c r="D117" s="101"/>
      <c r="E117" s="101"/>
      <c r="F117" s="101"/>
      <c r="G117" s="41">
        <f t="shared" si="1"/>
        <v>0</v>
      </c>
      <c r="H117" s="49" t="str">
        <f t="shared" si="6"/>
        <v/>
      </c>
      <c r="I117" s="43" t="str">
        <f t="shared" si="5"/>
        <v/>
      </c>
      <c r="J117" s="78"/>
      <c r="K117" s="78">
        <f t="shared" si="3"/>
        <v>182</v>
      </c>
      <c r="L117" s="238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</row>
    <row r="118" ht="15.75" customHeight="1">
      <c r="A118" s="97"/>
      <c r="B118" s="98"/>
      <c r="C118" s="113" t="s">
        <v>646</v>
      </c>
      <c r="D118" s="101"/>
      <c r="E118" s="101"/>
      <c r="F118" s="101"/>
      <c r="G118" s="41">
        <f t="shared" si="1"/>
        <v>0</v>
      </c>
      <c r="H118" s="49" t="str">
        <f t="shared" si="6"/>
        <v/>
      </c>
      <c r="I118" s="43" t="str">
        <f t="shared" si="5"/>
        <v/>
      </c>
      <c r="J118" s="78"/>
      <c r="K118" s="78">
        <f t="shared" si="3"/>
        <v>182</v>
      </c>
      <c r="L118" s="238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</row>
    <row r="119" ht="15.75" customHeight="1">
      <c r="A119" s="97"/>
      <c r="B119" s="98"/>
      <c r="C119" s="113" t="s">
        <v>646</v>
      </c>
      <c r="D119" s="101"/>
      <c r="E119" s="101"/>
      <c r="F119" s="101"/>
      <c r="G119" s="41">
        <f t="shared" si="1"/>
        <v>0</v>
      </c>
      <c r="H119" s="49" t="str">
        <f t="shared" si="6"/>
        <v/>
      </c>
      <c r="I119" s="43" t="str">
        <f t="shared" si="5"/>
        <v/>
      </c>
      <c r="J119" s="78"/>
      <c r="K119" s="78">
        <f t="shared" si="3"/>
        <v>182</v>
      </c>
      <c r="L119" s="238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</row>
    <row r="120" ht="15.75" customHeight="1">
      <c r="A120" s="97"/>
      <c r="B120" s="98"/>
      <c r="C120" s="113" t="s">
        <v>646</v>
      </c>
      <c r="D120" s="101"/>
      <c r="E120" s="101"/>
      <c r="F120" s="101"/>
      <c r="G120" s="41">
        <f t="shared" si="1"/>
        <v>0</v>
      </c>
      <c r="H120" s="49" t="str">
        <f t="shared" si="6"/>
        <v/>
      </c>
      <c r="I120" s="43" t="str">
        <f t="shared" si="5"/>
        <v/>
      </c>
      <c r="J120" s="78"/>
      <c r="K120" s="78">
        <f t="shared" si="3"/>
        <v>182</v>
      </c>
      <c r="L120" s="238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</row>
    <row r="121" ht="15.75" customHeight="1">
      <c r="A121" s="97"/>
      <c r="B121" s="98"/>
      <c r="C121" s="113" t="s">
        <v>646</v>
      </c>
      <c r="D121" s="101"/>
      <c r="E121" s="101"/>
      <c r="F121" s="101"/>
      <c r="G121" s="41">
        <f t="shared" si="1"/>
        <v>0</v>
      </c>
      <c r="H121" s="49" t="str">
        <f t="shared" si="6"/>
        <v/>
      </c>
      <c r="I121" s="43" t="str">
        <f t="shared" si="5"/>
        <v/>
      </c>
      <c r="J121" s="78"/>
      <c r="K121" s="78">
        <f t="shared" si="3"/>
        <v>182</v>
      </c>
      <c r="L121" s="238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</row>
    <row r="122" ht="15.75" customHeight="1">
      <c r="A122" s="97"/>
      <c r="B122" s="98"/>
      <c r="C122" s="113" t="s">
        <v>646</v>
      </c>
      <c r="D122" s="101"/>
      <c r="E122" s="101"/>
      <c r="F122" s="101"/>
      <c r="G122" s="41">
        <f t="shared" si="1"/>
        <v>0</v>
      </c>
      <c r="H122" s="49" t="str">
        <f t="shared" si="6"/>
        <v/>
      </c>
      <c r="I122" s="43" t="str">
        <f t="shared" si="5"/>
        <v/>
      </c>
      <c r="J122" s="78"/>
      <c r="K122" s="78">
        <f t="shared" si="3"/>
        <v>182</v>
      </c>
      <c r="L122" s="238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</row>
    <row r="123" ht="15.75" customHeight="1">
      <c r="A123" s="97"/>
      <c r="B123" s="98"/>
      <c r="C123" s="113" t="s">
        <v>646</v>
      </c>
      <c r="D123" s="101"/>
      <c r="E123" s="101"/>
      <c r="F123" s="101"/>
      <c r="G123" s="41">
        <f t="shared" si="1"/>
        <v>0</v>
      </c>
      <c r="H123" s="49" t="str">
        <f t="shared" si="6"/>
        <v/>
      </c>
      <c r="I123" s="43" t="str">
        <f t="shared" si="5"/>
        <v/>
      </c>
      <c r="J123" s="78"/>
      <c r="K123" s="78">
        <f t="shared" si="3"/>
        <v>182</v>
      </c>
      <c r="L123" s="238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</row>
    <row r="124" ht="15.75" customHeight="1">
      <c r="A124" s="97"/>
      <c r="B124" s="98"/>
      <c r="C124" s="113" t="s">
        <v>646</v>
      </c>
      <c r="D124" s="101"/>
      <c r="E124" s="101"/>
      <c r="F124" s="101"/>
      <c r="G124" s="41">
        <f t="shared" si="1"/>
        <v>0</v>
      </c>
      <c r="H124" s="49" t="str">
        <f t="shared" si="6"/>
        <v/>
      </c>
      <c r="I124" s="43" t="str">
        <f t="shared" si="5"/>
        <v/>
      </c>
      <c r="J124" s="78"/>
      <c r="K124" s="78">
        <f t="shared" si="3"/>
        <v>182</v>
      </c>
      <c r="L124" s="238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</row>
    <row r="125" ht="15.75" customHeight="1">
      <c r="A125" s="97"/>
      <c r="B125" s="98"/>
      <c r="C125" s="113" t="s">
        <v>646</v>
      </c>
      <c r="D125" s="101"/>
      <c r="E125" s="101"/>
      <c r="F125" s="101"/>
      <c r="G125" s="41">
        <f t="shared" si="1"/>
        <v>0</v>
      </c>
      <c r="H125" s="49" t="str">
        <f t="shared" si="6"/>
        <v/>
      </c>
      <c r="I125" s="43" t="str">
        <f t="shared" si="5"/>
        <v/>
      </c>
      <c r="J125" s="78"/>
      <c r="K125" s="78">
        <f t="shared" si="3"/>
        <v>182</v>
      </c>
      <c r="L125" s="238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</row>
    <row r="126" ht="15.75" customHeight="1">
      <c r="A126" s="97"/>
      <c r="B126" s="98"/>
      <c r="C126" s="113" t="s">
        <v>646</v>
      </c>
      <c r="D126" s="101"/>
      <c r="E126" s="101"/>
      <c r="F126" s="101"/>
      <c r="G126" s="41">
        <f t="shared" si="1"/>
        <v>0</v>
      </c>
      <c r="H126" s="49" t="str">
        <f t="shared" si="6"/>
        <v/>
      </c>
      <c r="I126" s="43" t="str">
        <f t="shared" si="5"/>
        <v/>
      </c>
      <c r="J126" s="78"/>
      <c r="K126" s="78">
        <f t="shared" si="3"/>
        <v>182</v>
      </c>
      <c r="L126" s="238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</row>
    <row r="127" ht="15.75" customHeight="1">
      <c r="A127" s="97"/>
      <c r="B127" s="98"/>
      <c r="C127" s="113" t="s">
        <v>646</v>
      </c>
      <c r="D127" s="101"/>
      <c r="E127" s="101"/>
      <c r="F127" s="101"/>
      <c r="G127" s="41">
        <f t="shared" si="1"/>
        <v>0</v>
      </c>
      <c r="H127" s="49" t="str">
        <f t="shared" si="6"/>
        <v/>
      </c>
      <c r="I127" s="43" t="str">
        <f t="shared" si="5"/>
        <v/>
      </c>
      <c r="J127" s="78"/>
      <c r="K127" s="78">
        <f t="shared" si="3"/>
        <v>182</v>
      </c>
      <c r="L127" s="238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</row>
    <row r="128" ht="15.75" customHeight="1">
      <c r="A128" s="97"/>
      <c r="B128" s="98"/>
      <c r="C128" s="113" t="s">
        <v>646</v>
      </c>
      <c r="D128" s="101"/>
      <c r="E128" s="101"/>
      <c r="F128" s="101"/>
      <c r="G128" s="41">
        <f t="shared" si="1"/>
        <v>0</v>
      </c>
      <c r="H128" s="49" t="str">
        <f t="shared" si="6"/>
        <v/>
      </c>
      <c r="I128" s="43" t="str">
        <f t="shared" si="5"/>
        <v/>
      </c>
      <c r="J128" s="78"/>
      <c r="K128" s="78">
        <f t="shared" si="3"/>
        <v>182</v>
      </c>
      <c r="L128" s="238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</row>
    <row r="129" ht="15.75" customHeight="1">
      <c r="A129" s="97"/>
      <c r="B129" s="98"/>
      <c r="C129" s="113" t="s">
        <v>646</v>
      </c>
      <c r="D129" s="101"/>
      <c r="E129" s="101"/>
      <c r="F129" s="101"/>
      <c r="G129" s="41">
        <f t="shared" si="1"/>
        <v>0</v>
      </c>
      <c r="H129" s="49" t="str">
        <f t="shared" si="6"/>
        <v/>
      </c>
      <c r="I129" s="43" t="str">
        <f t="shared" si="5"/>
        <v/>
      </c>
      <c r="J129" s="78"/>
      <c r="K129" s="78">
        <f t="shared" si="3"/>
        <v>182</v>
      </c>
      <c r="L129" s="238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</row>
    <row r="130" ht="15.75" customHeight="1">
      <c r="A130" s="97"/>
      <c r="B130" s="98"/>
      <c r="C130" s="113" t="s">
        <v>646</v>
      </c>
      <c r="D130" s="101"/>
      <c r="E130" s="101"/>
      <c r="F130" s="101"/>
      <c r="G130" s="41">
        <f t="shared" si="1"/>
        <v>0</v>
      </c>
      <c r="H130" s="49" t="str">
        <f t="shared" si="6"/>
        <v/>
      </c>
      <c r="I130" s="43" t="str">
        <f t="shared" si="5"/>
        <v/>
      </c>
      <c r="J130" s="78"/>
      <c r="K130" s="78">
        <f t="shared" si="3"/>
        <v>182</v>
      </c>
      <c r="L130" s="238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</row>
    <row r="131" ht="15.75" customHeight="1">
      <c r="A131" s="97"/>
      <c r="B131" s="98"/>
      <c r="C131" s="113" t="s">
        <v>646</v>
      </c>
      <c r="D131" s="101"/>
      <c r="E131" s="101"/>
      <c r="F131" s="101"/>
      <c r="G131" s="41">
        <f t="shared" si="1"/>
        <v>0</v>
      </c>
      <c r="H131" s="49" t="str">
        <f t="shared" si="6"/>
        <v/>
      </c>
      <c r="I131" s="43" t="str">
        <f t="shared" si="5"/>
        <v/>
      </c>
      <c r="J131" s="78"/>
      <c r="K131" s="78">
        <f t="shared" si="3"/>
        <v>182</v>
      </c>
      <c r="L131" s="238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</row>
    <row r="132" ht="15.75" customHeight="1">
      <c r="A132" s="97"/>
      <c r="B132" s="98"/>
      <c r="C132" s="113" t="s">
        <v>646</v>
      </c>
      <c r="D132" s="101"/>
      <c r="E132" s="101"/>
      <c r="F132" s="101"/>
      <c r="G132" s="41">
        <f t="shared" si="1"/>
        <v>0</v>
      </c>
      <c r="H132" s="49" t="str">
        <f t="shared" si="6"/>
        <v/>
      </c>
      <c r="I132" s="43" t="str">
        <f t="shared" si="5"/>
        <v/>
      </c>
      <c r="J132" s="78"/>
      <c r="K132" s="78">
        <f t="shared" si="3"/>
        <v>182</v>
      </c>
      <c r="L132" s="238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</row>
    <row r="133" ht="15.75" customHeight="1">
      <c r="A133" s="97"/>
      <c r="B133" s="98"/>
      <c r="C133" s="113" t="s">
        <v>646</v>
      </c>
      <c r="D133" s="101"/>
      <c r="E133" s="101"/>
      <c r="F133" s="101"/>
      <c r="G133" s="41">
        <f t="shared" si="1"/>
        <v>0</v>
      </c>
      <c r="H133" s="49" t="str">
        <f t="shared" si="6"/>
        <v/>
      </c>
      <c r="I133" s="43" t="str">
        <f t="shared" si="5"/>
        <v/>
      </c>
      <c r="J133" s="78"/>
      <c r="K133" s="78">
        <f t="shared" si="3"/>
        <v>182</v>
      </c>
      <c r="L133" s="238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</row>
    <row r="134" ht="15.75" customHeight="1">
      <c r="A134" s="97"/>
      <c r="B134" s="98"/>
      <c r="C134" s="113" t="s">
        <v>646</v>
      </c>
      <c r="D134" s="101"/>
      <c r="E134" s="101"/>
      <c r="F134" s="101"/>
      <c r="G134" s="41">
        <f t="shared" si="1"/>
        <v>0</v>
      </c>
      <c r="H134" s="49" t="str">
        <f t="shared" si="6"/>
        <v/>
      </c>
      <c r="I134" s="43" t="str">
        <f t="shared" si="5"/>
        <v/>
      </c>
      <c r="J134" s="78"/>
      <c r="K134" s="78">
        <f t="shared" si="3"/>
        <v>182</v>
      </c>
      <c r="L134" s="238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ht="15.75" customHeight="1">
      <c r="A135" s="97"/>
      <c r="B135" s="98"/>
      <c r="C135" s="113" t="s">
        <v>646</v>
      </c>
      <c r="D135" s="101"/>
      <c r="E135" s="101"/>
      <c r="F135" s="101"/>
      <c r="G135" s="41">
        <f t="shared" si="1"/>
        <v>0</v>
      </c>
      <c r="H135" s="49" t="str">
        <f t="shared" si="6"/>
        <v/>
      </c>
      <c r="I135" s="43" t="str">
        <f t="shared" si="5"/>
        <v/>
      </c>
      <c r="J135" s="78"/>
      <c r="K135" s="78">
        <f t="shared" si="3"/>
        <v>182</v>
      </c>
      <c r="L135" s="238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</row>
    <row r="136" ht="15.75" customHeight="1">
      <c r="A136" s="97"/>
      <c r="B136" s="98"/>
      <c r="C136" s="113" t="s">
        <v>646</v>
      </c>
      <c r="D136" s="101"/>
      <c r="E136" s="101"/>
      <c r="F136" s="101"/>
      <c r="G136" s="41">
        <f t="shared" si="1"/>
        <v>0</v>
      </c>
      <c r="H136" s="49" t="str">
        <f t="shared" si="6"/>
        <v/>
      </c>
      <c r="I136" s="43" t="str">
        <f t="shared" si="5"/>
        <v/>
      </c>
      <c r="J136" s="78"/>
      <c r="K136" s="78">
        <f t="shared" si="3"/>
        <v>182</v>
      </c>
      <c r="L136" s="238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</row>
    <row r="137" ht="15.75" customHeight="1">
      <c r="A137" s="97"/>
      <c r="B137" s="98"/>
      <c r="C137" s="113" t="s">
        <v>646</v>
      </c>
      <c r="D137" s="101"/>
      <c r="E137" s="101"/>
      <c r="F137" s="101"/>
      <c r="G137" s="41">
        <f t="shared" si="1"/>
        <v>0</v>
      </c>
      <c r="H137" s="49" t="str">
        <f t="shared" si="6"/>
        <v/>
      </c>
      <c r="I137" s="43" t="str">
        <f t="shared" si="5"/>
        <v/>
      </c>
      <c r="J137" s="78"/>
      <c r="K137" s="78">
        <f t="shared" si="3"/>
        <v>182</v>
      </c>
      <c r="L137" s="238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</row>
    <row r="138" ht="15.75" customHeight="1">
      <c r="A138" s="97"/>
      <c r="B138" s="98"/>
      <c r="C138" s="113" t="s">
        <v>646</v>
      </c>
      <c r="D138" s="101"/>
      <c r="E138" s="101"/>
      <c r="F138" s="101"/>
      <c r="G138" s="41">
        <f t="shared" si="1"/>
        <v>0</v>
      </c>
      <c r="H138" s="49" t="str">
        <f t="shared" si="6"/>
        <v/>
      </c>
      <c r="I138" s="43" t="str">
        <f t="shared" si="5"/>
        <v/>
      </c>
      <c r="J138" s="78"/>
      <c r="K138" s="78">
        <f t="shared" si="3"/>
        <v>182</v>
      </c>
      <c r="L138" s="238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</row>
    <row r="139" ht="15.75" customHeight="1">
      <c r="A139" s="97"/>
      <c r="B139" s="98"/>
      <c r="C139" s="113" t="s">
        <v>646</v>
      </c>
      <c r="D139" s="101"/>
      <c r="E139" s="101"/>
      <c r="F139" s="101"/>
      <c r="G139" s="41">
        <f t="shared" si="1"/>
        <v>0</v>
      </c>
      <c r="H139" s="49" t="str">
        <f t="shared" si="6"/>
        <v/>
      </c>
      <c r="I139" s="43" t="str">
        <f t="shared" si="5"/>
        <v/>
      </c>
      <c r="J139" s="78"/>
      <c r="K139" s="78">
        <f t="shared" si="3"/>
        <v>182</v>
      </c>
      <c r="L139" s="238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</row>
    <row r="140" ht="15.75" customHeight="1">
      <c r="A140" s="97"/>
      <c r="B140" s="98"/>
      <c r="C140" s="113" t="s">
        <v>646</v>
      </c>
      <c r="D140" s="101"/>
      <c r="E140" s="101"/>
      <c r="F140" s="101"/>
      <c r="G140" s="41">
        <f t="shared" si="1"/>
        <v>0</v>
      </c>
      <c r="H140" s="49" t="str">
        <f t="shared" si="6"/>
        <v/>
      </c>
      <c r="I140" s="43" t="str">
        <f t="shared" si="5"/>
        <v/>
      </c>
      <c r="J140" s="78"/>
      <c r="K140" s="78">
        <f t="shared" si="3"/>
        <v>182</v>
      </c>
      <c r="L140" s="238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</row>
    <row r="141" ht="15.75" customHeight="1">
      <c r="A141" s="97"/>
      <c r="B141" s="98"/>
      <c r="C141" s="113" t="s">
        <v>646</v>
      </c>
      <c r="D141" s="101"/>
      <c r="E141" s="101"/>
      <c r="F141" s="101"/>
      <c r="G141" s="41">
        <f t="shared" si="1"/>
        <v>0</v>
      </c>
      <c r="H141" s="49" t="str">
        <f t="shared" si="6"/>
        <v/>
      </c>
      <c r="I141" s="43" t="str">
        <f t="shared" si="5"/>
        <v/>
      </c>
      <c r="J141" s="78"/>
      <c r="K141" s="78">
        <f t="shared" si="3"/>
        <v>182</v>
      </c>
      <c r="L141" s="238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</row>
    <row r="142" ht="15.75" customHeight="1">
      <c r="A142" s="97"/>
      <c r="B142" s="98"/>
      <c r="C142" s="113" t="s">
        <v>646</v>
      </c>
      <c r="D142" s="101"/>
      <c r="E142" s="101"/>
      <c r="F142" s="101"/>
      <c r="G142" s="41">
        <f t="shared" si="1"/>
        <v>0</v>
      </c>
      <c r="H142" s="49" t="str">
        <f t="shared" si="6"/>
        <v/>
      </c>
      <c r="I142" s="43" t="str">
        <f t="shared" si="5"/>
        <v/>
      </c>
      <c r="J142" s="78"/>
      <c r="K142" s="78">
        <f t="shared" si="3"/>
        <v>182</v>
      </c>
      <c r="L142" s="238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</row>
    <row r="143" ht="15.75" customHeight="1">
      <c r="A143" s="97"/>
      <c r="B143" s="98"/>
      <c r="C143" s="113" t="s">
        <v>646</v>
      </c>
      <c r="D143" s="101"/>
      <c r="E143" s="101"/>
      <c r="F143" s="101"/>
      <c r="G143" s="41">
        <f t="shared" si="1"/>
        <v>0</v>
      </c>
      <c r="H143" s="49" t="str">
        <f t="shared" si="6"/>
        <v/>
      </c>
      <c r="I143" s="43" t="str">
        <f t="shared" si="5"/>
        <v/>
      </c>
      <c r="J143" s="78"/>
      <c r="K143" s="78">
        <f t="shared" si="3"/>
        <v>182</v>
      </c>
      <c r="L143" s="238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</row>
    <row r="144" ht="15.75" customHeight="1">
      <c r="A144" s="97"/>
      <c r="B144" s="98"/>
      <c r="C144" s="113" t="s">
        <v>646</v>
      </c>
      <c r="D144" s="101"/>
      <c r="E144" s="101"/>
      <c r="F144" s="101"/>
      <c r="G144" s="41">
        <f t="shared" si="1"/>
        <v>0</v>
      </c>
      <c r="H144" s="49" t="str">
        <f t="shared" si="6"/>
        <v/>
      </c>
      <c r="I144" s="43" t="str">
        <f t="shared" si="5"/>
        <v/>
      </c>
      <c r="J144" s="78"/>
      <c r="K144" s="78">
        <f t="shared" si="3"/>
        <v>182</v>
      </c>
      <c r="L144" s="238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</row>
    <row r="145" ht="15.75" customHeight="1">
      <c r="A145" s="97"/>
      <c r="B145" s="98"/>
      <c r="C145" s="113" t="s">
        <v>646</v>
      </c>
      <c r="D145" s="101"/>
      <c r="E145" s="101"/>
      <c r="F145" s="101"/>
      <c r="G145" s="41">
        <f t="shared" si="1"/>
        <v>0</v>
      </c>
      <c r="H145" s="49" t="str">
        <f t="shared" si="6"/>
        <v/>
      </c>
      <c r="I145" s="43" t="str">
        <f t="shared" si="5"/>
        <v/>
      </c>
      <c r="J145" s="78"/>
      <c r="K145" s="78">
        <f t="shared" si="3"/>
        <v>182</v>
      </c>
      <c r="L145" s="238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</row>
    <row r="146" ht="15.75" customHeight="1">
      <c r="A146" s="97"/>
      <c r="B146" s="98"/>
      <c r="C146" s="113" t="s">
        <v>646</v>
      </c>
      <c r="D146" s="101"/>
      <c r="E146" s="101"/>
      <c r="F146" s="101"/>
      <c r="G146" s="41">
        <f t="shared" si="1"/>
        <v>0</v>
      </c>
      <c r="H146" s="49" t="str">
        <f t="shared" si="6"/>
        <v/>
      </c>
      <c r="I146" s="43" t="str">
        <f t="shared" si="5"/>
        <v/>
      </c>
      <c r="J146" s="78"/>
      <c r="K146" s="78">
        <f t="shared" si="3"/>
        <v>182</v>
      </c>
      <c r="L146" s="238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</row>
    <row r="147" ht="15.75" customHeight="1">
      <c r="A147" s="97"/>
      <c r="B147" s="98"/>
      <c r="C147" s="113" t="s">
        <v>646</v>
      </c>
      <c r="D147" s="101"/>
      <c r="E147" s="101"/>
      <c r="F147" s="101"/>
      <c r="G147" s="41">
        <f t="shared" si="1"/>
        <v>0</v>
      </c>
      <c r="H147" s="49" t="str">
        <f t="shared" si="6"/>
        <v/>
      </c>
      <c r="I147" s="43" t="str">
        <f t="shared" si="5"/>
        <v/>
      </c>
      <c r="J147" s="78"/>
      <c r="K147" s="78">
        <f t="shared" si="3"/>
        <v>182</v>
      </c>
      <c r="L147" s="238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</row>
    <row r="148" ht="15.75" customHeight="1">
      <c r="A148" s="97"/>
      <c r="B148" s="98"/>
      <c r="C148" s="113" t="s">
        <v>646</v>
      </c>
      <c r="D148" s="101"/>
      <c r="E148" s="101"/>
      <c r="F148" s="101"/>
      <c r="G148" s="41">
        <f t="shared" si="1"/>
        <v>0</v>
      </c>
      <c r="H148" s="49" t="str">
        <f t="shared" si="6"/>
        <v/>
      </c>
      <c r="I148" s="43" t="str">
        <f t="shared" si="5"/>
        <v/>
      </c>
      <c r="J148" s="78"/>
      <c r="K148" s="78">
        <f t="shared" si="3"/>
        <v>182</v>
      </c>
      <c r="L148" s="238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</row>
    <row r="149" ht="15.75" customHeight="1">
      <c r="A149" s="97"/>
      <c r="B149" s="98"/>
      <c r="C149" s="113" t="s">
        <v>646</v>
      </c>
      <c r="D149" s="101"/>
      <c r="E149" s="101"/>
      <c r="F149" s="101"/>
      <c r="G149" s="41">
        <f t="shared" si="1"/>
        <v>0</v>
      </c>
      <c r="H149" s="49" t="str">
        <f t="shared" si="6"/>
        <v/>
      </c>
      <c r="I149" s="43" t="str">
        <f t="shared" si="5"/>
        <v/>
      </c>
      <c r="J149" s="78"/>
      <c r="K149" s="78">
        <f t="shared" si="3"/>
        <v>182</v>
      </c>
      <c r="L149" s="238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</row>
    <row r="150" ht="15.75" customHeight="1">
      <c r="A150" s="97"/>
      <c r="B150" s="98"/>
      <c r="C150" s="113" t="s">
        <v>646</v>
      </c>
      <c r="D150" s="101"/>
      <c r="E150" s="101"/>
      <c r="F150" s="101"/>
      <c r="G150" s="41">
        <f t="shared" si="1"/>
        <v>0</v>
      </c>
      <c r="H150" s="49" t="str">
        <f t="shared" si="6"/>
        <v/>
      </c>
      <c r="I150" s="43" t="str">
        <f t="shared" si="5"/>
        <v/>
      </c>
      <c r="J150" s="78"/>
      <c r="K150" s="78">
        <f t="shared" si="3"/>
        <v>182</v>
      </c>
      <c r="L150" s="238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</row>
    <row r="151" ht="15.75" customHeight="1">
      <c r="A151" s="97"/>
      <c r="B151" s="98"/>
      <c r="C151" s="113" t="s">
        <v>646</v>
      </c>
      <c r="D151" s="101"/>
      <c r="E151" s="101"/>
      <c r="F151" s="101"/>
      <c r="G151" s="41">
        <f t="shared" si="1"/>
        <v>0</v>
      </c>
      <c r="H151" s="49" t="str">
        <f t="shared" si="6"/>
        <v/>
      </c>
      <c r="I151" s="43" t="str">
        <f t="shared" si="5"/>
        <v/>
      </c>
      <c r="J151" s="78"/>
      <c r="K151" s="78">
        <f t="shared" si="3"/>
        <v>182</v>
      </c>
      <c r="L151" s="238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</row>
    <row r="152" ht="15.75" customHeight="1">
      <c r="A152" s="97"/>
      <c r="B152" s="98"/>
      <c r="C152" s="113" t="s">
        <v>646</v>
      </c>
      <c r="D152" s="101"/>
      <c r="E152" s="101"/>
      <c r="F152" s="101"/>
      <c r="G152" s="41">
        <f t="shared" si="1"/>
        <v>0</v>
      </c>
      <c r="H152" s="49" t="str">
        <f t="shared" si="6"/>
        <v/>
      </c>
      <c r="I152" s="43" t="str">
        <f t="shared" si="5"/>
        <v/>
      </c>
      <c r="J152" s="78"/>
      <c r="K152" s="78">
        <f t="shared" si="3"/>
        <v>182</v>
      </c>
      <c r="L152" s="238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</row>
    <row r="153" ht="15.75" customHeight="1">
      <c r="A153" s="97"/>
      <c r="B153" s="98"/>
      <c r="C153" s="113" t="s">
        <v>646</v>
      </c>
      <c r="D153" s="101"/>
      <c r="E153" s="101"/>
      <c r="F153" s="101"/>
      <c r="G153" s="41">
        <f t="shared" si="1"/>
        <v>0</v>
      </c>
      <c r="H153" s="49" t="str">
        <f t="shared" si="6"/>
        <v/>
      </c>
      <c r="I153" s="43" t="str">
        <f t="shared" si="5"/>
        <v/>
      </c>
      <c r="J153" s="78"/>
      <c r="K153" s="78">
        <f t="shared" si="3"/>
        <v>182</v>
      </c>
      <c r="L153" s="238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</row>
    <row r="154" ht="15.75" customHeight="1">
      <c r="A154" s="97"/>
      <c r="B154" s="98"/>
      <c r="C154" s="113" t="s">
        <v>646</v>
      </c>
      <c r="D154" s="101"/>
      <c r="E154" s="101"/>
      <c r="F154" s="101"/>
      <c r="G154" s="41">
        <f t="shared" si="1"/>
        <v>0</v>
      </c>
      <c r="H154" s="49" t="str">
        <f t="shared" si="6"/>
        <v/>
      </c>
      <c r="I154" s="43" t="str">
        <f t="shared" si="5"/>
        <v/>
      </c>
      <c r="J154" s="78"/>
      <c r="K154" s="78">
        <f t="shared" si="3"/>
        <v>182</v>
      </c>
      <c r="L154" s="238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</row>
    <row r="155" ht="15.75" customHeight="1">
      <c r="A155" s="97"/>
      <c r="B155" s="98"/>
      <c r="C155" s="113" t="s">
        <v>646</v>
      </c>
      <c r="D155" s="101"/>
      <c r="E155" s="101"/>
      <c r="F155" s="101"/>
      <c r="G155" s="41">
        <f t="shared" si="1"/>
        <v>0</v>
      </c>
      <c r="H155" s="49" t="str">
        <f t="shared" si="6"/>
        <v/>
      </c>
      <c r="I155" s="43" t="str">
        <f t="shared" si="5"/>
        <v/>
      </c>
      <c r="J155" s="78"/>
      <c r="K155" s="78">
        <f t="shared" si="3"/>
        <v>182</v>
      </c>
      <c r="L155" s="238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</row>
    <row r="156" ht="15.75" customHeight="1">
      <c r="A156" s="97"/>
      <c r="B156" s="98"/>
      <c r="C156" s="113" t="s">
        <v>646</v>
      </c>
      <c r="D156" s="101"/>
      <c r="E156" s="101"/>
      <c r="F156" s="101"/>
      <c r="G156" s="41">
        <f t="shared" si="1"/>
        <v>0</v>
      </c>
      <c r="H156" s="49" t="str">
        <f t="shared" si="6"/>
        <v/>
      </c>
      <c r="I156" s="43" t="str">
        <f t="shared" si="5"/>
        <v/>
      </c>
      <c r="J156" s="78"/>
      <c r="K156" s="78">
        <f t="shared" si="3"/>
        <v>182</v>
      </c>
      <c r="L156" s="238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</row>
    <row r="157" ht="15.75" customHeight="1">
      <c r="A157" s="97"/>
      <c r="B157" s="98"/>
      <c r="C157" s="113" t="s">
        <v>646</v>
      </c>
      <c r="D157" s="101"/>
      <c r="E157" s="101"/>
      <c r="F157" s="101"/>
      <c r="G157" s="41">
        <f t="shared" si="1"/>
        <v>0</v>
      </c>
      <c r="H157" s="49" t="str">
        <f t="shared" si="6"/>
        <v/>
      </c>
      <c r="I157" s="43" t="str">
        <f t="shared" si="5"/>
        <v/>
      </c>
      <c r="J157" s="78"/>
      <c r="K157" s="78">
        <f t="shared" si="3"/>
        <v>182</v>
      </c>
      <c r="L157" s="238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</row>
    <row r="158" ht="15.75" customHeight="1">
      <c r="A158" s="97"/>
      <c r="B158" s="98"/>
      <c r="C158" s="113" t="s">
        <v>646</v>
      </c>
      <c r="D158" s="101"/>
      <c r="E158" s="101"/>
      <c r="F158" s="101"/>
      <c r="G158" s="41">
        <f t="shared" si="1"/>
        <v>0</v>
      </c>
      <c r="H158" s="49" t="str">
        <f t="shared" si="6"/>
        <v/>
      </c>
      <c r="I158" s="43" t="str">
        <f t="shared" si="5"/>
        <v/>
      </c>
      <c r="J158" s="78"/>
      <c r="K158" s="78">
        <f t="shared" si="3"/>
        <v>182</v>
      </c>
      <c r="L158" s="238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</row>
    <row r="159" ht="15.75" customHeight="1">
      <c r="A159" s="97"/>
      <c r="B159" s="98"/>
      <c r="C159" s="113" t="s">
        <v>646</v>
      </c>
      <c r="D159" s="101"/>
      <c r="E159" s="101"/>
      <c r="F159" s="101"/>
      <c r="G159" s="41">
        <f t="shared" si="1"/>
        <v>0</v>
      </c>
      <c r="H159" s="49" t="str">
        <f t="shared" si="6"/>
        <v/>
      </c>
      <c r="I159" s="43" t="str">
        <f t="shared" si="5"/>
        <v/>
      </c>
      <c r="J159" s="78"/>
      <c r="K159" s="78">
        <f t="shared" si="3"/>
        <v>182</v>
      </c>
      <c r="L159" s="238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</row>
    <row r="160" ht="15.75" customHeight="1">
      <c r="A160" s="97"/>
      <c r="B160" s="98"/>
      <c r="C160" s="113" t="s">
        <v>646</v>
      </c>
      <c r="D160" s="101"/>
      <c r="E160" s="101"/>
      <c r="F160" s="101"/>
      <c r="G160" s="41">
        <f t="shared" si="1"/>
        <v>0</v>
      </c>
      <c r="H160" s="49" t="str">
        <f t="shared" si="6"/>
        <v/>
      </c>
      <c r="I160" s="43" t="str">
        <f t="shared" si="5"/>
        <v/>
      </c>
      <c r="J160" s="78"/>
      <c r="K160" s="78">
        <f t="shared" si="3"/>
        <v>182</v>
      </c>
      <c r="L160" s="238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</row>
    <row r="161" ht="15.75" customHeight="1">
      <c r="A161" s="97"/>
      <c r="B161" s="98"/>
      <c r="C161" s="113" t="s">
        <v>646</v>
      </c>
      <c r="D161" s="101"/>
      <c r="E161" s="101"/>
      <c r="F161" s="101"/>
      <c r="G161" s="41">
        <f t="shared" si="1"/>
        <v>0</v>
      </c>
      <c r="H161" s="49" t="str">
        <f t="shared" si="6"/>
        <v/>
      </c>
      <c r="I161" s="43" t="str">
        <f t="shared" si="5"/>
        <v/>
      </c>
      <c r="J161" s="78"/>
      <c r="K161" s="78">
        <f t="shared" si="3"/>
        <v>182</v>
      </c>
      <c r="L161" s="238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</row>
    <row r="162" ht="15.75" customHeight="1">
      <c r="A162" s="97"/>
      <c r="B162" s="98"/>
      <c r="C162" s="113" t="s">
        <v>646</v>
      </c>
      <c r="D162" s="101"/>
      <c r="E162" s="101"/>
      <c r="F162" s="101"/>
      <c r="G162" s="41">
        <f t="shared" si="1"/>
        <v>0</v>
      </c>
      <c r="H162" s="49" t="str">
        <f t="shared" si="6"/>
        <v/>
      </c>
      <c r="I162" s="43" t="str">
        <f t="shared" si="5"/>
        <v/>
      </c>
      <c r="J162" s="78"/>
      <c r="K162" s="78">
        <f t="shared" si="3"/>
        <v>182</v>
      </c>
      <c r="L162" s="238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</row>
    <row r="163" ht="15.75" customHeight="1">
      <c r="A163" s="97"/>
      <c r="B163" s="98"/>
      <c r="C163" s="113" t="s">
        <v>646</v>
      </c>
      <c r="D163" s="101"/>
      <c r="E163" s="101"/>
      <c r="F163" s="101"/>
      <c r="G163" s="41">
        <f t="shared" si="1"/>
        <v>0</v>
      </c>
      <c r="H163" s="49" t="str">
        <f t="shared" si="6"/>
        <v/>
      </c>
      <c r="I163" s="43" t="str">
        <f t="shared" si="5"/>
        <v/>
      </c>
      <c r="J163" s="78"/>
      <c r="K163" s="78">
        <f t="shared" si="3"/>
        <v>182</v>
      </c>
      <c r="L163" s="238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</row>
    <row r="164" ht="15.75" customHeight="1">
      <c r="A164" s="97"/>
      <c r="B164" s="98"/>
      <c r="C164" s="113" t="s">
        <v>646</v>
      </c>
      <c r="D164" s="101"/>
      <c r="E164" s="101"/>
      <c r="F164" s="101"/>
      <c r="G164" s="41">
        <f t="shared" si="1"/>
        <v>0</v>
      </c>
      <c r="H164" s="49" t="str">
        <f t="shared" si="6"/>
        <v/>
      </c>
      <c r="I164" s="43" t="str">
        <f t="shared" si="5"/>
        <v/>
      </c>
      <c r="J164" s="78"/>
      <c r="K164" s="78">
        <f t="shared" si="3"/>
        <v>182</v>
      </c>
      <c r="L164" s="238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</row>
    <row r="165" ht="15.75" customHeight="1">
      <c r="A165" s="97"/>
      <c r="B165" s="98"/>
      <c r="C165" s="113" t="s">
        <v>646</v>
      </c>
      <c r="D165" s="101"/>
      <c r="E165" s="101"/>
      <c r="F165" s="101"/>
      <c r="G165" s="41">
        <f t="shared" si="1"/>
        <v>0</v>
      </c>
      <c r="H165" s="49" t="str">
        <f t="shared" si="6"/>
        <v/>
      </c>
      <c r="I165" s="43" t="str">
        <f t="shared" si="5"/>
        <v/>
      </c>
      <c r="J165" s="78"/>
      <c r="K165" s="78">
        <f t="shared" si="3"/>
        <v>182</v>
      </c>
      <c r="L165" s="238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</row>
    <row r="166" ht="15.75" customHeight="1">
      <c r="A166" s="97"/>
      <c r="B166" s="98"/>
      <c r="C166" s="113" t="s">
        <v>646</v>
      </c>
      <c r="D166" s="101"/>
      <c r="E166" s="101"/>
      <c r="F166" s="101"/>
      <c r="G166" s="41">
        <f t="shared" si="1"/>
        <v>0</v>
      </c>
      <c r="H166" s="49" t="str">
        <f t="shared" si="6"/>
        <v/>
      </c>
      <c r="I166" s="43" t="str">
        <f t="shared" si="5"/>
        <v/>
      </c>
      <c r="J166" s="78"/>
      <c r="K166" s="78">
        <f t="shared" si="3"/>
        <v>182</v>
      </c>
      <c r="L166" s="238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</row>
    <row r="167" ht="15.75" customHeight="1">
      <c r="A167" s="97"/>
      <c r="B167" s="98"/>
      <c r="C167" s="113" t="s">
        <v>646</v>
      </c>
      <c r="D167" s="101"/>
      <c r="E167" s="101"/>
      <c r="F167" s="101"/>
      <c r="G167" s="41">
        <f t="shared" si="1"/>
        <v>0</v>
      </c>
      <c r="H167" s="49" t="str">
        <f t="shared" si="6"/>
        <v/>
      </c>
      <c r="I167" s="43" t="str">
        <f t="shared" si="5"/>
        <v/>
      </c>
      <c r="J167" s="78"/>
      <c r="K167" s="78">
        <f t="shared" si="3"/>
        <v>182</v>
      </c>
      <c r="L167" s="238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</row>
    <row r="168" ht="15.75" customHeight="1">
      <c r="A168" s="97"/>
      <c r="B168" s="98"/>
      <c r="C168" s="113" t="s">
        <v>646</v>
      </c>
      <c r="D168" s="101"/>
      <c r="E168" s="101"/>
      <c r="F168" s="101"/>
      <c r="G168" s="41">
        <f t="shared" si="1"/>
        <v>0</v>
      </c>
      <c r="H168" s="49" t="str">
        <f t="shared" si="6"/>
        <v/>
      </c>
      <c r="I168" s="43" t="str">
        <f t="shared" si="5"/>
        <v/>
      </c>
      <c r="J168" s="78"/>
      <c r="K168" s="78">
        <f t="shared" si="3"/>
        <v>182</v>
      </c>
      <c r="L168" s="238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</row>
    <row r="169" ht="15.75" customHeight="1">
      <c r="A169" s="97"/>
      <c r="B169" s="98"/>
      <c r="C169" s="113" t="s">
        <v>646</v>
      </c>
      <c r="D169" s="101"/>
      <c r="E169" s="101"/>
      <c r="F169" s="101"/>
      <c r="G169" s="41">
        <f t="shared" si="1"/>
        <v>0</v>
      </c>
      <c r="H169" s="49" t="str">
        <f t="shared" si="6"/>
        <v/>
      </c>
      <c r="I169" s="43" t="str">
        <f t="shared" si="5"/>
        <v/>
      </c>
      <c r="J169" s="78"/>
      <c r="K169" s="78">
        <f t="shared" si="3"/>
        <v>182</v>
      </c>
      <c r="L169" s="238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</row>
    <row r="170" ht="15.75" customHeight="1">
      <c r="A170" s="97"/>
      <c r="B170" s="98"/>
      <c r="C170" s="113" t="s">
        <v>646</v>
      </c>
      <c r="D170" s="101"/>
      <c r="E170" s="101"/>
      <c r="F170" s="101"/>
      <c r="G170" s="41">
        <f t="shared" si="1"/>
        <v>0</v>
      </c>
      <c r="H170" s="49" t="str">
        <f t="shared" si="6"/>
        <v/>
      </c>
      <c r="I170" s="43" t="str">
        <f t="shared" si="5"/>
        <v/>
      </c>
      <c r="J170" s="78"/>
      <c r="K170" s="78">
        <f t="shared" si="3"/>
        <v>182</v>
      </c>
      <c r="L170" s="238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</row>
    <row r="171" ht="15.75" customHeight="1">
      <c r="A171" s="97"/>
      <c r="B171" s="98"/>
      <c r="C171" s="113" t="s">
        <v>646</v>
      </c>
      <c r="D171" s="101"/>
      <c r="E171" s="101"/>
      <c r="F171" s="101"/>
      <c r="G171" s="41">
        <f t="shared" si="1"/>
        <v>0</v>
      </c>
      <c r="H171" s="49" t="str">
        <f t="shared" si="6"/>
        <v/>
      </c>
      <c r="I171" s="43" t="str">
        <f t="shared" si="5"/>
        <v/>
      </c>
      <c r="J171" s="78"/>
      <c r="K171" s="78">
        <f t="shared" si="3"/>
        <v>182</v>
      </c>
      <c r="L171" s="238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</row>
    <row r="172" ht="15.75" customHeight="1">
      <c r="A172" s="97"/>
      <c r="B172" s="98"/>
      <c r="C172" s="113" t="s">
        <v>646</v>
      </c>
      <c r="D172" s="101"/>
      <c r="E172" s="101"/>
      <c r="F172" s="101"/>
      <c r="G172" s="41">
        <f t="shared" si="1"/>
        <v>0</v>
      </c>
      <c r="H172" s="49" t="str">
        <f t="shared" si="6"/>
        <v/>
      </c>
      <c r="I172" s="43" t="str">
        <f t="shared" si="5"/>
        <v/>
      </c>
      <c r="J172" s="78"/>
      <c r="K172" s="78">
        <f t="shared" si="3"/>
        <v>182</v>
      </c>
      <c r="L172" s="238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</row>
    <row r="173" ht="15.75" customHeight="1">
      <c r="A173" s="97"/>
      <c r="B173" s="98"/>
      <c r="C173" s="113" t="s">
        <v>646</v>
      </c>
      <c r="D173" s="101"/>
      <c r="E173" s="101"/>
      <c r="F173" s="101"/>
      <c r="G173" s="41">
        <f t="shared" si="1"/>
        <v>0</v>
      </c>
      <c r="H173" s="49" t="str">
        <f t="shared" si="6"/>
        <v/>
      </c>
      <c r="I173" s="43" t="str">
        <f t="shared" si="5"/>
        <v/>
      </c>
      <c r="J173" s="78"/>
      <c r="K173" s="78">
        <f t="shared" si="3"/>
        <v>182</v>
      </c>
      <c r="L173" s="238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</row>
    <row r="174" ht="15.75" customHeight="1">
      <c r="A174" s="97"/>
      <c r="B174" s="98"/>
      <c r="C174" s="113" t="s">
        <v>646</v>
      </c>
      <c r="D174" s="101"/>
      <c r="E174" s="101"/>
      <c r="F174" s="101"/>
      <c r="G174" s="41">
        <f t="shared" si="1"/>
        <v>0</v>
      </c>
      <c r="H174" s="49" t="str">
        <f t="shared" si="6"/>
        <v/>
      </c>
      <c r="I174" s="43" t="str">
        <f t="shared" si="5"/>
        <v/>
      </c>
      <c r="J174" s="78"/>
      <c r="K174" s="78">
        <f t="shared" si="3"/>
        <v>182</v>
      </c>
      <c r="L174" s="238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</row>
    <row r="175" ht="15.75" customHeight="1">
      <c r="A175" s="97"/>
      <c r="B175" s="98"/>
      <c r="C175" s="113" t="s">
        <v>646</v>
      </c>
      <c r="D175" s="101"/>
      <c r="E175" s="101"/>
      <c r="F175" s="101"/>
      <c r="G175" s="41">
        <f t="shared" si="1"/>
        <v>0</v>
      </c>
      <c r="H175" s="49" t="str">
        <f t="shared" si="6"/>
        <v/>
      </c>
      <c r="I175" s="43" t="str">
        <f t="shared" si="5"/>
        <v/>
      </c>
      <c r="J175" s="78"/>
      <c r="K175" s="78">
        <f t="shared" si="3"/>
        <v>182</v>
      </c>
      <c r="L175" s="238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</row>
    <row r="176" ht="15.75" customHeight="1">
      <c r="A176" s="97"/>
      <c r="B176" s="98"/>
      <c r="C176" s="113" t="s">
        <v>646</v>
      </c>
      <c r="D176" s="101"/>
      <c r="E176" s="101"/>
      <c r="F176" s="101"/>
      <c r="G176" s="41">
        <f t="shared" si="1"/>
        <v>0</v>
      </c>
      <c r="H176" s="49" t="str">
        <f t="shared" si="6"/>
        <v/>
      </c>
      <c r="I176" s="43" t="str">
        <f t="shared" si="5"/>
        <v/>
      </c>
      <c r="J176" s="78"/>
      <c r="K176" s="78">
        <f t="shared" si="3"/>
        <v>182</v>
      </c>
      <c r="L176" s="238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</row>
    <row r="177" ht="15.75" customHeight="1">
      <c r="A177" s="97"/>
      <c r="B177" s="98"/>
      <c r="C177" s="113" t="s">
        <v>646</v>
      </c>
      <c r="D177" s="101"/>
      <c r="E177" s="101"/>
      <c r="F177" s="101"/>
      <c r="G177" s="41">
        <f t="shared" si="1"/>
        <v>0</v>
      </c>
      <c r="H177" s="49" t="str">
        <f t="shared" si="6"/>
        <v/>
      </c>
      <c r="I177" s="43" t="str">
        <f t="shared" si="5"/>
        <v/>
      </c>
      <c r="J177" s="78"/>
      <c r="K177" s="78">
        <f t="shared" si="3"/>
        <v>182</v>
      </c>
      <c r="L177" s="238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</row>
    <row r="178" ht="15.75" customHeight="1">
      <c r="A178" s="97"/>
      <c r="B178" s="98"/>
      <c r="C178" s="113" t="s">
        <v>646</v>
      </c>
      <c r="D178" s="101"/>
      <c r="E178" s="101"/>
      <c r="F178" s="101"/>
      <c r="G178" s="41">
        <f t="shared" si="1"/>
        <v>0</v>
      </c>
      <c r="H178" s="49" t="str">
        <f t="shared" si="6"/>
        <v/>
      </c>
      <c r="I178" s="43" t="str">
        <f t="shared" si="5"/>
        <v/>
      </c>
      <c r="J178" s="78"/>
      <c r="K178" s="78">
        <f t="shared" si="3"/>
        <v>182</v>
      </c>
      <c r="L178" s="238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</row>
    <row r="179" ht="15.75" customHeight="1">
      <c r="A179" s="97"/>
      <c r="B179" s="98"/>
      <c r="C179" s="113" t="s">
        <v>646</v>
      </c>
      <c r="D179" s="101"/>
      <c r="E179" s="101"/>
      <c r="F179" s="101"/>
      <c r="G179" s="41">
        <f t="shared" si="1"/>
        <v>0</v>
      </c>
      <c r="H179" s="49" t="str">
        <f t="shared" si="6"/>
        <v/>
      </c>
      <c r="I179" s="43" t="str">
        <f t="shared" si="5"/>
        <v/>
      </c>
      <c r="J179" s="78"/>
      <c r="K179" s="78">
        <f t="shared" si="3"/>
        <v>182</v>
      </c>
      <c r="L179" s="238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</row>
    <row r="180" ht="15.75" customHeight="1">
      <c r="A180" s="97"/>
      <c r="B180" s="98"/>
      <c r="C180" s="113" t="s">
        <v>646</v>
      </c>
      <c r="D180" s="101"/>
      <c r="E180" s="101"/>
      <c r="F180" s="101"/>
      <c r="G180" s="41">
        <f t="shared" si="1"/>
        <v>0</v>
      </c>
      <c r="H180" s="49" t="str">
        <f t="shared" si="6"/>
        <v/>
      </c>
      <c r="I180" s="43" t="str">
        <f t="shared" si="5"/>
        <v/>
      </c>
      <c r="J180" s="78"/>
      <c r="K180" s="78">
        <f t="shared" si="3"/>
        <v>182</v>
      </c>
      <c r="L180" s="238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</row>
    <row r="181" ht="15.75" customHeight="1">
      <c r="A181" s="97"/>
      <c r="B181" s="98"/>
      <c r="C181" s="113" t="s">
        <v>646</v>
      </c>
      <c r="D181" s="101"/>
      <c r="E181" s="101"/>
      <c r="F181" s="101"/>
      <c r="G181" s="41">
        <f t="shared" si="1"/>
        <v>0</v>
      </c>
      <c r="H181" s="49" t="str">
        <f t="shared" si="6"/>
        <v/>
      </c>
      <c r="I181" s="43" t="str">
        <f t="shared" si="5"/>
        <v/>
      </c>
      <c r="J181" s="78"/>
      <c r="K181" s="78">
        <f t="shared" si="3"/>
        <v>182</v>
      </c>
      <c r="L181" s="238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</row>
    <row r="182" ht="15.75" customHeight="1">
      <c r="A182" s="97"/>
      <c r="B182" s="98"/>
      <c r="C182" s="113" t="s">
        <v>646</v>
      </c>
      <c r="D182" s="101"/>
      <c r="E182" s="101"/>
      <c r="F182" s="101"/>
      <c r="G182" s="41">
        <f t="shared" si="1"/>
        <v>0</v>
      </c>
      <c r="H182" s="49" t="str">
        <f t="shared" si="6"/>
        <v/>
      </c>
      <c r="I182" s="43" t="str">
        <f t="shared" si="5"/>
        <v/>
      </c>
      <c r="J182" s="78"/>
      <c r="K182" s="78">
        <f t="shared" si="3"/>
        <v>182</v>
      </c>
      <c r="L182" s="238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</row>
    <row r="183" ht="15.75" customHeight="1">
      <c r="A183" s="97"/>
      <c r="B183" s="98"/>
      <c r="C183" s="113" t="s">
        <v>646</v>
      </c>
      <c r="D183" s="101"/>
      <c r="E183" s="101"/>
      <c r="F183" s="101"/>
      <c r="G183" s="41">
        <f t="shared" si="1"/>
        <v>0</v>
      </c>
      <c r="H183" s="49" t="str">
        <f t="shared" si="6"/>
        <v/>
      </c>
      <c r="I183" s="43" t="str">
        <f t="shared" si="5"/>
        <v/>
      </c>
      <c r="J183" s="78"/>
      <c r="K183" s="78">
        <f t="shared" si="3"/>
        <v>182</v>
      </c>
      <c r="L183" s="238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</row>
    <row r="184" ht="15.75" customHeight="1">
      <c r="A184" s="97"/>
      <c r="B184" s="98"/>
      <c r="C184" s="113" t="s">
        <v>646</v>
      </c>
      <c r="D184" s="101"/>
      <c r="E184" s="101"/>
      <c r="F184" s="101"/>
      <c r="G184" s="41">
        <f t="shared" si="1"/>
        <v>0</v>
      </c>
      <c r="H184" s="49" t="str">
        <f t="shared" si="6"/>
        <v/>
      </c>
      <c r="I184" s="43" t="str">
        <f t="shared" si="5"/>
        <v/>
      </c>
      <c r="J184" s="78"/>
      <c r="K184" s="78">
        <f t="shared" si="3"/>
        <v>182</v>
      </c>
      <c r="L184" s="238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</row>
    <row r="185" ht="15.75" customHeight="1">
      <c r="A185" s="97"/>
      <c r="B185" s="98"/>
      <c r="C185" s="113" t="s">
        <v>646</v>
      </c>
      <c r="D185" s="101"/>
      <c r="E185" s="101"/>
      <c r="F185" s="101"/>
      <c r="G185" s="41">
        <f t="shared" si="1"/>
        <v>0</v>
      </c>
      <c r="H185" s="49" t="str">
        <f t="shared" si="6"/>
        <v/>
      </c>
      <c r="I185" s="43" t="str">
        <f t="shared" si="5"/>
        <v/>
      </c>
      <c r="J185" s="78"/>
      <c r="K185" s="78">
        <f t="shared" si="3"/>
        <v>182</v>
      </c>
      <c r="L185" s="238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</row>
    <row r="186" ht="15.75" customHeight="1">
      <c r="A186" s="97"/>
      <c r="B186" s="98"/>
      <c r="C186" s="113" t="s">
        <v>646</v>
      </c>
      <c r="D186" s="101"/>
      <c r="E186" s="101"/>
      <c r="F186" s="101"/>
      <c r="G186" s="41">
        <f t="shared" si="1"/>
        <v>0</v>
      </c>
      <c r="H186" s="49" t="str">
        <f t="shared" si="6"/>
        <v/>
      </c>
      <c r="I186" s="43" t="str">
        <f t="shared" si="5"/>
        <v/>
      </c>
      <c r="J186" s="78"/>
      <c r="K186" s="78">
        <f t="shared" si="3"/>
        <v>182</v>
      </c>
      <c r="L186" s="238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</row>
    <row r="187" ht="15.75" customHeight="1">
      <c r="A187" s="97"/>
      <c r="B187" s="98"/>
      <c r="C187" s="113" t="s">
        <v>646</v>
      </c>
      <c r="D187" s="101"/>
      <c r="E187" s="101"/>
      <c r="F187" s="101"/>
      <c r="G187" s="41">
        <f t="shared" si="1"/>
        <v>0</v>
      </c>
      <c r="H187" s="49" t="str">
        <f t="shared" si="6"/>
        <v/>
      </c>
      <c r="I187" s="43" t="str">
        <f t="shared" si="5"/>
        <v/>
      </c>
      <c r="J187" s="78"/>
      <c r="K187" s="78">
        <f t="shared" si="3"/>
        <v>182</v>
      </c>
      <c r="L187" s="238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</row>
    <row r="188" ht="15.75" customHeight="1">
      <c r="A188" s="97"/>
      <c r="B188" s="98"/>
      <c r="C188" s="113" t="s">
        <v>646</v>
      </c>
      <c r="D188" s="101"/>
      <c r="E188" s="101"/>
      <c r="F188" s="101"/>
      <c r="G188" s="41">
        <f t="shared" si="1"/>
        <v>0</v>
      </c>
      <c r="H188" s="49" t="str">
        <f t="shared" si="6"/>
        <v/>
      </c>
      <c r="I188" s="43" t="str">
        <f t="shared" si="5"/>
        <v/>
      </c>
      <c r="J188" s="78"/>
      <c r="K188" s="78">
        <f t="shared" si="3"/>
        <v>182</v>
      </c>
      <c r="L188" s="238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</row>
    <row r="189" ht="15.75" customHeight="1">
      <c r="A189" s="97"/>
      <c r="B189" s="98"/>
      <c r="C189" s="113" t="s">
        <v>646</v>
      </c>
      <c r="D189" s="101"/>
      <c r="E189" s="101"/>
      <c r="F189" s="101"/>
      <c r="G189" s="41">
        <f t="shared" si="1"/>
        <v>0</v>
      </c>
      <c r="H189" s="49" t="str">
        <f t="shared" si="6"/>
        <v/>
      </c>
      <c r="I189" s="43" t="str">
        <f t="shared" si="5"/>
        <v/>
      </c>
      <c r="J189" s="78"/>
      <c r="K189" s="78">
        <f t="shared" si="3"/>
        <v>182</v>
      </c>
      <c r="L189" s="238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</row>
    <row r="190" ht="15.75" customHeight="1">
      <c r="A190" s="97"/>
      <c r="B190" s="98"/>
      <c r="C190" s="113" t="s">
        <v>646</v>
      </c>
      <c r="D190" s="101"/>
      <c r="E190" s="101"/>
      <c r="F190" s="101"/>
      <c r="G190" s="41">
        <f t="shared" si="1"/>
        <v>0</v>
      </c>
      <c r="H190" s="49" t="str">
        <f t="shared" si="6"/>
        <v/>
      </c>
      <c r="I190" s="43" t="str">
        <f t="shared" si="5"/>
        <v/>
      </c>
      <c r="J190" s="78"/>
      <c r="K190" s="78">
        <f t="shared" si="3"/>
        <v>182</v>
      </c>
      <c r="L190" s="238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</row>
    <row r="191" ht="15.75" customHeight="1">
      <c r="A191" s="97"/>
      <c r="B191" s="98"/>
      <c r="C191" s="113" t="s">
        <v>646</v>
      </c>
      <c r="D191" s="101"/>
      <c r="E191" s="101"/>
      <c r="F191" s="101"/>
      <c r="G191" s="41">
        <f t="shared" si="1"/>
        <v>0</v>
      </c>
      <c r="H191" s="49" t="str">
        <f t="shared" si="6"/>
        <v/>
      </c>
      <c r="I191" s="43" t="str">
        <f t="shared" si="5"/>
        <v/>
      </c>
      <c r="J191" s="78"/>
      <c r="K191" s="78">
        <f t="shared" si="3"/>
        <v>182</v>
      </c>
      <c r="L191" s="238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</row>
    <row r="192" ht="15.75" customHeight="1">
      <c r="A192" s="97"/>
      <c r="B192" s="98"/>
      <c r="C192" s="113" t="s">
        <v>646</v>
      </c>
      <c r="D192" s="101"/>
      <c r="E192" s="101"/>
      <c r="F192" s="101"/>
      <c r="G192" s="41">
        <f t="shared" si="1"/>
        <v>0</v>
      </c>
      <c r="H192" s="49" t="str">
        <f t="shared" si="6"/>
        <v/>
      </c>
      <c r="I192" s="43" t="str">
        <f t="shared" si="5"/>
        <v/>
      </c>
      <c r="J192" s="78"/>
      <c r="K192" s="78">
        <f t="shared" si="3"/>
        <v>182</v>
      </c>
      <c r="L192" s="238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</row>
    <row r="193" ht="15.75" customHeight="1">
      <c r="A193" s="97"/>
      <c r="B193" s="98"/>
      <c r="C193" s="113" t="s">
        <v>646</v>
      </c>
      <c r="D193" s="101"/>
      <c r="E193" s="101"/>
      <c r="F193" s="101"/>
      <c r="G193" s="41">
        <f t="shared" si="1"/>
        <v>0</v>
      </c>
      <c r="H193" s="49" t="str">
        <f t="shared" si="6"/>
        <v/>
      </c>
      <c r="I193" s="43" t="str">
        <f t="shared" si="5"/>
        <v/>
      </c>
      <c r="J193" s="78"/>
      <c r="K193" s="78">
        <f t="shared" si="3"/>
        <v>182</v>
      </c>
      <c r="L193" s="238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</row>
    <row r="194" ht="15.75" customHeight="1">
      <c r="A194" s="97"/>
      <c r="B194" s="98"/>
      <c r="C194" s="113" t="s">
        <v>646</v>
      </c>
      <c r="D194" s="101"/>
      <c r="E194" s="101"/>
      <c r="F194" s="101"/>
      <c r="G194" s="41">
        <f t="shared" si="1"/>
        <v>0</v>
      </c>
      <c r="H194" s="49" t="str">
        <f t="shared" si="6"/>
        <v/>
      </c>
      <c r="I194" s="43" t="str">
        <f t="shared" si="5"/>
        <v/>
      </c>
      <c r="J194" s="78"/>
      <c r="K194" s="78">
        <f t="shared" si="3"/>
        <v>182</v>
      </c>
      <c r="L194" s="238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</row>
    <row r="195" ht="15.75" customHeight="1">
      <c r="A195" s="97"/>
      <c r="B195" s="98"/>
      <c r="C195" s="113" t="s">
        <v>646</v>
      </c>
      <c r="D195" s="101"/>
      <c r="E195" s="101"/>
      <c r="F195" s="101"/>
      <c r="G195" s="41">
        <f t="shared" si="1"/>
        <v>0</v>
      </c>
      <c r="H195" s="49" t="str">
        <f t="shared" si="6"/>
        <v/>
      </c>
      <c r="I195" s="43" t="str">
        <f t="shared" si="5"/>
        <v/>
      </c>
      <c r="J195" s="78"/>
      <c r="K195" s="78">
        <f t="shared" si="3"/>
        <v>182</v>
      </c>
      <c r="L195" s="238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</row>
    <row r="196" ht="15.75" customHeight="1">
      <c r="A196" s="97"/>
      <c r="B196" s="98"/>
      <c r="C196" s="113" t="s">
        <v>646</v>
      </c>
      <c r="D196" s="101"/>
      <c r="E196" s="101"/>
      <c r="F196" s="101"/>
      <c r="G196" s="41">
        <f t="shared" si="1"/>
        <v>0</v>
      </c>
      <c r="H196" s="49" t="str">
        <f t="shared" si="6"/>
        <v/>
      </c>
      <c r="I196" s="43" t="str">
        <f t="shared" si="5"/>
        <v/>
      </c>
      <c r="J196" s="78"/>
      <c r="K196" s="78">
        <f t="shared" si="3"/>
        <v>182</v>
      </c>
      <c r="L196" s="238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</row>
    <row r="197" ht="15.75" customHeight="1">
      <c r="A197" s="97"/>
      <c r="B197" s="98"/>
      <c r="C197" s="113" t="s">
        <v>646</v>
      </c>
      <c r="D197" s="101"/>
      <c r="E197" s="101"/>
      <c r="F197" s="101"/>
      <c r="G197" s="41">
        <f t="shared" si="1"/>
        <v>0</v>
      </c>
      <c r="H197" s="49" t="str">
        <f t="shared" si="6"/>
        <v/>
      </c>
      <c r="I197" s="43" t="str">
        <f t="shared" si="5"/>
        <v/>
      </c>
      <c r="J197" s="78"/>
      <c r="K197" s="78">
        <f t="shared" si="3"/>
        <v>182</v>
      </c>
      <c r="L197" s="238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</row>
    <row r="198" ht="15.75" customHeight="1">
      <c r="A198" s="97"/>
      <c r="B198" s="98"/>
      <c r="C198" s="113" t="s">
        <v>646</v>
      </c>
      <c r="D198" s="101"/>
      <c r="E198" s="101"/>
      <c r="F198" s="101"/>
      <c r="G198" s="41">
        <f t="shared" si="1"/>
        <v>0</v>
      </c>
      <c r="H198" s="49" t="str">
        <f t="shared" si="6"/>
        <v/>
      </c>
      <c r="I198" s="43" t="str">
        <f t="shared" si="5"/>
        <v/>
      </c>
      <c r="J198" s="78"/>
      <c r="K198" s="78">
        <f t="shared" si="3"/>
        <v>182</v>
      </c>
      <c r="L198" s="238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</row>
    <row r="199" ht="15.75" customHeight="1">
      <c r="A199" s="97"/>
      <c r="B199" s="98"/>
      <c r="C199" s="113" t="s">
        <v>646</v>
      </c>
      <c r="D199" s="101"/>
      <c r="E199" s="101"/>
      <c r="F199" s="101"/>
      <c r="G199" s="41">
        <f t="shared" si="1"/>
        <v>0</v>
      </c>
      <c r="H199" s="49" t="str">
        <f t="shared" si="6"/>
        <v/>
      </c>
      <c r="I199" s="43" t="str">
        <f t="shared" si="5"/>
        <v/>
      </c>
      <c r="J199" s="78"/>
      <c r="K199" s="78">
        <f t="shared" si="3"/>
        <v>182</v>
      </c>
      <c r="L199" s="238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</row>
    <row r="200" ht="15.75" customHeight="1">
      <c r="A200" s="97"/>
      <c r="B200" s="98"/>
      <c r="C200" s="113" t="s">
        <v>646</v>
      </c>
      <c r="D200" s="101"/>
      <c r="E200" s="101"/>
      <c r="F200" s="101"/>
      <c r="G200" s="41">
        <f t="shared" si="1"/>
        <v>0</v>
      </c>
      <c r="H200" s="49" t="str">
        <f t="shared" si="6"/>
        <v/>
      </c>
      <c r="I200" s="43" t="str">
        <f t="shared" si="5"/>
        <v/>
      </c>
      <c r="J200" s="78"/>
      <c r="K200" s="78">
        <f t="shared" si="3"/>
        <v>182</v>
      </c>
      <c r="L200" s="238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</row>
    <row r="201" ht="15.75" customHeight="1">
      <c r="A201" s="97"/>
      <c r="B201" s="98"/>
      <c r="C201" s="113" t="s">
        <v>646</v>
      </c>
      <c r="D201" s="101"/>
      <c r="E201" s="101"/>
      <c r="F201" s="101"/>
      <c r="G201" s="41">
        <f t="shared" si="1"/>
        <v>0</v>
      </c>
      <c r="H201" s="49" t="str">
        <f t="shared" si="6"/>
        <v/>
      </c>
      <c r="I201" s="43" t="str">
        <f t="shared" si="5"/>
        <v/>
      </c>
      <c r="J201" s="78"/>
      <c r="K201" s="78">
        <f t="shared" si="3"/>
        <v>182</v>
      </c>
      <c r="L201" s="238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</row>
    <row r="202" ht="15.75" customHeight="1">
      <c r="A202" s="97"/>
      <c r="B202" s="98"/>
      <c r="C202" s="113" t="s">
        <v>646</v>
      </c>
      <c r="D202" s="101"/>
      <c r="E202" s="101"/>
      <c r="F202" s="101"/>
      <c r="G202" s="41">
        <f t="shared" si="1"/>
        <v>0</v>
      </c>
      <c r="H202" s="49" t="str">
        <f t="shared" si="6"/>
        <v/>
      </c>
      <c r="I202" s="43" t="str">
        <f t="shared" si="5"/>
        <v/>
      </c>
      <c r="J202" s="78"/>
      <c r="K202" s="78">
        <f t="shared" si="3"/>
        <v>182</v>
      </c>
      <c r="L202" s="238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</row>
    <row r="203" ht="15.75" customHeight="1">
      <c r="A203" s="97"/>
      <c r="B203" s="98"/>
      <c r="C203" s="113" t="s">
        <v>646</v>
      </c>
      <c r="D203" s="101"/>
      <c r="E203" s="101"/>
      <c r="F203" s="101"/>
      <c r="G203" s="41">
        <f t="shared" si="1"/>
        <v>0</v>
      </c>
      <c r="H203" s="49" t="str">
        <f t="shared" si="6"/>
        <v/>
      </c>
      <c r="I203" s="43" t="str">
        <f t="shared" si="5"/>
        <v/>
      </c>
      <c r="J203" s="78"/>
      <c r="K203" s="78">
        <f t="shared" si="3"/>
        <v>182</v>
      </c>
      <c r="L203" s="238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</row>
    <row r="204" ht="15.75" customHeight="1">
      <c r="A204" s="97"/>
      <c r="B204" s="98"/>
      <c r="C204" s="113" t="s">
        <v>646</v>
      </c>
      <c r="D204" s="101"/>
      <c r="E204" s="101"/>
      <c r="F204" s="101"/>
      <c r="G204" s="41">
        <f t="shared" si="1"/>
        <v>0</v>
      </c>
      <c r="H204" s="49" t="str">
        <f t="shared" si="6"/>
        <v/>
      </c>
      <c r="I204" s="43" t="str">
        <f t="shared" si="5"/>
        <v/>
      </c>
      <c r="J204" s="78"/>
      <c r="K204" s="78">
        <f t="shared" si="3"/>
        <v>182</v>
      </c>
      <c r="L204" s="238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</row>
    <row r="205" ht="15.75" customHeight="1">
      <c r="A205" s="97"/>
      <c r="B205" s="98"/>
      <c r="C205" s="113" t="s">
        <v>646</v>
      </c>
      <c r="D205" s="101"/>
      <c r="E205" s="101"/>
      <c r="F205" s="101"/>
      <c r="G205" s="41">
        <f t="shared" si="1"/>
        <v>0</v>
      </c>
      <c r="H205" s="49" t="str">
        <f t="shared" si="6"/>
        <v/>
      </c>
      <c r="I205" s="43" t="str">
        <f t="shared" si="5"/>
        <v/>
      </c>
      <c r="J205" s="78"/>
      <c r="K205" s="78">
        <f t="shared" si="3"/>
        <v>182</v>
      </c>
      <c r="L205" s="238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</row>
    <row r="206" ht="15.75" customHeight="1">
      <c r="A206" s="97"/>
      <c r="B206" s="98"/>
      <c r="C206" s="113" t="s">
        <v>646</v>
      </c>
      <c r="D206" s="101"/>
      <c r="E206" s="101"/>
      <c r="F206" s="101"/>
      <c r="G206" s="41">
        <f t="shared" si="1"/>
        <v>0</v>
      </c>
      <c r="H206" s="49" t="str">
        <f t="shared" si="6"/>
        <v/>
      </c>
      <c r="I206" s="43" t="str">
        <f t="shared" si="5"/>
        <v/>
      </c>
      <c r="J206" s="78"/>
      <c r="K206" s="78">
        <f t="shared" si="3"/>
        <v>182</v>
      </c>
      <c r="L206" s="238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</row>
    <row r="207" ht="15.75" customHeight="1">
      <c r="A207" s="97"/>
      <c r="B207" s="98"/>
      <c r="C207" s="113" t="s">
        <v>646</v>
      </c>
      <c r="D207" s="101"/>
      <c r="E207" s="101"/>
      <c r="F207" s="101"/>
      <c r="G207" s="41">
        <f t="shared" si="1"/>
        <v>0</v>
      </c>
      <c r="H207" s="49" t="str">
        <f t="shared" si="6"/>
        <v/>
      </c>
      <c r="I207" s="43" t="str">
        <f t="shared" si="5"/>
        <v/>
      </c>
      <c r="J207" s="78"/>
      <c r="K207" s="78">
        <f t="shared" si="3"/>
        <v>182</v>
      </c>
      <c r="L207" s="238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</row>
    <row r="208" ht="15.75" customHeight="1">
      <c r="A208" s="97"/>
      <c r="B208" s="98"/>
      <c r="C208" s="113" t="s">
        <v>646</v>
      </c>
      <c r="D208" s="101"/>
      <c r="E208" s="101"/>
      <c r="F208" s="101"/>
      <c r="G208" s="41">
        <f t="shared" si="1"/>
        <v>0</v>
      </c>
      <c r="H208" s="49" t="str">
        <f t="shared" si="6"/>
        <v/>
      </c>
      <c r="I208" s="43" t="str">
        <f t="shared" si="5"/>
        <v/>
      </c>
      <c r="J208" s="78"/>
      <c r="K208" s="78">
        <f t="shared" si="3"/>
        <v>182</v>
      </c>
      <c r="L208" s="238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</row>
    <row r="209" ht="15.75" customHeight="1">
      <c r="A209" s="97"/>
      <c r="B209" s="98"/>
      <c r="C209" s="113" t="s">
        <v>646</v>
      </c>
      <c r="D209" s="101"/>
      <c r="E209" s="101"/>
      <c r="F209" s="101"/>
      <c r="G209" s="41">
        <f t="shared" si="1"/>
        <v>0</v>
      </c>
      <c r="H209" s="49" t="str">
        <f t="shared" si="6"/>
        <v/>
      </c>
      <c r="I209" s="43" t="str">
        <f t="shared" si="5"/>
        <v/>
      </c>
      <c r="J209" s="78"/>
      <c r="K209" s="78">
        <f t="shared" si="3"/>
        <v>182</v>
      </c>
      <c r="L209" s="238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</row>
    <row r="210" ht="15.75" customHeight="1">
      <c r="A210" s="97"/>
      <c r="B210" s="98"/>
      <c r="C210" s="113" t="s">
        <v>646</v>
      </c>
      <c r="D210" s="101"/>
      <c r="E210" s="101"/>
      <c r="F210" s="101"/>
      <c r="G210" s="41">
        <f t="shared" si="1"/>
        <v>0</v>
      </c>
      <c r="H210" s="49" t="str">
        <f t="shared" si="6"/>
        <v/>
      </c>
      <c r="I210" s="43" t="str">
        <f t="shared" si="5"/>
        <v/>
      </c>
      <c r="J210" s="78"/>
      <c r="K210" s="78">
        <f t="shared" si="3"/>
        <v>182</v>
      </c>
      <c r="L210" s="238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</row>
    <row r="211" ht="15.75" customHeight="1">
      <c r="A211" s="97"/>
      <c r="B211" s="98"/>
      <c r="C211" s="113" t="s">
        <v>646</v>
      </c>
      <c r="D211" s="101"/>
      <c r="E211" s="101"/>
      <c r="F211" s="101"/>
      <c r="G211" s="41">
        <f t="shared" si="1"/>
        <v>0</v>
      </c>
      <c r="H211" s="49" t="str">
        <f t="shared" si="6"/>
        <v/>
      </c>
      <c r="I211" s="43" t="str">
        <f t="shared" si="5"/>
        <v/>
      </c>
      <c r="J211" s="78"/>
      <c r="K211" s="78">
        <f t="shared" si="3"/>
        <v>182</v>
      </c>
      <c r="L211" s="238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</row>
    <row r="212" ht="15.75" customHeight="1">
      <c r="A212" s="97"/>
      <c r="B212" s="98"/>
      <c r="C212" s="113" t="s">
        <v>646</v>
      </c>
      <c r="D212" s="101"/>
      <c r="E212" s="101"/>
      <c r="F212" s="101"/>
      <c r="G212" s="41">
        <f t="shared" si="1"/>
        <v>0</v>
      </c>
      <c r="H212" s="49" t="str">
        <f t="shared" si="6"/>
        <v/>
      </c>
      <c r="I212" s="43" t="str">
        <f t="shared" si="5"/>
        <v/>
      </c>
      <c r="J212" s="78"/>
      <c r="K212" s="78">
        <f t="shared" si="3"/>
        <v>182</v>
      </c>
      <c r="L212" s="238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</row>
    <row r="213" ht="15.75" customHeight="1">
      <c r="A213" s="97"/>
      <c r="B213" s="98"/>
      <c r="C213" s="113" t="s">
        <v>646</v>
      </c>
      <c r="D213" s="101"/>
      <c r="E213" s="101"/>
      <c r="F213" s="101"/>
      <c r="G213" s="41">
        <f t="shared" si="1"/>
        <v>0</v>
      </c>
      <c r="H213" s="49" t="str">
        <f t="shared" si="6"/>
        <v/>
      </c>
      <c r="I213" s="43" t="str">
        <f t="shared" si="5"/>
        <v/>
      </c>
      <c r="J213" s="78"/>
      <c r="K213" s="78">
        <f t="shared" si="3"/>
        <v>182</v>
      </c>
      <c r="L213" s="238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</row>
    <row r="214" ht="15.75" customHeight="1">
      <c r="A214" s="97"/>
      <c r="B214" s="98"/>
      <c r="C214" s="113" t="s">
        <v>646</v>
      </c>
      <c r="D214" s="101"/>
      <c r="E214" s="101"/>
      <c r="F214" s="101"/>
      <c r="G214" s="41">
        <f t="shared" si="1"/>
        <v>0</v>
      </c>
      <c r="H214" s="49" t="str">
        <f t="shared" si="6"/>
        <v/>
      </c>
      <c r="I214" s="43" t="str">
        <f t="shared" si="5"/>
        <v/>
      </c>
      <c r="J214" s="78"/>
      <c r="K214" s="78">
        <f t="shared" si="3"/>
        <v>182</v>
      </c>
      <c r="L214" s="238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</row>
    <row r="215" ht="15.75" customHeight="1">
      <c r="A215" s="97"/>
      <c r="B215" s="98"/>
      <c r="C215" s="113" t="s">
        <v>646</v>
      </c>
      <c r="D215" s="101"/>
      <c r="E215" s="101"/>
      <c r="F215" s="101"/>
      <c r="G215" s="41">
        <f t="shared" si="1"/>
        <v>0</v>
      </c>
      <c r="H215" s="49" t="str">
        <f t="shared" si="6"/>
        <v/>
      </c>
      <c r="I215" s="43" t="str">
        <f t="shared" si="5"/>
        <v/>
      </c>
      <c r="J215" s="78"/>
      <c r="K215" s="78">
        <f t="shared" si="3"/>
        <v>182</v>
      </c>
      <c r="L215" s="238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</row>
    <row r="216" ht="15.75" customHeight="1">
      <c r="A216" s="97"/>
      <c r="B216" s="98"/>
      <c r="C216" s="113" t="s">
        <v>646</v>
      </c>
      <c r="D216" s="101"/>
      <c r="E216" s="101"/>
      <c r="F216" s="101"/>
      <c r="G216" s="41">
        <f t="shared" si="1"/>
        <v>0</v>
      </c>
      <c r="H216" s="49" t="str">
        <f t="shared" si="6"/>
        <v/>
      </c>
      <c r="I216" s="43" t="str">
        <f t="shared" si="5"/>
        <v/>
      </c>
      <c r="J216" s="78"/>
      <c r="K216" s="78">
        <f t="shared" si="3"/>
        <v>182</v>
      </c>
      <c r="L216" s="238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</row>
    <row r="217" ht="15.75" customHeight="1">
      <c r="A217" s="97"/>
      <c r="B217" s="98"/>
      <c r="C217" s="113" t="s">
        <v>646</v>
      </c>
      <c r="D217" s="101"/>
      <c r="E217" s="101"/>
      <c r="F217" s="101"/>
      <c r="G217" s="41">
        <f t="shared" si="1"/>
        <v>0</v>
      </c>
      <c r="H217" s="49" t="str">
        <f t="shared" si="6"/>
        <v/>
      </c>
      <c r="I217" s="43" t="str">
        <f t="shared" si="5"/>
        <v/>
      </c>
      <c r="J217" s="78"/>
      <c r="K217" s="78">
        <f t="shared" si="3"/>
        <v>182</v>
      </c>
      <c r="L217" s="238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</row>
    <row r="218" ht="15.75" customHeight="1">
      <c r="A218" s="97"/>
      <c r="B218" s="98"/>
      <c r="C218" s="113" t="s">
        <v>646</v>
      </c>
      <c r="D218" s="101"/>
      <c r="E218" s="101"/>
      <c r="F218" s="101"/>
      <c r="G218" s="41">
        <f t="shared" si="1"/>
        <v>0</v>
      </c>
      <c r="H218" s="49" t="str">
        <f t="shared" si="6"/>
        <v/>
      </c>
      <c r="I218" s="43" t="str">
        <f t="shared" si="5"/>
        <v/>
      </c>
      <c r="J218" s="78"/>
      <c r="K218" s="78">
        <f t="shared" si="3"/>
        <v>182</v>
      </c>
      <c r="L218" s="238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</row>
    <row r="219" ht="15.75" customHeight="1">
      <c r="A219" s="97"/>
      <c r="B219" s="98"/>
      <c r="C219" s="113" t="s">
        <v>646</v>
      </c>
      <c r="D219" s="101"/>
      <c r="E219" s="101"/>
      <c r="F219" s="101"/>
      <c r="G219" s="41">
        <f t="shared" si="1"/>
        <v>0</v>
      </c>
      <c r="H219" s="49" t="str">
        <f t="shared" si="6"/>
        <v/>
      </c>
      <c r="I219" s="43" t="str">
        <f t="shared" si="5"/>
        <v/>
      </c>
      <c r="J219" s="78"/>
      <c r="K219" s="78">
        <f t="shared" si="3"/>
        <v>182</v>
      </c>
      <c r="L219" s="238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</row>
    <row r="220" ht="15.75" customHeight="1">
      <c r="A220" s="97"/>
      <c r="B220" s="98"/>
      <c r="C220" s="113" t="s">
        <v>646</v>
      </c>
      <c r="D220" s="101"/>
      <c r="E220" s="101"/>
      <c r="F220" s="101"/>
      <c r="G220" s="41">
        <f t="shared" si="1"/>
        <v>0</v>
      </c>
      <c r="H220" s="49" t="str">
        <f t="shared" si="6"/>
        <v/>
      </c>
      <c r="I220" s="43" t="str">
        <f t="shared" si="5"/>
        <v/>
      </c>
      <c r="J220" s="78"/>
      <c r="K220" s="78">
        <f t="shared" si="3"/>
        <v>182</v>
      </c>
      <c r="L220" s="238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</row>
    <row r="221" ht="15.75" customHeight="1">
      <c r="A221" s="97"/>
      <c r="B221" s="98"/>
      <c r="C221" s="113" t="s">
        <v>646</v>
      </c>
      <c r="D221" s="101"/>
      <c r="E221" s="101"/>
      <c r="F221" s="101"/>
      <c r="G221" s="41">
        <f t="shared" si="1"/>
        <v>0</v>
      </c>
      <c r="H221" s="49" t="str">
        <f t="shared" si="6"/>
        <v/>
      </c>
      <c r="I221" s="43" t="str">
        <f t="shared" si="5"/>
        <v/>
      </c>
      <c r="J221" s="78"/>
      <c r="K221" s="78">
        <f t="shared" si="3"/>
        <v>182</v>
      </c>
      <c r="L221" s="238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</row>
    <row r="222" ht="15.75" customHeight="1">
      <c r="A222" s="97"/>
      <c r="B222" s="98"/>
      <c r="C222" s="113" t="s">
        <v>646</v>
      </c>
      <c r="D222" s="101"/>
      <c r="E222" s="101"/>
      <c r="F222" s="101"/>
      <c r="G222" s="41">
        <f t="shared" si="1"/>
        <v>0</v>
      </c>
      <c r="H222" s="49" t="str">
        <f t="shared" si="6"/>
        <v/>
      </c>
      <c r="I222" s="43" t="str">
        <f t="shared" si="5"/>
        <v/>
      </c>
      <c r="J222" s="78"/>
      <c r="K222" s="78">
        <f t="shared" si="3"/>
        <v>182</v>
      </c>
      <c r="L222" s="238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</row>
    <row r="223" ht="15.75" customHeight="1">
      <c r="A223" s="97"/>
      <c r="B223" s="98"/>
      <c r="C223" s="113" t="s">
        <v>646</v>
      </c>
      <c r="D223" s="101"/>
      <c r="E223" s="101"/>
      <c r="F223" s="101"/>
      <c r="G223" s="41">
        <f t="shared" si="1"/>
        <v>0</v>
      </c>
      <c r="H223" s="49" t="str">
        <f t="shared" si="6"/>
        <v/>
      </c>
      <c r="I223" s="43" t="str">
        <f t="shared" si="5"/>
        <v/>
      </c>
      <c r="J223" s="78"/>
      <c r="K223" s="78">
        <f t="shared" si="3"/>
        <v>182</v>
      </c>
      <c r="L223" s="238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</row>
    <row r="224" ht="15.75" customHeight="1">
      <c r="A224" s="97"/>
      <c r="B224" s="98"/>
      <c r="C224" s="113" t="s">
        <v>646</v>
      </c>
      <c r="D224" s="101"/>
      <c r="E224" s="101"/>
      <c r="F224" s="101"/>
      <c r="G224" s="41">
        <f t="shared" si="1"/>
        <v>0</v>
      </c>
      <c r="H224" s="49" t="str">
        <f t="shared" si="6"/>
        <v/>
      </c>
      <c r="I224" s="43" t="str">
        <f t="shared" si="5"/>
        <v/>
      </c>
      <c r="J224" s="78"/>
      <c r="K224" s="78">
        <f t="shared" si="3"/>
        <v>182</v>
      </c>
      <c r="L224" s="238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</row>
    <row r="225" ht="15.75" customHeight="1">
      <c r="A225" s="97"/>
      <c r="B225" s="98"/>
      <c r="C225" s="113" t="s">
        <v>646</v>
      </c>
      <c r="D225" s="101"/>
      <c r="E225" s="101"/>
      <c r="F225" s="101"/>
      <c r="G225" s="41">
        <f t="shared" si="1"/>
        <v>0</v>
      </c>
      <c r="H225" s="49" t="str">
        <f t="shared" si="6"/>
        <v/>
      </c>
      <c r="I225" s="43" t="str">
        <f t="shared" si="5"/>
        <v/>
      </c>
      <c r="J225" s="78"/>
      <c r="K225" s="78">
        <f t="shared" si="3"/>
        <v>182</v>
      </c>
      <c r="L225" s="238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</row>
    <row r="226" ht="15.75" customHeight="1">
      <c r="A226" s="97"/>
      <c r="B226" s="98"/>
      <c r="C226" s="113" t="s">
        <v>646</v>
      </c>
      <c r="D226" s="101"/>
      <c r="E226" s="101"/>
      <c r="F226" s="101"/>
      <c r="G226" s="41">
        <f t="shared" si="1"/>
        <v>0</v>
      </c>
      <c r="H226" s="49" t="str">
        <f t="shared" si="6"/>
        <v/>
      </c>
      <c r="I226" s="43" t="str">
        <f t="shared" si="5"/>
        <v/>
      </c>
      <c r="J226" s="78"/>
      <c r="K226" s="78">
        <f t="shared" si="3"/>
        <v>182</v>
      </c>
      <c r="L226" s="238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</row>
    <row r="227" ht="15.75" customHeight="1">
      <c r="A227" s="97"/>
      <c r="B227" s="98"/>
      <c r="C227" s="113" t="s">
        <v>646</v>
      </c>
      <c r="D227" s="101"/>
      <c r="E227" s="101"/>
      <c r="F227" s="101"/>
      <c r="G227" s="41">
        <f t="shared" si="1"/>
        <v>0</v>
      </c>
      <c r="H227" s="49" t="str">
        <f t="shared" si="6"/>
        <v/>
      </c>
      <c r="I227" s="43" t="str">
        <f t="shared" si="5"/>
        <v/>
      </c>
      <c r="J227" s="78"/>
      <c r="K227" s="78">
        <f t="shared" si="3"/>
        <v>182</v>
      </c>
      <c r="L227" s="238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</row>
    <row r="228" ht="15.75" customHeight="1">
      <c r="A228" s="97"/>
      <c r="B228" s="98"/>
      <c r="C228" s="113" t="s">
        <v>646</v>
      </c>
      <c r="D228" s="101"/>
      <c r="E228" s="101"/>
      <c r="F228" s="101"/>
      <c r="G228" s="41">
        <f t="shared" si="1"/>
        <v>0</v>
      </c>
      <c r="H228" s="49" t="str">
        <f t="shared" si="6"/>
        <v/>
      </c>
      <c r="I228" s="43" t="str">
        <f t="shared" si="5"/>
        <v/>
      </c>
      <c r="J228" s="78"/>
      <c r="K228" s="78">
        <f t="shared" si="3"/>
        <v>182</v>
      </c>
      <c r="L228" s="238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</row>
    <row r="229" ht="15.75" customHeight="1">
      <c r="A229" s="97"/>
      <c r="B229" s="98"/>
      <c r="C229" s="113" t="s">
        <v>646</v>
      </c>
      <c r="D229" s="101"/>
      <c r="E229" s="101"/>
      <c r="F229" s="101"/>
      <c r="G229" s="41">
        <f t="shared" si="1"/>
        <v>0</v>
      </c>
      <c r="H229" s="49" t="str">
        <f t="shared" si="6"/>
        <v/>
      </c>
      <c r="I229" s="43" t="str">
        <f t="shared" si="5"/>
        <v/>
      </c>
      <c r="J229" s="78"/>
      <c r="K229" s="78">
        <f t="shared" si="3"/>
        <v>182</v>
      </c>
      <c r="L229" s="238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</row>
    <row r="230" ht="15.75" customHeight="1">
      <c r="A230" s="97"/>
      <c r="B230" s="98"/>
      <c r="C230" s="113" t="s">
        <v>646</v>
      </c>
      <c r="D230" s="101"/>
      <c r="E230" s="101"/>
      <c r="F230" s="101"/>
      <c r="G230" s="41">
        <f t="shared" si="1"/>
        <v>0</v>
      </c>
      <c r="H230" s="49" t="str">
        <f t="shared" si="6"/>
        <v/>
      </c>
      <c r="I230" s="43" t="str">
        <f t="shared" si="5"/>
        <v/>
      </c>
      <c r="J230" s="78"/>
      <c r="K230" s="78">
        <f t="shared" si="3"/>
        <v>182</v>
      </c>
      <c r="L230" s="238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</row>
    <row r="231" ht="15.75" customHeight="1">
      <c r="A231" s="97"/>
      <c r="B231" s="98"/>
      <c r="C231" s="113" t="s">
        <v>646</v>
      </c>
      <c r="D231" s="101"/>
      <c r="E231" s="101"/>
      <c r="F231" s="101"/>
      <c r="G231" s="41">
        <f t="shared" si="1"/>
        <v>0</v>
      </c>
      <c r="H231" s="49" t="str">
        <f t="shared" si="6"/>
        <v/>
      </c>
      <c r="I231" s="43" t="str">
        <f t="shared" si="5"/>
        <v/>
      </c>
      <c r="J231" s="78"/>
      <c r="K231" s="78">
        <f t="shared" si="3"/>
        <v>182</v>
      </c>
      <c r="L231" s="238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</row>
    <row r="232" ht="15.75" customHeight="1">
      <c r="A232" s="97"/>
      <c r="B232" s="98"/>
      <c r="C232" s="113" t="s">
        <v>646</v>
      </c>
      <c r="D232" s="101"/>
      <c r="E232" s="101"/>
      <c r="F232" s="101"/>
      <c r="G232" s="41">
        <f t="shared" si="1"/>
        <v>0</v>
      </c>
      <c r="H232" s="49" t="str">
        <f t="shared" si="6"/>
        <v/>
      </c>
      <c r="I232" s="43" t="str">
        <f t="shared" si="5"/>
        <v/>
      </c>
      <c r="J232" s="78"/>
      <c r="K232" s="78">
        <f t="shared" si="3"/>
        <v>182</v>
      </c>
      <c r="L232" s="238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</row>
    <row r="233" ht="15.75" customHeight="1">
      <c r="A233" s="97"/>
      <c r="B233" s="98"/>
      <c r="C233" s="113" t="s">
        <v>646</v>
      </c>
      <c r="D233" s="101"/>
      <c r="E233" s="101"/>
      <c r="F233" s="101"/>
      <c r="G233" s="41">
        <f t="shared" si="1"/>
        <v>0</v>
      </c>
      <c r="H233" s="49" t="str">
        <f t="shared" si="6"/>
        <v/>
      </c>
      <c r="I233" s="43" t="str">
        <f t="shared" si="5"/>
        <v/>
      </c>
      <c r="J233" s="78"/>
      <c r="K233" s="78">
        <f t="shared" si="3"/>
        <v>182</v>
      </c>
      <c r="L233" s="238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</row>
    <row r="234" ht="15.75" customHeight="1">
      <c r="A234" s="97"/>
      <c r="B234" s="98"/>
      <c r="C234" s="113" t="s">
        <v>646</v>
      </c>
      <c r="D234" s="101"/>
      <c r="E234" s="101"/>
      <c r="F234" s="101"/>
      <c r="G234" s="41">
        <f t="shared" si="1"/>
        <v>0</v>
      </c>
      <c r="H234" s="49" t="str">
        <f t="shared" si="6"/>
        <v/>
      </c>
      <c r="I234" s="43" t="str">
        <f t="shared" si="5"/>
        <v/>
      </c>
      <c r="J234" s="78"/>
      <c r="K234" s="78">
        <f t="shared" si="3"/>
        <v>182</v>
      </c>
      <c r="L234" s="238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</row>
    <row r="235" ht="15.75" customHeight="1">
      <c r="A235" s="97"/>
      <c r="B235" s="98"/>
      <c r="C235" s="113" t="s">
        <v>646</v>
      </c>
      <c r="D235" s="101"/>
      <c r="E235" s="101"/>
      <c r="F235" s="101"/>
      <c r="G235" s="41">
        <f t="shared" si="1"/>
        <v>0</v>
      </c>
      <c r="H235" s="49" t="str">
        <f t="shared" si="6"/>
        <v/>
      </c>
      <c r="I235" s="43" t="str">
        <f t="shared" si="5"/>
        <v/>
      </c>
      <c r="J235" s="78"/>
      <c r="K235" s="78">
        <f t="shared" si="3"/>
        <v>182</v>
      </c>
      <c r="L235" s="238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</row>
    <row r="236" ht="15.75" customHeight="1">
      <c r="A236" s="97"/>
      <c r="B236" s="98"/>
      <c r="C236" s="113" t="s">
        <v>646</v>
      </c>
      <c r="D236" s="101"/>
      <c r="E236" s="101"/>
      <c r="F236" s="101"/>
      <c r="G236" s="41">
        <f t="shared" si="1"/>
        <v>0</v>
      </c>
      <c r="H236" s="49" t="str">
        <f t="shared" si="6"/>
        <v/>
      </c>
      <c r="I236" s="43" t="str">
        <f t="shared" si="5"/>
        <v/>
      </c>
      <c r="J236" s="78"/>
      <c r="K236" s="78">
        <f t="shared" si="3"/>
        <v>182</v>
      </c>
      <c r="L236" s="238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</row>
    <row r="237" ht="15.75" customHeight="1">
      <c r="A237" s="97"/>
      <c r="B237" s="98"/>
      <c r="C237" s="113" t="s">
        <v>646</v>
      </c>
      <c r="D237" s="101"/>
      <c r="E237" s="101"/>
      <c r="F237" s="101"/>
      <c r="G237" s="41">
        <f t="shared" si="1"/>
        <v>0</v>
      </c>
      <c r="H237" s="49" t="str">
        <f t="shared" si="6"/>
        <v/>
      </c>
      <c r="I237" s="43" t="str">
        <f t="shared" si="5"/>
        <v/>
      </c>
      <c r="J237" s="78"/>
      <c r="K237" s="78">
        <f t="shared" si="3"/>
        <v>182</v>
      </c>
      <c r="L237" s="238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</row>
    <row r="238" ht="15.75" customHeight="1">
      <c r="A238" s="97"/>
      <c r="B238" s="98"/>
      <c r="C238" s="113" t="s">
        <v>646</v>
      </c>
      <c r="D238" s="101"/>
      <c r="E238" s="101"/>
      <c r="F238" s="101"/>
      <c r="G238" s="41">
        <f t="shared" si="1"/>
        <v>0</v>
      </c>
      <c r="H238" s="49" t="str">
        <f t="shared" si="6"/>
        <v/>
      </c>
      <c r="I238" s="43" t="str">
        <f t="shared" si="5"/>
        <v/>
      </c>
      <c r="J238" s="78"/>
      <c r="K238" s="78">
        <f t="shared" si="3"/>
        <v>182</v>
      </c>
      <c r="L238" s="238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</row>
    <row r="239" ht="15.75" customHeight="1">
      <c r="A239" s="97"/>
      <c r="B239" s="98"/>
      <c r="C239" s="113" t="s">
        <v>646</v>
      </c>
      <c r="D239" s="101"/>
      <c r="E239" s="101"/>
      <c r="F239" s="101"/>
      <c r="G239" s="41">
        <f t="shared" si="1"/>
        <v>0</v>
      </c>
      <c r="H239" s="49" t="str">
        <f t="shared" si="6"/>
        <v/>
      </c>
      <c r="I239" s="43" t="str">
        <f t="shared" si="5"/>
        <v/>
      </c>
      <c r="J239" s="78"/>
      <c r="K239" s="78">
        <f t="shared" si="3"/>
        <v>182</v>
      </c>
      <c r="L239" s="238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</row>
    <row r="240" ht="15.75" customHeight="1">
      <c r="A240" s="97"/>
      <c r="B240" s="98"/>
      <c r="C240" s="113" t="s">
        <v>646</v>
      </c>
      <c r="D240" s="101"/>
      <c r="E240" s="101"/>
      <c r="F240" s="101"/>
      <c r="G240" s="41">
        <f t="shared" si="1"/>
        <v>0</v>
      </c>
      <c r="H240" s="49" t="str">
        <f t="shared" si="6"/>
        <v/>
      </c>
      <c r="I240" s="43" t="str">
        <f t="shared" si="5"/>
        <v/>
      </c>
      <c r="J240" s="78"/>
      <c r="K240" s="78">
        <f t="shared" si="3"/>
        <v>182</v>
      </c>
      <c r="L240" s="238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</row>
    <row r="241" ht="15.75" customHeight="1">
      <c r="A241" s="97"/>
      <c r="B241" s="98"/>
      <c r="C241" s="113" t="s">
        <v>646</v>
      </c>
      <c r="D241" s="101"/>
      <c r="E241" s="101"/>
      <c r="F241" s="101"/>
      <c r="G241" s="41">
        <f t="shared" si="1"/>
        <v>0</v>
      </c>
      <c r="H241" s="49" t="str">
        <f t="shared" si="6"/>
        <v/>
      </c>
      <c r="I241" s="43" t="str">
        <f t="shared" si="5"/>
        <v/>
      </c>
      <c r="J241" s="78"/>
      <c r="K241" s="78">
        <f t="shared" si="3"/>
        <v>182</v>
      </c>
      <c r="L241" s="238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</row>
    <row r="242" ht="15.75" customHeight="1">
      <c r="A242" s="97"/>
      <c r="B242" s="98"/>
      <c r="C242" s="113" t="s">
        <v>646</v>
      </c>
      <c r="D242" s="101"/>
      <c r="E242" s="101"/>
      <c r="F242" s="101"/>
      <c r="G242" s="41">
        <f t="shared" si="1"/>
        <v>0</v>
      </c>
      <c r="H242" s="49" t="str">
        <f t="shared" si="6"/>
        <v/>
      </c>
      <c r="I242" s="43" t="str">
        <f t="shared" si="5"/>
        <v/>
      </c>
      <c r="J242" s="78"/>
      <c r="K242" s="78">
        <f t="shared" si="3"/>
        <v>182</v>
      </c>
      <c r="L242" s="238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</row>
    <row r="243" ht="15.75" customHeight="1">
      <c r="A243" s="97"/>
      <c r="B243" s="98"/>
      <c r="C243" s="113" t="s">
        <v>646</v>
      </c>
      <c r="D243" s="101"/>
      <c r="E243" s="101"/>
      <c r="F243" s="101"/>
      <c r="G243" s="41">
        <f t="shared" si="1"/>
        <v>0</v>
      </c>
      <c r="H243" s="49" t="str">
        <f t="shared" si="6"/>
        <v/>
      </c>
      <c r="I243" s="43" t="str">
        <f t="shared" si="5"/>
        <v/>
      </c>
      <c r="J243" s="78"/>
      <c r="K243" s="78">
        <f t="shared" si="3"/>
        <v>182</v>
      </c>
      <c r="L243" s="238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</row>
    <row r="244" ht="15.75" customHeight="1">
      <c r="A244" s="97"/>
      <c r="B244" s="98"/>
      <c r="C244" s="113" t="s">
        <v>646</v>
      </c>
      <c r="D244" s="101"/>
      <c r="E244" s="101"/>
      <c r="F244" s="101"/>
      <c r="G244" s="41">
        <f t="shared" si="1"/>
        <v>0</v>
      </c>
      <c r="H244" s="49" t="str">
        <f t="shared" si="6"/>
        <v/>
      </c>
      <c r="I244" s="43" t="str">
        <f t="shared" si="5"/>
        <v/>
      </c>
      <c r="J244" s="78"/>
      <c r="K244" s="78">
        <f t="shared" si="3"/>
        <v>182</v>
      </c>
      <c r="L244" s="238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</row>
    <row r="245" ht="15.75" customHeight="1">
      <c r="A245" s="97"/>
      <c r="B245" s="98"/>
      <c r="C245" s="113" t="s">
        <v>646</v>
      </c>
      <c r="D245" s="101"/>
      <c r="E245" s="101"/>
      <c r="F245" s="101"/>
      <c r="G245" s="41">
        <f t="shared" si="1"/>
        <v>0</v>
      </c>
      <c r="H245" s="49" t="str">
        <f t="shared" si="6"/>
        <v/>
      </c>
      <c r="I245" s="43" t="str">
        <f t="shared" si="5"/>
        <v/>
      </c>
      <c r="J245" s="78"/>
      <c r="K245" s="78">
        <f t="shared" si="3"/>
        <v>182</v>
      </c>
      <c r="L245" s="238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</row>
    <row r="246" ht="15.75" customHeight="1">
      <c r="A246" s="97"/>
      <c r="B246" s="98"/>
      <c r="C246" s="113" t="s">
        <v>646</v>
      </c>
      <c r="D246" s="101"/>
      <c r="E246" s="101"/>
      <c r="F246" s="101"/>
      <c r="G246" s="41">
        <f t="shared" si="1"/>
        <v>0</v>
      </c>
      <c r="H246" s="49" t="str">
        <f t="shared" si="6"/>
        <v/>
      </c>
      <c r="I246" s="43" t="str">
        <f t="shared" si="5"/>
        <v/>
      </c>
      <c r="J246" s="78"/>
      <c r="K246" s="78">
        <f t="shared" si="3"/>
        <v>182</v>
      </c>
      <c r="L246" s="238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</row>
    <row r="247" ht="15.75" customHeight="1">
      <c r="A247" s="97"/>
      <c r="B247" s="98"/>
      <c r="C247" s="113" t="s">
        <v>646</v>
      </c>
      <c r="D247" s="101"/>
      <c r="E247" s="101"/>
      <c r="F247" s="101"/>
      <c r="G247" s="41">
        <f t="shared" si="1"/>
        <v>0</v>
      </c>
      <c r="H247" s="49" t="str">
        <f t="shared" si="6"/>
        <v/>
      </c>
      <c r="I247" s="43" t="str">
        <f t="shared" si="5"/>
        <v/>
      </c>
      <c r="J247" s="78"/>
      <c r="K247" s="78">
        <f t="shared" si="3"/>
        <v>182</v>
      </c>
      <c r="L247" s="238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</row>
    <row r="248" ht="15.75" customHeight="1">
      <c r="A248" s="97"/>
      <c r="B248" s="98"/>
      <c r="C248" s="113" t="s">
        <v>646</v>
      </c>
      <c r="D248" s="101"/>
      <c r="E248" s="101"/>
      <c r="F248" s="101"/>
      <c r="G248" s="41">
        <f t="shared" si="1"/>
        <v>0</v>
      </c>
      <c r="H248" s="49" t="str">
        <f t="shared" si="6"/>
        <v/>
      </c>
      <c r="I248" s="43" t="str">
        <f t="shared" si="5"/>
        <v/>
      </c>
      <c r="J248" s="78"/>
      <c r="K248" s="78">
        <f t="shared" si="3"/>
        <v>182</v>
      </c>
      <c r="L248" s="238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</row>
    <row r="249" ht="15.75" customHeight="1">
      <c r="A249" s="97"/>
      <c r="B249" s="98"/>
      <c r="C249" s="113" t="s">
        <v>646</v>
      </c>
      <c r="D249" s="101"/>
      <c r="E249" s="101"/>
      <c r="F249" s="101"/>
      <c r="G249" s="41">
        <f t="shared" si="1"/>
        <v>0</v>
      </c>
      <c r="H249" s="49" t="str">
        <f t="shared" si="6"/>
        <v/>
      </c>
      <c r="I249" s="43" t="str">
        <f t="shared" si="5"/>
        <v/>
      </c>
      <c r="J249" s="78"/>
      <c r="K249" s="78">
        <f t="shared" si="3"/>
        <v>182</v>
      </c>
      <c r="L249" s="238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</row>
    <row r="250" ht="15.75" customHeight="1">
      <c r="A250" s="97"/>
      <c r="B250" s="98"/>
      <c r="C250" s="113" t="s">
        <v>646</v>
      </c>
      <c r="D250" s="101"/>
      <c r="E250" s="101"/>
      <c r="F250" s="101"/>
      <c r="G250" s="41">
        <f t="shared" si="1"/>
        <v>0</v>
      </c>
      <c r="H250" s="49" t="str">
        <f t="shared" si="6"/>
        <v/>
      </c>
      <c r="I250" s="43" t="str">
        <f t="shared" si="5"/>
        <v/>
      </c>
      <c r="J250" s="78"/>
      <c r="K250" s="78">
        <f t="shared" si="3"/>
        <v>182</v>
      </c>
      <c r="L250" s="238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</row>
    <row r="251" ht="15.75" customHeight="1">
      <c r="A251" s="97"/>
      <c r="B251" s="98"/>
      <c r="C251" s="113" t="s">
        <v>646</v>
      </c>
      <c r="D251" s="101"/>
      <c r="E251" s="101"/>
      <c r="F251" s="101"/>
      <c r="G251" s="41">
        <f t="shared" si="1"/>
        <v>0</v>
      </c>
      <c r="H251" s="49" t="str">
        <f t="shared" si="6"/>
        <v/>
      </c>
      <c r="I251" s="43" t="str">
        <f t="shared" si="5"/>
        <v/>
      </c>
      <c r="J251" s="78"/>
      <c r="K251" s="78">
        <f t="shared" si="3"/>
        <v>182</v>
      </c>
      <c r="L251" s="238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</row>
    <row r="252" ht="15.75" customHeight="1">
      <c r="A252" s="97"/>
      <c r="B252" s="98"/>
      <c r="C252" s="113" t="s">
        <v>646</v>
      </c>
      <c r="D252" s="101"/>
      <c r="E252" s="101"/>
      <c r="F252" s="101"/>
      <c r="G252" s="41">
        <f t="shared" si="1"/>
        <v>0</v>
      </c>
      <c r="H252" s="49" t="str">
        <f t="shared" si="6"/>
        <v/>
      </c>
      <c r="I252" s="43" t="str">
        <f t="shared" si="5"/>
        <v/>
      </c>
      <c r="J252" s="78"/>
      <c r="K252" s="78">
        <f t="shared" si="3"/>
        <v>182</v>
      </c>
      <c r="L252" s="238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</row>
    <row r="253" ht="15.75" customHeight="1">
      <c r="A253" s="97"/>
      <c r="B253" s="98"/>
      <c r="C253" s="113" t="s">
        <v>646</v>
      </c>
      <c r="D253" s="101"/>
      <c r="E253" s="101"/>
      <c r="F253" s="101"/>
      <c r="G253" s="41">
        <f t="shared" si="1"/>
        <v>0</v>
      </c>
      <c r="H253" s="49" t="str">
        <f t="shared" si="6"/>
        <v/>
      </c>
      <c r="I253" s="43" t="str">
        <f t="shared" si="5"/>
        <v/>
      </c>
      <c r="J253" s="78"/>
      <c r="K253" s="78">
        <f t="shared" si="3"/>
        <v>182</v>
      </c>
      <c r="L253" s="238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</row>
    <row r="254" ht="15.75" customHeight="1">
      <c r="A254" s="97"/>
      <c r="B254" s="98"/>
      <c r="C254" s="113" t="s">
        <v>646</v>
      </c>
      <c r="D254" s="101"/>
      <c r="E254" s="101"/>
      <c r="F254" s="101"/>
      <c r="G254" s="41">
        <f t="shared" si="1"/>
        <v>0</v>
      </c>
      <c r="H254" s="49" t="str">
        <f t="shared" si="6"/>
        <v/>
      </c>
      <c r="I254" s="43" t="str">
        <f t="shared" si="5"/>
        <v/>
      </c>
      <c r="J254" s="78"/>
      <c r="K254" s="78">
        <f t="shared" si="3"/>
        <v>182</v>
      </c>
      <c r="L254" s="238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</row>
    <row r="255" ht="15.75" customHeight="1">
      <c r="A255" s="97"/>
      <c r="B255" s="98"/>
      <c r="C255" s="113" t="s">
        <v>646</v>
      </c>
      <c r="D255" s="101"/>
      <c r="E255" s="101"/>
      <c r="F255" s="101"/>
      <c r="G255" s="41">
        <f t="shared" si="1"/>
        <v>0</v>
      </c>
      <c r="H255" s="49" t="str">
        <f t="shared" si="6"/>
        <v/>
      </c>
      <c r="I255" s="43" t="str">
        <f t="shared" si="5"/>
        <v/>
      </c>
      <c r="J255" s="78"/>
      <c r="K255" s="78">
        <f t="shared" si="3"/>
        <v>182</v>
      </c>
      <c r="L255" s="238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</row>
    <row r="256" ht="15.75" customHeight="1">
      <c r="A256" s="97"/>
      <c r="B256" s="98"/>
      <c r="C256" s="113" t="s">
        <v>646</v>
      </c>
      <c r="D256" s="101"/>
      <c r="E256" s="101"/>
      <c r="F256" s="101"/>
      <c r="G256" s="41">
        <f t="shared" si="1"/>
        <v>0</v>
      </c>
      <c r="H256" s="49" t="str">
        <f t="shared" si="6"/>
        <v/>
      </c>
      <c r="I256" s="43" t="str">
        <f t="shared" si="5"/>
        <v/>
      </c>
      <c r="J256" s="78"/>
      <c r="K256" s="78">
        <f t="shared" si="3"/>
        <v>182</v>
      </c>
      <c r="L256" s="238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</row>
    <row r="257" ht="15.75" customHeight="1">
      <c r="A257" s="97"/>
      <c r="B257" s="98"/>
      <c r="C257" s="113" t="s">
        <v>646</v>
      </c>
      <c r="D257" s="101"/>
      <c r="E257" s="101"/>
      <c r="F257" s="101"/>
      <c r="G257" s="41">
        <f t="shared" si="1"/>
        <v>0</v>
      </c>
      <c r="H257" s="49" t="str">
        <f t="shared" si="6"/>
        <v/>
      </c>
      <c r="I257" s="43" t="str">
        <f t="shared" si="5"/>
        <v/>
      </c>
      <c r="J257" s="78"/>
      <c r="K257" s="78">
        <f t="shared" si="3"/>
        <v>182</v>
      </c>
      <c r="L257" s="238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</row>
    <row r="258" ht="15.75" customHeight="1">
      <c r="A258" s="97"/>
      <c r="B258" s="98"/>
      <c r="C258" s="113" t="s">
        <v>646</v>
      </c>
      <c r="D258" s="101"/>
      <c r="E258" s="101"/>
      <c r="F258" s="101"/>
      <c r="G258" s="41">
        <f t="shared" si="1"/>
        <v>0</v>
      </c>
      <c r="H258" s="49" t="str">
        <f t="shared" si="6"/>
        <v/>
      </c>
      <c r="I258" s="43" t="str">
        <f t="shared" si="5"/>
        <v/>
      </c>
      <c r="J258" s="78"/>
      <c r="K258" s="78">
        <f t="shared" si="3"/>
        <v>182</v>
      </c>
      <c r="L258" s="238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</row>
    <row r="259" ht="15.75" customHeight="1">
      <c r="A259" s="97"/>
      <c r="B259" s="98"/>
      <c r="C259" s="113" t="s">
        <v>646</v>
      </c>
      <c r="D259" s="101"/>
      <c r="E259" s="101"/>
      <c r="F259" s="101"/>
      <c r="G259" s="41">
        <f t="shared" si="1"/>
        <v>0</v>
      </c>
      <c r="H259" s="49" t="str">
        <f t="shared" si="6"/>
        <v/>
      </c>
      <c r="I259" s="43" t="str">
        <f t="shared" si="5"/>
        <v/>
      </c>
      <c r="J259" s="78"/>
      <c r="K259" s="78">
        <f t="shared" si="3"/>
        <v>182</v>
      </c>
      <c r="L259" s="238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</row>
    <row r="260" ht="15.75" customHeight="1">
      <c r="A260" s="97"/>
      <c r="B260" s="98"/>
      <c r="C260" s="113" t="s">
        <v>646</v>
      </c>
      <c r="D260" s="101"/>
      <c r="E260" s="101"/>
      <c r="F260" s="101"/>
      <c r="G260" s="41">
        <f t="shared" si="1"/>
        <v>0</v>
      </c>
      <c r="H260" s="49" t="str">
        <f t="shared" si="6"/>
        <v/>
      </c>
      <c r="I260" s="43" t="str">
        <f t="shared" si="5"/>
        <v/>
      </c>
      <c r="J260" s="78"/>
      <c r="K260" s="78">
        <f t="shared" si="3"/>
        <v>182</v>
      </c>
      <c r="L260" s="238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</row>
    <row r="261" ht="15.75" customHeight="1">
      <c r="A261" s="97"/>
      <c r="B261" s="98"/>
      <c r="C261" s="113" t="s">
        <v>646</v>
      </c>
      <c r="D261" s="101"/>
      <c r="E261" s="101"/>
      <c r="F261" s="101"/>
      <c r="G261" s="41">
        <f t="shared" si="1"/>
        <v>0</v>
      </c>
      <c r="H261" s="49" t="str">
        <f t="shared" si="6"/>
        <v/>
      </c>
      <c r="I261" s="43" t="str">
        <f t="shared" si="5"/>
        <v/>
      </c>
      <c r="J261" s="78"/>
      <c r="K261" s="78">
        <f t="shared" si="3"/>
        <v>182</v>
      </c>
      <c r="L261" s="238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</row>
    <row r="262" ht="15.75" customHeight="1">
      <c r="A262" s="97"/>
      <c r="B262" s="98"/>
      <c r="C262" s="113" t="s">
        <v>646</v>
      </c>
      <c r="D262" s="101"/>
      <c r="E262" s="101"/>
      <c r="F262" s="101"/>
      <c r="G262" s="41">
        <f t="shared" si="1"/>
        <v>0</v>
      </c>
      <c r="H262" s="49" t="str">
        <f t="shared" si="6"/>
        <v/>
      </c>
      <c r="I262" s="43" t="str">
        <f t="shared" si="5"/>
        <v/>
      </c>
      <c r="J262" s="78"/>
      <c r="K262" s="78">
        <f t="shared" si="3"/>
        <v>182</v>
      </c>
      <c r="L262" s="238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</row>
    <row r="263" ht="15.75" customHeight="1">
      <c r="A263" s="97"/>
      <c r="B263" s="98"/>
      <c r="C263" s="113" t="s">
        <v>646</v>
      </c>
      <c r="D263" s="101"/>
      <c r="E263" s="101"/>
      <c r="F263" s="101"/>
      <c r="G263" s="41">
        <f t="shared" si="1"/>
        <v>0</v>
      </c>
      <c r="H263" s="49" t="str">
        <f t="shared" si="6"/>
        <v/>
      </c>
      <c r="I263" s="43" t="str">
        <f t="shared" si="5"/>
        <v/>
      </c>
      <c r="J263" s="78"/>
      <c r="K263" s="78">
        <f t="shared" si="3"/>
        <v>182</v>
      </c>
      <c r="L263" s="238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</row>
    <row r="264" ht="15.75" customHeight="1">
      <c r="A264" s="97"/>
      <c r="B264" s="98"/>
      <c r="C264" s="113" t="s">
        <v>646</v>
      </c>
      <c r="D264" s="101"/>
      <c r="E264" s="101"/>
      <c r="F264" s="101"/>
      <c r="G264" s="41">
        <f t="shared" si="1"/>
        <v>0</v>
      </c>
      <c r="H264" s="49" t="str">
        <f t="shared" si="6"/>
        <v/>
      </c>
      <c r="I264" s="43" t="str">
        <f t="shared" si="5"/>
        <v/>
      </c>
      <c r="J264" s="78"/>
      <c r="K264" s="78">
        <f t="shared" si="3"/>
        <v>182</v>
      </c>
      <c r="L264" s="238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</row>
    <row r="265" ht="15.75" customHeight="1">
      <c r="A265" s="97"/>
      <c r="B265" s="98"/>
      <c r="C265" s="113" t="s">
        <v>646</v>
      </c>
      <c r="D265" s="101"/>
      <c r="E265" s="101"/>
      <c r="F265" s="101"/>
      <c r="G265" s="41">
        <f t="shared" si="1"/>
        <v>0</v>
      </c>
      <c r="H265" s="49" t="str">
        <f t="shared" si="6"/>
        <v/>
      </c>
      <c r="I265" s="43" t="str">
        <f t="shared" si="5"/>
        <v/>
      </c>
      <c r="J265" s="78"/>
      <c r="K265" s="78">
        <f t="shared" si="3"/>
        <v>182</v>
      </c>
      <c r="L265" s="238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</row>
    <row r="266" ht="15.75" customHeight="1">
      <c r="A266" s="97"/>
      <c r="B266" s="98"/>
      <c r="C266" s="113" t="s">
        <v>646</v>
      </c>
      <c r="D266" s="101"/>
      <c r="E266" s="101"/>
      <c r="F266" s="101"/>
      <c r="G266" s="41">
        <f t="shared" si="1"/>
        <v>0</v>
      </c>
      <c r="H266" s="49" t="str">
        <f t="shared" si="6"/>
        <v/>
      </c>
      <c r="I266" s="43" t="str">
        <f t="shared" si="5"/>
        <v/>
      </c>
      <c r="J266" s="78"/>
      <c r="K266" s="78">
        <f t="shared" si="3"/>
        <v>182</v>
      </c>
      <c r="L266" s="238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</row>
    <row r="267" ht="15.75" customHeight="1">
      <c r="A267" s="97"/>
      <c r="B267" s="98"/>
      <c r="C267" s="113" t="s">
        <v>646</v>
      </c>
      <c r="D267" s="101"/>
      <c r="E267" s="101"/>
      <c r="F267" s="101"/>
      <c r="G267" s="41">
        <f t="shared" si="1"/>
        <v>0</v>
      </c>
      <c r="H267" s="49" t="str">
        <f t="shared" si="6"/>
        <v/>
      </c>
      <c r="I267" s="43" t="str">
        <f t="shared" si="5"/>
        <v/>
      </c>
      <c r="J267" s="78"/>
      <c r="K267" s="78">
        <f t="shared" si="3"/>
        <v>182</v>
      </c>
      <c r="L267" s="238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</row>
    <row r="268" ht="15.75" customHeight="1">
      <c r="A268" s="97"/>
      <c r="B268" s="98"/>
      <c r="C268" s="113" t="s">
        <v>646</v>
      </c>
      <c r="D268" s="101"/>
      <c r="E268" s="101"/>
      <c r="F268" s="101"/>
      <c r="G268" s="41">
        <f t="shared" si="1"/>
        <v>0</v>
      </c>
      <c r="H268" s="49" t="str">
        <f t="shared" si="6"/>
        <v/>
      </c>
      <c r="I268" s="43" t="str">
        <f t="shared" si="5"/>
        <v/>
      </c>
      <c r="J268" s="78"/>
      <c r="K268" s="78">
        <f t="shared" si="3"/>
        <v>182</v>
      </c>
      <c r="L268" s="238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</row>
    <row r="269" ht="15.75" customHeight="1">
      <c r="A269" s="97"/>
      <c r="B269" s="98"/>
      <c r="C269" s="113" t="s">
        <v>646</v>
      </c>
      <c r="D269" s="101"/>
      <c r="E269" s="101"/>
      <c r="F269" s="101"/>
      <c r="G269" s="41">
        <f t="shared" si="1"/>
        <v>0</v>
      </c>
      <c r="H269" s="49" t="str">
        <f t="shared" si="6"/>
        <v/>
      </c>
      <c r="I269" s="43" t="str">
        <f t="shared" si="5"/>
        <v/>
      </c>
      <c r="J269" s="78"/>
      <c r="K269" s="78">
        <f t="shared" si="3"/>
        <v>182</v>
      </c>
      <c r="L269" s="238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</row>
    <row r="270" ht="15.75" customHeight="1">
      <c r="A270" s="97"/>
      <c r="B270" s="98"/>
      <c r="C270" s="113" t="s">
        <v>646</v>
      </c>
      <c r="D270" s="101"/>
      <c r="E270" s="101"/>
      <c r="F270" s="101"/>
      <c r="G270" s="41">
        <f t="shared" si="1"/>
        <v>0</v>
      </c>
      <c r="H270" s="49" t="str">
        <f t="shared" si="6"/>
        <v/>
      </c>
      <c r="I270" s="43" t="str">
        <f t="shared" si="5"/>
        <v/>
      </c>
      <c r="J270" s="78"/>
      <c r="K270" s="78">
        <f t="shared" si="3"/>
        <v>182</v>
      </c>
      <c r="L270" s="238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</row>
    <row r="271" ht="15.75" customHeight="1">
      <c r="A271" s="97"/>
      <c r="B271" s="98"/>
      <c r="C271" s="113" t="s">
        <v>646</v>
      </c>
      <c r="D271" s="101"/>
      <c r="E271" s="101"/>
      <c r="F271" s="101"/>
      <c r="G271" s="41">
        <f t="shared" si="1"/>
        <v>0</v>
      </c>
      <c r="H271" s="49" t="str">
        <f t="shared" si="6"/>
        <v/>
      </c>
      <c r="I271" s="43" t="str">
        <f t="shared" si="5"/>
        <v/>
      </c>
      <c r="J271" s="78"/>
      <c r="K271" s="78">
        <f t="shared" si="3"/>
        <v>182</v>
      </c>
      <c r="L271" s="238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</row>
    <row r="272" ht="15.75" customHeight="1">
      <c r="A272" s="97"/>
      <c r="B272" s="98"/>
      <c r="C272" s="113" t="s">
        <v>646</v>
      </c>
      <c r="D272" s="101"/>
      <c r="E272" s="101"/>
      <c r="F272" s="101"/>
      <c r="G272" s="41">
        <f t="shared" si="1"/>
        <v>0</v>
      </c>
      <c r="H272" s="49" t="str">
        <f t="shared" si="6"/>
        <v/>
      </c>
      <c r="I272" s="43" t="str">
        <f t="shared" si="5"/>
        <v/>
      </c>
      <c r="J272" s="78"/>
      <c r="K272" s="78">
        <f t="shared" si="3"/>
        <v>182</v>
      </c>
      <c r="L272" s="238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</row>
    <row r="273" ht="15.75" customHeight="1">
      <c r="A273" s="97"/>
      <c r="B273" s="98"/>
      <c r="C273" s="113" t="s">
        <v>646</v>
      </c>
      <c r="D273" s="101"/>
      <c r="E273" s="101"/>
      <c r="F273" s="101"/>
      <c r="G273" s="41">
        <f t="shared" si="1"/>
        <v>0</v>
      </c>
      <c r="H273" s="49" t="str">
        <f t="shared" si="6"/>
        <v/>
      </c>
      <c r="I273" s="43" t="str">
        <f t="shared" si="5"/>
        <v/>
      </c>
      <c r="J273" s="78"/>
      <c r="K273" s="78">
        <f t="shared" si="3"/>
        <v>182</v>
      </c>
      <c r="L273" s="238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</row>
    <row r="274" ht="15.75" customHeight="1">
      <c r="A274" s="97"/>
      <c r="B274" s="98"/>
      <c r="C274" s="113" t="s">
        <v>646</v>
      </c>
      <c r="D274" s="101"/>
      <c r="E274" s="101"/>
      <c r="F274" s="101"/>
      <c r="G274" s="41">
        <f t="shared" si="1"/>
        <v>0</v>
      </c>
      <c r="H274" s="49" t="str">
        <f t="shared" si="6"/>
        <v/>
      </c>
      <c r="I274" s="43" t="str">
        <f t="shared" si="5"/>
        <v/>
      </c>
      <c r="J274" s="78"/>
      <c r="K274" s="78">
        <f t="shared" si="3"/>
        <v>182</v>
      </c>
      <c r="L274" s="238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</row>
    <row r="275" ht="15.75" customHeight="1">
      <c r="A275" s="97"/>
      <c r="B275" s="98"/>
      <c r="C275" s="113" t="s">
        <v>646</v>
      </c>
      <c r="D275" s="101"/>
      <c r="E275" s="101"/>
      <c r="F275" s="101"/>
      <c r="G275" s="41">
        <f t="shared" si="1"/>
        <v>0</v>
      </c>
      <c r="H275" s="49" t="str">
        <f t="shared" si="6"/>
        <v/>
      </c>
      <c r="I275" s="43" t="str">
        <f t="shared" si="5"/>
        <v/>
      </c>
      <c r="J275" s="78"/>
      <c r="K275" s="78">
        <f t="shared" si="3"/>
        <v>182</v>
      </c>
      <c r="L275" s="238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</row>
    <row r="276" ht="15.75" customHeight="1">
      <c r="A276" s="97"/>
      <c r="B276" s="98"/>
      <c r="C276" s="113" t="s">
        <v>646</v>
      </c>
      <c r="D276" s="101"/>
      <c r="E276" s="101"/>
      <c r="F276" s="101"/>
      <c r="G276" s="41">
        <f t="shared" si="1"/>
        <v>0</v>
      </c>
      <c r="H276" s="49" t="str">
        <f t="shared" si="6"/>
        <v/>
      </c>
      <c r="I276" s="43" t="str">
        <f t="shared" si="5"/>
        <v/>
      </c>
      <c r="J276" s="78"/>
      <c r="K276" s="78">
        <f t="shared" si="3"/>
        <v>182</v>
      </c>
      <c r="L276" s="238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</row>
    <row r="277" ht="15.75" customHeight="1">
      <c r="A277" s="97"/>
      <c r="B277" s="98"/>
      <c r="C277" s="113" t="s">
        <v>646</v>
      </c>
      <c r="D277" s="101"/>
      <c r="E277" s="101"/>
      <c r="F277" s="101"/>
      <c r="G277" s="41">
        <f t="shared" si="1"/>
        <v>0</v>
      </c>
      <c r="H277" s="49" t="str">
        <f t="shared" si="6"/>
        <v/>
      </c>
      <c r="I277" s="43" t="str">
        <f t="shared" si="5"/>
        <v/>
      </c>
      <c r="J277" s="78"/>
      <c r="K277" s="78">
        <f t="shared" si="3"/>
        <v>182</v>
      </c>
      <c r="L277" s="238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</row>
    <row r="278" ht="15.75" customHeight="1">
      <c r="A278" s="97"/>
      <c r="B278" s="98"/>
      <c r="C278" s="113" t="s">
        <v>646</v>
      </c>
      <c r="D278" s="101"/>
      <c r="E278" s="101"/>
      <c r="F278" s="101"/>
      <c r="G278" s="41">
        <f t="shared" si="1"/>
        <v>0</v>
      </c>
      <c r="H278" s="49" t="str">
        <f t="shared" si="6"/>
        <v/>
      </c>
      <c r="I278" s="43" t="str">
        <f t="shared" si="5"/>
        <v/>
      </c>
      <c r="J278" s="78"/>
      <c r="K278" s="78">
        <f t="shared" si="3"/>
        <v>182</v>
      </c>
      <c r="L278" s="238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</row>
    <row r="279" ht="15.75" customHeight="1">
      <c r="A279" s="97"/>
      <c r="B279" s="98"/>
      <c r="C279" s="113" t="s">
        <v>646</v>
      </c>
      <c r="D279" s="101"/>
      <c r="E279" s="101"/>
      <c r="F279" s="101"/>
      <c r="G279" s="41">
        <f t="shared" si="1"/>
        <v>0</v>
      </c>
      <c r="H279" s="49" t="str">
        <f t="shared" si="6"/>
        <v/>
      </c>
      <c r="I279" s="43" t="str">
        <f t="shared" si="5"/>
        <v/>
      </c>
      <c r="J279" s="78"/>
      <c r="K279" s="78">
        <f t="shared" si="3"/>
        <v>182</v>
      </c>
      <c r="L279" s="238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</row>
    <row r="280" ht="15.75" customHeight="1">
      <c r="A280" s="97"/>
      <c r="B280" s="98"/>
      <c r="C280" s="113" t="s">
        <v>646</v>
      </c>
      <c r="D280" s="101"/>
      <c r="E280" s="101"/>
      <c r="F280" s="101"/>
      <c r="G280" s="41">
        <f t="shared" si="1"/>
        <v>0</v>
      </c>
      <c r="H280" s="49" t="str">
        <f t="shared" si="6"/>
        <v/>
      </c>
      <c r="I280" s="43" t="str">
        <f t="shared" si="5"/>
        <v/>
      </c>
      <c r="J280" s="78"/>
      <c r="K280" s="78">
        <f t="shared" si="3"/>
        <v>182</v>
      </c>
      <c r="L280" s="238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</row>
    <row r="281" ht="15.75" customHeight="1">
      <c r="A281" s="97"/>
      <c r="B281" s="98"/>
      <c r="C281" s="113" t="s">
        <v>646</v>
      </c>
      <c r="D281" s="101"/>
      <c r="E281" s="101"/>
      <c r="F281" s="101"/>
      <c r="G281" s="41">
        <f t="shared" si="1"/>
        <v>0</v>
      </c>
      <c r="H281" s="49" t="str">
        <f t="shared" si="6"/>
        <v/>
      </c>
      <c r="I281" s="43" t="str">
        <f t="shared" si="5"/>
        <v/>
      </c>
      <c r="J281" s="78"/>
      <c r="K281" s="78">
        <f t="shared" si="3"/>
        <v>182</v>
      </c>
      <c r="L281" s="238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</row>
    <row r="282" ht="15.75" customHeight="1">
      <c r="A282" s="97"/>
      <c r="B282" s="98"/>
      <c r="C282" s="113" t="s">
        <v>646</v>
      </c>
      <c r="D282" s="101"/>
      <c r="E282" s="101"/>
      <c r="F282" s="101"/>
      <c r="G282" s="41">
        <f t="shared" si="1"/>
        <v>0</v>
      </c>
      <c r="H282" s="49" t="str">
        <f t="shared" si="6"/>
        <v/>
      </c>
      <c r="I282" s="43" t="str">
        <f t="shared" si="5"/>
        <v/>
      </c>
      <c r="J282" s="78"/>
      <c r="K282" s="78">
        <f t="shared" si="3"/>
        <v>182</v>
      </c>
      <c r="L282" s="238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</row>
    <row r="283" ht="15.75" customHeight="1">
      <c r="A283" s="97"/>
      <c r="B283" s="98"/>
      <c r="C283" s="113" t="s">
        <v>646</v>
      </c>
      <c r="D283" s="101"/>
      <c r="E283" s="101"/>
      <c r="F283" s="101"/>
      <c r="G283" s="41">
        <f t="shared" si="1"/>
        <v>0</v>
      </c>
      <c r="H283" s="49" t="str">
        <f t="shared" si="6"/>
        <v/>
      </c>
      <c r="I283" s="43" t="str">
        <f t="shared" si="5"/>
        <v/>
      </c>
      <c r="J283" s="78"/>
      <c r="K283" s="78">
        <f t="shared" si="3"/>
        <v>182</v>
      </c>
      <c r="L283" s="238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</row>
    <row r="284" ht="15.75" customHeight="1">
      <c r="A284" s="97"/>
      <c r="B284" s="98"/>
      <c r="C284" s="113" t="s">
        <v>646</v>
      </c>
      <c r="D284" s="101"/>
      <c r="E284" s="101"/>
      <c r="F284" s="101"/>
      <c r="G284" s="41">
        <f t="shared" si="1"/>
        <v>0</v>
      </c>
      <c r="H284" s="49" t="str">
        <f t="shared" si="6"/>
        <v/>
      </c>
      <c r="I284" s="43" t="str">
        <f t="shared" si="5"/>
        <v/>
      </c>
      <c r="J284" s="78"/>
      <c r="K284" s="78">
        <f t="shared" si="3"/>
        <v>182</v>
      </c>
      <c r="L284" s="238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</row>
    <row r="285" ht="15.75" customHeight="1">
      <c r="A285" s="97"/>
      <c r="B285" s="98"/>
      <c r="C285" s="113" t="s">
        <v>646</v>
      </c>
      <c r="D285" s="101"/>
      <c r="E285" s="101"/>
      <c r="F285" s="101"/>
      <c r="G285" s="41">
        <f t="shared" si="1"/>
        <v>0</v>
      </c>
      <c r="H285" s="49" t="str">
        <f t="shared" si="6"/>
        <v/>
      </c>
      <c r="I285" s="43" t="str">
        <f t="shared" si="5"/>
        <v/>
      </c>
      <c r="J285" s="78"/>
      <c r="K285" s="78">
        <f t="shared" si="3"/>
        <v>182</v>
      </c>
      <c r="L285" s="238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</row>
    <row r="286" ht="15.75" customHeight="1">
      <c r="A286" s="97"/>
      <c r="B286" s="98"/>
      <c r="C286" s="113" t="s">
        <v>646</v>
      </c>
      <c r="D286" s="101"/>
      <c r="E286" s="101"/>
      <c r="F286" s="101"/>
      <c r="G286" s="41">
        <f t="shared" si="1"/>
        <v>0</v>
      </c>
      <c r="H286" s="49" t="str">
        <f t="shared" si="6"/>
        <v/>
      </c>
      <c r="I286" s="43" t="str">
        <f t="shared" si="5"/>
        <v/>
      </c>
      <c r="J286" s="78"/>
      <c r="K286" s="78">
        <f t="shared" si="3"/>
        <v>182</v>
      </c>
      <c r="L286" s="238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</row>
    <row r="287" ht="15.75" customHeight="1">
      <c r="A287" s="97"/>
      <c r="B287" s="98"/>
      <c r="C287" s="113" t="s">
        <v>646</v>
      </c>
      <c r="D287" s="101"/>
      <c r="E287" s="101"/>
      <c r="F287" s="101"/>
      <c r="G287" s="41">
        <f t="shared" si="1"/>
        <v>0</v>
      </c>
      <c r="H287" s="49" t="str">
        <f t="shared" si="6"/>
        <v/>
      </c>
      <c r="I287" s="43" t="str">
        <f t="shared" si="5"/>
        <v/>
      </c>
      <c r="J287" s="78"/>
      <c r="K287" s="78">
        <f t="shared" si="3"/>
        <v>182</v>
      </c>
      <c r="L287" s="238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</row>
    <row r="288" ht="15.75" customHeight="1">
      <c r="A288" s="97"/>
      <c r="B288" s="98"/>
      <c r="C288" s="113" t="s">
        <v>646</v>
      </c>
      <c r="D288" s="101"/>
      <c r="E288" s="101"/>
      <c r="F288" s="101"/>
      <c r="G288" s="41">
        <f t="shared" si="1"/>
        <v>0</v>
      </c>
      <c r="H288" s="49" t="str">
        <f t="shared" si="6"/>
        <v/>
      </c>
      <c r="I288" s="43" t="str">
        <f t="shared" si="5"/>
        <v/>
      </c>
      <c r="J288" s="78"/>
      <c r="K288" s="78">
        <f t="shared" si="3"/>
        <v>182</v>
      </c>
      <c r="L288" s="238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</row>
    <row r="289" ht="15.75" customHeight="1">
      <c r="A289" s="97"/>
      <c r="B289" s="98"/>
      <c r="C289" s="113" t="s">
        <v>646</v>
      </c>
      <c r="D289" s="101"/>
      <c r="E289" s="101"/>
      <c r="F289" s="101"/>
      <c r="G289" s="41">
        <f t="shared" si="1"/>
        <v>0</v>
      </c>
      <c r="H289" s="49" t="str">
        <f t="shared" si="6"/>
        <v/>
      </c>
      <c r="I289" s="43" t="str">
        <f t="shared" si="5"/>
        <v/>
      </c>
      <c r="J289" s="78"/>
      <c r="K289" s="78">
        <f t="shared" si="3"/>
        <v>182</v>
      </c>
      <c r="L289" s="238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</row>
    <row r="290" ht="15.75" customHeight="1">
      <c r="A290" s="97"/>
      <c r="B290" s="98"/>
      <c r="C290" s="113" t="s">
        <v>646</v>
      </c>
      <c r="D290" s="101"/>
      <c r="E290" s="101"/>
      <c r="F290" s="101"/>
      <c r="G290" s="41">
        <f t="shared" si="1"/>
        <v>0</v>
      </c>
      <c r="H290" s="49" t="str">
        <f t="shared" si="6"/>
        <v/>
      </c>
      <c r="I290" s="43" t="str">
        <f t="shared" si="5"/>
        <v/>
      </c>
      <c r="J290" s="78"/>
      <c r="K290" s="78">
        <f t="shared" si="3"/>
        <v>182</v>
      </c>
      <c r="L290" s="238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</row>
    <row r="291" ht="15.75" customHeight="1">
      <c r="A291" s="97"/>
      <c r="B291" s="98"/>
      <c r="C291" s="113" t="s">
        <v>646</v>
      </c>
      <c r="D291" s="101"/>
      <c r="E291" s="101"/>
      <c r="F291" s="101"/>
      <c r="G291" s="41">
        <f t="shared" si="1"/>
        <v>0</v>
      </c>
      <c r="H291" s="49" t="str">
        <f t="shared" si="6"/>
        <v/>
      </c>
      <c r="I291" s="43" t="str">
        <f t="shared" si="5"/>
        <v/>
      </c>
      <c r="J291" s="78"/>
      <c r="K291" s="78">
        <f t="shared" si="3"/>
        <v>182</v>
      </c>
      <c r="L291" s="238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</row>
    <row r="292" ht="15.75" customHeight="1">
      <c r="A292" s="97"/>
      <c r="B292" s="98"/>
      <c r="C292" s="113" t="s">
        <v>646</v>
      </c>
      <c r="D292" s="101"/>
      <c r="E292" s="101"/>
      <c r="F292" s="101"/>
      <c r="G292" s="41">
        <f t="shared" si="1"/>
        <v>0</v>
      </c>
      <c r="H292" s="49" t="str">
        <f t="shared" si="6"/>
        <v/>
      </c>
      <c r="I292" s="43" t="str">
        <f t="shared" si="5"/>
        <v/>
      </c>
      <c r="J292" s="78"/>
      <c r="K292" s="78">
        <f t="shared" si="3"/>
        <v>182</v>
      </c>
      <c r="L292" s="238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</row>
    <row r="293" ht="15.75" customHeight="1">
      <c r="A293" s="97"/>
      <c r="B293" s="98"/>
      <c r="C293" s="113" t="s">
        <v>646</v>
      </c>
      <c r="D293" s="101"/>
      <c r="E293" s="101"/>
      <c r="F293" s="101"/>
      <c r="G293" s="41">
        <f t="shared" si="1"/>
        <v>0</v>
      </c>
      <c r="H293" s="49" t="str">
        <f t="shared" si="6"/>
        <v/>
      </c>
      <c r="I293" s="43" t="str">
        <f t="shared" si="5"/>
        <v/>
      </c>
      <c r="J293" s="78"/>
      <c r="K293" s="78">
        <f t="shared" si="3"/>
        <v>182</v>
      </c>
      <c r="L293" s="238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</row>
    <row r="294" ht="15.75" customHeight="1">
      <c r="A294" s="97"/>
      <c r="B294" s="98"/>
      <c r="C294" s="113" t="s">
        <v>646</v>
      </c>
      <c r="D294" s="101"/>
      <c r="E294" s="101"/>
      <c r="F294" s="101"/>
      <c r="G294" s="41">
        <f t="shared" si="1"/>
        <v>0</v>
      </c>
      <c r="H294" s="49" t="str">
        <f t="shared" si="6"/>
        <v/>
      </c>
      <c r="I294" s="43" t="str">
        <f t="shared" si="5"/>
        <v/>
      </c>
      <c r="J294" s="78"/>
      <c r="K294" s="78">
        <f t="shared" si="3"/>
        <v>182</v>
      </c>
      <c r="L294" s="238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</row>
    <row r="295" ht="15.75" customHeight="1">
      <c r="A295" s="97"/>
      <c r="B295" s="98"/>
      <c r="C295" s="113" t="s">
        <v>646</v>
      </c>
      <c r="D295" s="101"/>
      <c r="E295" s="101"/>
      <c r="F295" s="101"/>
      <c r="G295" s="41">
        <f t="shared" si="1"/>
        <v>0</v>
      </c>
      <c r="H295" s="49" t="str">
        <f t="shared" si="6"/>
        <v/>
      </c>
      <c r="I295" s="43" t="str">
        <f t="shared" si="5"/>
        <v/>
      </c>
      <c r="J295" s="78"/>
      <c r="K295" s="78">
        <f t="shared" si="3"/>
        <v>182</v>
      </c>
      <c r="L295" s="238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</row>
    <row r="296" ht="15.75" customHeight="1">
      <c r="A296" s="97"/>
      <c r="B296" s="98"/>
      <c r="C296" s="113" t="s">
        <v>646</v>
      </c>
      <c r="D296" s="101"/>
      <c r="E296" s="101"/>
      <c r="F296" s="101"/>
      <c r="G296" s="41">
        <f t="shared" si="1"/>
        <v>0</v>
      </c>
      <c r="H296" s="49" t="str">
        <f t="shared" si="6"/>
        <v/>
      </c>
      <c r="I296" s="43" t="str">
        <f t="shared" si="5"/>
        <v/>
      </c>
      <c r="J296" s="78"/>
      <c r="K296" s="78">
        <f t="shared" si="3"/>
        <v>182</v>
      </c>
      <c r="L296" s="238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</row>
    <row r="297" ht="15.75" customHeight="1">
      <c r="A297" s="97"/>
      <c r="B297" s="98"/>
      <c r="C297" s="113" t="s">
        <v>646</v>
      </c>
      <c r="D297" s="101"/>
      <c r="E297" s="101"/>
      <c r="F297" s="101"/>
      <c r="G297" s="41">
        <f t="shared" si="1"/>
        <v>0</v>
      </c>
      <c r="H297" s="49" t="str">
        <f t="shared" si="6"/>
        <v/>
      </c>
      <c r="I297" s="43" t="str">
        <f t="shared" si="5"/>
        <v/>
      </c>
      <c r="J297" s="78"/>
      <c r="K297" s="78">
        <f t="shared" si="3"/>
        <v>182</v>
      </c>
      <c r="L297" s="238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</row>
    <row r="298" ht="15.75" customHeight="1">
      <c r="A298" s="97"/>
      <c r="B298" s="98"/>
      <c r="C298" s="113" t="s">
        <v>646</v>
      </c>
      <c r="D298" s="101"/>
      <c r="E298" s="101"/>
      <c r="F298" s="101"/>
      <c r="G298" s="41">
        <f t="shared" si="1"/>
        <v>0</v>
      </c>
      <c r="H298" s="49" t="str">
        <f t="shared" si="6"/>
        <v/>
      </c>
      <c r="I298" s="43" t="str">
        <f t="shared" si="5"/>
        <v/>
      </c>
      <c r="J298" s="78"/>
      <c r="K298" s="78">
        <f t="shared" si="3"/>
        <v>182</v>
      </c>
      <c r="L298" s="238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</row>
    <row r="299" ht="15.75" customHeight="1">
      <c r="A299" s="97"/>
      <c r="B299" s="98"/>
      <c r="C299" s="113" t="s">
        <v>646</v>
      </c>
      <c r="D299" s="101"/>
      <c r="E299" s="101"/>
      <c r="F299" s="101"/>
      <c r="G299" s="41">
        <f t="shared" si="1"/>
        <v>0</v>
      </c>
      <c r="H299" s="49" t="str">
        <f t="shared" si="6"/>
        <v/>
      </c>
      <c r="I299" s="43" t="str">
        <f t="shared" si="5"/>
        <v/>
      </c>
      <c r="J299" s="78"/>
      <c r="K299" s="78">
        <f t="shared" si="3"/>
        <v>182</v>
      </c>
      <c r="L299" s="238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</row>
    <row r="300" ht="15.75" customHeight="1">
      <c r="A300" s="97"/>
      <c r="B300" s="98"/>
      <c r="C300" s="113" t="s">
        <v>646</v>
      </c>
      <c r="D300" s="101"/>
      <c r="E300" s="101"/>
      <c r="F300" s="101"/>
      <c r="G300" s="41">
        <f t="shared" si="1"/>
        <v>0</v>
      </c>
      <c r="H300" s="49" t="str">
        <f t="shared" si="6"/>
        <v/>
      </c>
      <c r="I300" s="43" t="str">
        <f t="shared" si="5"/>
        <v/>
      </c>
      <c r="J300" s="78"/>
      <c r="K300" s="78">
        <f t="shared" si="3"/>
        <v>182</v>
      </c>
      <c r="L300" s="238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</row>
    <row r="301" ht="15.75" customHeight="1">
      <c r="A301" s="97"/>
      <c r="B301" s="98"/>
      <c r="C301" s="113" t="s">
        <v>646</v>
      </c>
      <c r="D301" s="101"/>
      <c r="E301" s="101"/>
      <c r="F301" s="101"/>
      <c r="G301" s="41">
        <f t="shared" si="1"/>
        <v>0</v>
      </c>
      <c r="H301" s="49" t="str">
        <f t="shared" si="6"/>
        <v/>
      </c>
      <c r="I301" s="43" t="str">
        <f t="shared" si="5"/>
        <v/>
      </c>
      <c r="J301" s="78"/>
      <c r="K301" s="78">
        <f t="shared" si="3"/>
        <v>182</v>
      </c>
      <c r="L301" s="238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</row>
    <row r="302" ht="15.75" customHeight="1">
      <c r="A302" s="97"/>
      <c r="B302" s="98"/>
      <c r="C302" s="113" t="s">
        <v>646</v>
      </c>
      <c r="D302" s="101"/>
      <c r="E302" s="101"/>
      <c r="F302" s="101"/>
      <c r="G302" s="41">
        <f t="shared" si="1"/>
        <v>0</v>
      </c>
      <c r="H302" s="49" t="str">
        <f t="shared" si="6"/>
        <v/>
      </c>
      <c r="I302" s="43" t="str">
        <f t="shared" si="5"/>
        <v/>
      </c>
      <c r="J302" s="78"/>
      <c r="K302" s="78">
        <f t="shared" si="3"/>
        <v>182</v>
      </c>
      <c r="L302" s="238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</row>
    <row r="303" ht="15.75" customHeight="1">
      <c r="A303" s="97"/>
      <c r="B303" s="98"/>
      <c r="C303" s="113" t="s">
        <v>646</v>
      </c>
      <c r="D303" s="101"/>
      <c r="E303" s="101"/>
      <c r="F303" s="101"/>
      <c r="G303" s="41">
        <f t="shared" si="1"/>
        <v>0</v>
      </c>
      <c r="H303" s="49" t="str">
        <f t="shared" si="6"/>
        <v/>
      </c>
      <c r="I303" s="43" t="str">
        <f t="shared" si="5"/>
        <v/>
      </c>
      <c r="J303" s="78"/>
      <c r="K303" s="78">
        <f t="shared" si="3"/>
        <v>182</v>
      </c>
      <c r="L303" s="238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</row>
    <row r="304" ht="15.75" customHeight="1">
      <c r="A304" s="97"/>
      <c r="B304" s="98"/>
      <c r="C304" s="113" t="s">
        <v>646</v>
      </c>
      <c r="D304" s="101"/>
      <c r="E304" s="101"/>
      <c r="F304" s="101"/>
      <c r="G304" s="41">
        <f t="shared" si="1"/>
        <v>0</v>
      </c>
      <c r="H304" s="49" t="str">
        <f t="shared" si="6"/>
        <v/>
      </c>
      <c r="I304" s="43" t="str">
        <f t="shared" si="5"/>
        <v/>
      </c>
      <c r="J304" s="78"/>
      <c r="K304" s="78">
        <f t="shared" si="3"/>
        <v>182</v>
      </c>
      <c r="L304" s="238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</row>
    <row r="305" ht="15.75" customHeight="1">
      <c r="A305" s="97"/>
      <c r="B305" s="98"/>
      <c r="C305" s="113" t="s">
        <v>646</v>
      </c>
      <c r="D305" s="101"/>
      <c r="E305" s="101"/>
      <c r="F305" s="101"/>
      <c r="G305" s="41">
        <f t="shared" si="1"/>
        <v>0</v>
      </c>
      <c r="H305" s="49" t="str">
        <f t="shared" si="6"/>
        <v/>
      </c>
      <c r="I305" s="43" t="str">
        <f t="shared" si="5"/>
        <v/>
      </c>
      <c r="J305" s="78"/>
      <c r="K305" s="78">
        <f t="shared" si="3"/>
        <v>182</v>
      </c>
      <c r="L305" s="238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</row>
    <row r="306" ht="15.75" customHeight="1">
      <c r="A306" s="97"/>
      <c r="B306" s="98"/>
      <c r="C306" s="113" t="s">
        <v>646</v>
      </c>
      <c r="D306" s="101"/>
      <c r="E306" s="101"/>
      <c r="F306" s="101"/>
      <c r="G306" s="41">
        <f t="shared" si="1"/>
        <v>0</v>
      </c>
      <c r="H306" s="49" t="str">
        <f t="shared" si="6"/>
        <v/>
      </c>
      <c r="I306" s="43" t="str">
        <f t="shared" si="5"/>
        <v/>
      </c>
      <c r="J306" s="78"/>
      <c r="K306" s="78">
        <f t="shared" si="3"/>
        <v>182</v>
      </c>
      <c r="L306" s="238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</row>
    <row r="307" ht="15.75" customHeight="1">
      <c r="A307" s="97"/>
      <c r="B307" s="98"/>
      <c r="C307" s="113" t="s">
        <v>646</v>
      </c>
      <c r="D307" s="101"/>
      <c r="E307" s="101"/>
      <c r="F307" s="101"/>
      <c r="G307" s="41">
        <f t="shared" si="1"/>
        <v>0</v>
      </c>
      <c r="H307" s="49" t="str">
        <f t="shared" si="6"/>
        <v/>
      </c>
      <c r="I307" s="43" t="str">
        <f t="shared" si="5"/>
        <v/>
      </c>
      <c r="J307" s="78"/>
      <c r="K307" s="78">
        <f t="shared" si="3"/>
        <v>182</v>
      </c>
      <c r="L307" s="238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</row>
    <row r="308" ht="15.75" customHeight="1">
      <c r="A308" s="97"/>
      <c r="B308" s="98"/>
      <c r="C308" s="113" t="s">
        <v>646</v>
      </c>
      <c r="D308" s="101"/>
      <c r="E308" s="101"/>
      <c r="F308" s="101"/>
      <c r="G308" s="41">
        <f t="shared" si="1"/>
        <v>0</v>
      </c>
      <c r="H308" s="49" t="str">
        <f t="shared" si="6"/>
        <v/>
      </c>
      <c r="I308" s="43" t="str">
        <f t="shared" si="5"/>
        <v/>
      </c>
      <c r="J308" s="78"/>
      <c r="K308" s="78">
        <f t="shared" si="3"/>
        <v>182</v>
      </c>
      <c r="L308" s="238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</row>
    <row r="309" ht="15.75" customHeight="1">
      <c r="A309" s="97"/>
      <c r="B309" s="98"/>
      <c r="C309" s="113" t="s">
        <v>646</v>
      </c>
      <c r="D309" s="101"/>
      <c r="E309" s="101"/>
      <c r="F309" s="101"/>
      <c r="G309" s="41">
        <f t="shared" si="1"/>
        <v>0</v>
      </c>
      <c r="H309" s="49" t="str">
        <f t="shared" si="6"/>
        <v/>
      </c>
      <c r="I309" s="43" t="str">
        <f t="shared" si="5"/>
        <v/>
      </c>
      <c r="J309" s="78"/>
      <c r="K309" s="78">
        <f t="shared" si="3"/>
        <v>182</v>
      </c>
      <c r="L309" s="238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</row>
    <row r="310" ht="15.75" customHeight="1">
      <c r="A310" s="97"/>
      <c r="B310" s="98"/>
      <c r="C310" s="113" t="s">
        <v>646</v>
      </c>
      <c r="D310" s="101"/>
      <c r="E310" s="101"/>
      <c r="F310" s="101"/>
      <c r="G310" s="41">
        <f t="shared" si="1"/>
        <v>0</v>
      </c>
      <c r="H310" s="49" t="str">
        <f t="shared" si="6"/>
        <v/>
      </c>
      <c r="I310" s="43" t="str">
        <f t="shared" si="5"/>
        <v/>
      </c>
      <c r="J310" s="78"/>
      <c r="K310" s="78">
        <f t="shared" si="3"/>
        <v>182</v>
      </c>
      <c r="L310" s="238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</row>
    <row r="311" ht="15.75" customHeight="1">
      <c r="A311" s="97"/>
      <c r="B311" s="98"/>
      <c r="C311" s="113" t="s">
        <v>646</v>
      </c>
      <c r="D311" s="101"/>
      <c r="E311" s="101"/>
      <c r="F311" s="101"/>
      <c r="G311" s="41">
        <f t="shared" si="1"/>
        <v>0</v>
      </c>
      <c r="H311" s="49" t="str">
        <f t="shared" si="6"/>
        <v/>
      </c>
      <c r="I311" s="43" t="str">
        <f t="shared" si="5"/>
        <v/>
      </c>
      <c r="J311" s="78"/>
      <c r="K311" s="78">
        <f t="shared" si="3"/>
        <v>182</v>
      </c>
      <c r="L311" s="238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</row>
    <row r="312" ht="15.75" customHeight="1">
      <c r="A312" s="97"/>
      <c r="B312" s="98"/>
      <c r="C312" s="113" t="s">
        <v>646</v>
      </c>
      <c r="D312" s="101"/>
      <c r="E312" s="101"/>
      <c r="F312" s="101"/>
      <c r="G312" s="41">
        <f t="shared" si="1"/>
        <v>0</v>
      </c>
      <c r="H312" s="49" t="str">
        <f t="shared" si="6"/>
        <v/>
      </c>
      <c r="I312" s="43" t="str">
        <f t="shared" si="5"/>
        <v/>
      </c>
      <c r="J312" s="78"/>
      <c r="K312" s="78">
        <f t="shared" si="3"/>
        <v>182</v>
      </c>
      <c r="L312" s="238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</row>
    <row r="313" ht="15.75" customHeight="1">
      <c r="A313" s="97"/>
      <c r="B313" s="98"/>
      <c r="C313" s="113" t="s">
        <v>646</v>
      </c>
      <c r="D313" s="101"/>
      <c r="E313" s="101"/>
      <c r="F313" s="101"/>
      <c r="G313" s="41">
        <f t="shared" si="1"/>
        <v>0</v>
      </c>
      <c r="H313" s="49" t="str">
        <f t="shared" si="6"/>
        <v/>
      </c>
      <c r="I313" s="43" t="str">
        <f t="shared" si="5"/>
        <v/>
      </c>
      <c r="J313" s="78"/>
      <c r="K313" s="78">
        <f t="shared" si="3"/>
        <v>182</v>
      </c>
      <c r="L313" s="238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</row>
    <row r="314" ht="15.75" customHeight="1">
      <c r="A314" s="97"/>
      <c r="B314" s="98"/>
      <c r="C314" s="113" t="s">
        <v>646</v>
      </c>
      <c r="D314" s="101"/>
      <c r="E314" s="101"/>
      <c r="F314" s="101"/>
      <c r="G314" s="41">
        <f t="shared" si="1"/>
        <v>0</v>
      </c>
      <c r="H314" s="49" t="str">
        <f t="shared" si="6"/>
        <v/>
      </c>
      <c r="I314" s="43" t="str">
        <f t="shared" si="5"/>
        <v/>
      </c>
      <c r="J314" s="78"/>
      <c r="K314" s="78">
        <f t="shared" si="3"/>
        <v>182</v>
      </c>
      <c r="L314" s="238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</row>
    <row r="315" ht="15.75" customHeight="1">
      <c r="A315" s="97"/>
      <c r="B315" s="98"/>
      <c r="C315" s="113" t="s">
        <v>646</v>
      </c>
      <c r="D315" s="101"/>
      <c r="E315" s="101"/>
      <c r="F315" s="101"/>
      <c r="G315" s="41">
        <f t="shared" si="1"/>
        <v>0</v>
      </c>
      <c r="H315" s="49" t="str">
        <f t="shared" si="6"/>
        <v/>
      </c>
      <c r="I315" s="43" t="str">
        <f t="shared" si="5"/>
        <v/>
      </c>
      <c r="J315" s="78"/>
      <c r="K315" s="78">
        <f t="shared" si="3"/>
        <v>182</v>
      </c>
      <c r="L315" s="238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</row>
    <row r="316" ht="15.75" customHeight="1">
      <c r="A316" s="97"/>
      <c r="B316" s="98"/>
      <c r="C316" s="113" t="s">
        <v>646</v>
      </c>
      <c r="D316" s="101"/>
      <c r="E316" s="101"/>
      <c r="F316" s="101"/>
      <c r="G316" s="41">
        <f t="shared" si="1"/>
        <v>0</v>
      </c>
      <c r="H316" s="49" t="str">
        <f t="shared" si="6"/>
        <v/>
      </c>
      <c r="I316" s="43" t="str">
        <f t="shared" si="5"/>
        <v/>
      </c>
      <c r="J316" s="78"/>
      <c r="K316" s="78">
        <f t="shared" si="3"/>
        <v>182</v>
      </c>
      <c r="L316" s="238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</row>
    <row r="317" ht="15.75" customHeight="1">
      <c r="A317" s="97"/>
      <c r="B317" s="98"/>
      <c r="C317" s="113" t="s">
        <v>646</v>
      </c>
      <c r="D317" s="101"/>
      <c r="E317" s="101"/>
      <c r="F317" s="101"/>
      <c r="G317" s="41">
        <f t="shared" si="1"/>
        <v>0</v>
      </c>
      <c r="H317" s="49" t="str">
        <f t="shared" si="6"/>
        <v/>
      </c>
      <c r="I317" s="43" t="str">
        <f t="shared" si="5"/>
        <v/>
      </c>
      <c r="J317" s="78"/>
      <c r="K317" s="78">
        <f t="shared" si="3"/>
        <v>182</v>
      </c>
      <c r="L317" s="238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</row>
    <row r="318" ht="15.75" customHeight="1">
      <c r="A318" s="97"/>
      <c r="B318" s="98"/>
      <c r="C318" s="113" t="s">
        <v>646</v>
      </c>
      <c r="D318" s="101"/>
      <c r="E318" s="101"/>
      <c r="F318" s="101"/>
      <c r="G318" s="41">
        <f t="shared" si="1"/>
        <v>0</v>
      </c>
      <c r="H318" s="49" t="str">
        <f t="shared" si="6"/>
        <v/>
      </c>
      <c r="I318" s="43" t="str">
        <f t="shared" si="5"/>
        <v/>
      </c>
      <c r="J318" s="78"/>
      <c r="K318" s="78">
        <f t="shared" si="3"/>
        <v>182</v>
      </c>
      <c r="L318" s="238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</row>
    <row r="319" ht="15.75" customHeight="1">
      <c r="A319" s="97"/>
      <c r="B319" s="98"/>
      <c r="C319" s="113" t="s">
        <v>646</v>
      </c>
      <c r="D319" s="101"/>
      <c r="E319" s="101"/>
      <c r="F319" s="101"/>
      <c r="G319" s="41">
        <f t="shared" si="1"/>
        <v>0</v>
      </c>
      <c r="H319" s="49" t="str">
        <f t="shared" si="6"/>
        <v/>
      </c>
      <c r="I319" s="43" t="str">
        <f t="shared" si="5"/>
        <v/>
      </c>
      <c r="J319" s="78"/>
      <c r="K319" s="78">
        <f t="shared" si="3"/>
        <v>182</v>
      </c>
      <c r="L319" s="238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</row>
    <row r="320" ht="15.75" customHeight="1">
      <c r="A320" s="97"/>
      <c r="B320" s="98"/>
      <c r="C320" s="113" t="s">
        <v>646</v>
      </c>
      <c r="D320" s="101"/>
      <c r="E320" s="101"/>
      <c r="F320" s="101"/>
      <c r="G320" s="41">
        <f t="shared" si="1"/>
        <v>0</v>
      </c>
      <c r="H320" s="49" t="str">
        <f t="shared" si="6"/>
        <v/>
      </c>
      <c r="I320" s="43" t="str">
        <f t="shared" si="5"/>
        <v/>
      </c>
      <c r="J320" s="78"/>
      <c r="K320" s="78">
        <f t="shared" si="3"/>
        <v>182</v>
      </c>
      <c r="L320" s="238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</row>
    <row r="321" ht="15.75" customHeight="1">
      <c r="A321" s="97"/>
      <c r="B321" s="98"/>
      <c r="C321" s="113" t="s">
        <v>646</v>
      </c>
      <c r="D321" s="101"/>
      <c r="E321" s="101"/>
      <c r="F321" s="101"/>
      <c r="G321" s="41">
        <f t="shared" si="1"/>
        <v>0</v>
      </c>
      <c r="H321" s="49" t="str">
        <f t="shared" si="6"/>
        <v/>
      </c>
      <c r="I321" s="43" t="str">
        <f t="shared" si="5"/>
        <v/>
      </c>
      <c r="J321" s="78"/>
      <c r="K321" s="78">
        <f t="shared" si="3"/>
        <v>182</v>
      </c>
      <c r="L321" s="238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</row>
    <row r="322" ht="15.75" customHeight="1">
      <c r="A322" s="97"/>
      <c r="B322" s="98"/>
      <c r="C322" s="113" t="s">
        <v>646</v>
      </c>
      <c r="D322" s="101"/>
      <c r="E322" s="101"/>
      <c r="F322" s="101"/>
      <c r="G322" s="41">
        <f t="shared" si="1"/>
        <v>0</v>
      </c>
      <c r="H322" s="49" t="str">
        <f t="shared" si="6"/>
        <v/>
      </c>
      <c r="I322" s="43" t="str">
        <f t="shared" si="5"/>
        <v/>
      </c>
      <c r="J322" s="78"/>
      <c r="K322" s="78">
        <f t="shared" si="3"/>
        <v>182</v>
      </c>
      <c r="L322" s="238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</row>
    <row r="323" ht="15.75" customHeight="1">
      <c r="A323" s="97"/>
      <c r="B323" s="98"/>
      <c r="C323" s="113" t="s">
        <v>646</v>
      </c>
      <c r="D323" s="101"/>
      <c r="E323" s="101"/>
      <c r="F323" s="101"/>
      <c r="G323" s="41">
        <f t="shared" si="1"/>
        <v>0</v>
      </c>
      <c r="H323" s="49" t="str">
        <f t="shared" si="6"/>
        <v/>
      </c>
      <c r="I323" s="43" t="str">
        <f t="shared" si="5"/>
        <v/>
      </c>
      <c r="J323" s="78"/>
      <c r="K323" s="78">
        <f t="shared" si="3"/>
        <v>182</v>
      </c>
      <c r="L323" s="238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</row>
    <row r="324" ht="15.75" customHeight="1">
      <c r="A324" s="97"/>
      <c r="B324" s="98"/>
      <c r="C324" s="113" t="s">
        <v>646</v>
      </c>
      <c r="D324" s="101"/>
      <c r="E324" s="101"/>
      <c r="F324" s="101"/>
      <c r="G324" s="41">
        <f t="shared" si="1"/>
        <v>0</v>
      </c>
      <c r="H324" s="49" t="str">
        <f t="shared" si="6"/>
        <v/>
      </c>
      <c r="I324" s="43" t="str">
        <f t="shared" si="5"/>
        <v/>
      </c>
      <c r="J324" s="78"/>
      <c r="K324" s="78">
        <f t="shared" si="3"/>
        <v>182</v>
      </c>
      <c r="L324" s="238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</row>
    <row r="325" ht="15.75" customHeight="1">
      <c r="A325" s="97"/>
      <c r="B325" s="98"/>
      <c r="C325" s="113" t="s">
        <v>646</v>
      </c>
      <c r="D325" s="101"/>
      <c r="E325" s="101"/>
      <c r="F325" s="101"/>
      <c r="G325" s="41">
        <f t="shared" si="1"/>
        <v>0</v>
      </c>
      <c r="H325" s="49" t="str">
        <f t="shared" si="6"/>
        <v/>
      </c>
      <c r="I325" s="43" t="str">
        <f t="shared" si="5"/>
        <v/>
      </c>
      <c r="J325" s="78"/>
      <c r="K325" s="78">
        <f t="shared" si="3"/>
        <v>182</v>
      </c>
      <c r="L325" s="238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</row>
    <row r="326" ht="15.75" customHeight="1">
      <c r="A326" s="97"/>
      <c r="B326" s="98"/>
      <c r="C326" s="113" t="s">
        <v>646</v>
      </c>
      <c r="D326" s="101"/>
      <c r="E326" s="101"/>
      <c r="F326" s="101"/>
      <c r="G326" s="41">
        <f t="shared" si="1"/>
        <v>0</v>
      </c>
      <c r="H326" s="49" t="str">
        <f t="shared" si="6"/>
        <v/>
      </c>
      <c r="I326" s="43" t="str">
        <f t="shared" si="5"/>
        <v/>
      </c>
      <c r="J326" s="78"/>
      <c r="K326" s="78">
        <f t="shared" si="3"/>
        <v>182</v>
      </c>
      <c r="L326" s="238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</row>
    <row r="327" ht="15.75" customHeight="1">
      <c r="A327" s="97"/>
      <c r="B327" s="98"/>
      <c r="C327" s="113" t="s">
        <v>646</v>
      </c>
      <c r="D327" s="101"/>
      <c r="E327" s="101"/>
      <c r="F327" s="101"/>
      <c r="G327" s="41">
        <f t="shared" si="1"/>
        <v>0</v>
      </c>
      <c r="H327" s="49" t="str">
        <f t="shared" si="6"/>
        <v/>
      </c>
      <c r="I327" s="43" t="str">
        <f t="shared" si="5"/>
        <v/>
      </c>
      <c r="J327" s="78"/>
      <c r="K327" s="78">
        <f t="shared" si="3"/>
        <v>182</v>
      </c>
      <c r="L327" s="238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</row>
    <row r="328" ht="15.75" customHeight="1">
      <c r="A328" s="97"/>
      <c r="B328" s="98"/>
      <c r="C328" s="113" t="s">
        <v>646</v>
      </c>
      <c r="D328" s="101"/>
      <c r="E328" s="101"/>
      <c r="F328" s="101"/>
      <c r="G328" s="41">
        <f t="shared" si="1"/>
        <v>0</v>
      </c>
      <c r="H328" s="49" t="str">
        <f t="shared" si="6"/>
        <v/>
      </c>
      <c r="I328" s="43" t="str">
        <f t="shared" si="5"/>
        <v/>
      </c>
      <c r="J328" s="78"/>
      <c r="K328" s="78">
        <f t="shared" si="3"/>
        <v>182</v>
      </c>
      <c r="L328" s="238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</row>
    <row r="329" ht="15.75" customHeight="1">
      <c r="A329" s="97"/>
      <c r="B329" s="98"/>
      <c r="C329" s="113" t="s">
        <v>646</v>
      </c>
      <c r="D329" s="101"/>
      <c r="E329" s="101"/>
      <c r="F329" s="101"/>
      <c r="G329" s="41">
        <f t="shared" si="1"/>
        <v>0</v>
      </c>
      <c r="H329" s="49" t="str">
        <f t="shared" si="6"/>
        <v/>
      </c>
      <c r="I329" s="43" t="str">
        <f t="shared" si="5"/>
        <v/>
      </c>
      <c r="J329" s="78"/>
      <c r="K329" s="78">
        <f t="shared" si="3"/>
        <v>182</v>
      </c>
      <c r="L329" s="238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</row>
    <row r="330" ht="15.75" customHeight="1">
      <c r="A330" s="97"/>
      <c r="B330" s="98"/>
      <c r="C330" s="113" t="s">
        <v>646</v>
      </c>
      <c r="D330" s="101"/>
      <c r="E330" s="101"/>
      <c r="F330" s="101"/>
      <c r="G330" s="41">
        <f t="shared" si="1"/>
        <v>0</v>
      </c>
      <c r="H330" s="49" t="str">
        <f t="shared" si="6"/>
        <v/>
      </c>
      <c r="I330" s="43" t="str">
        <f t="shared" si="5"/>
        <v/>
      </c>
      <c r="J330" s="78"/>
      <c r="K330" s="78">
        <f t="shared" si="3"/>
        <v>182</v>
      </c>
      <c r="L330" s="238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</row>
    <row r="331" ht="15.75" customHeight="1">
      <c r="A331" s="97"/>
      <c r="B331" s="98"/>
      <c r="C331" s="113" t="s">
        <v>646</v>
      </c>
      <c r="D331" s="101"/>
      <c r="E331" s="101"/>
      <c r="F331" s="101"/>
      <c r="G331" s="41">
        <f t="shared" si="1"/>
        <v>0</v>
      </c>
      <c r="H331" s="49" t="str">
        <f t="shared" si="6"/>
        <v/>
      </c>
      <c r="I331" s="43" t="str">
        <f t="shared" si="5"/>
        <v/>
      </c>
      <c r="J331" s="78"/>
      <c r="K331" s="78">
        <f t="shared" si="3"/>
        <v>182</v>
      </c>
      <c r="L331" s="238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</row>
    <row r="332" ht="15.75" customHeight="1">
      <c r="A332" s="97"/>
      <c r="B332" s="98"/>
      <c r="C332" s="113" t="s">
        <v>646</v>
      </c>
      <c r="D332" s="101"/>
      <c r="E332" s="101"/>
      <c r="F332" s="101"/>
      <c r="G332" s="41">
        <f t="shared" si="1"/>
        <v>0</v>
      </c>
      <c r="H332" s="49" t="str">
        <f t="shared" si="6"/>
        <v/>
      </c>
      <c r="I332" s="43" t="str">
        <f t="shared" si="5"/>
        <v/>
      </c>
      <c r="J332" s="78"/>
      <c r="K332" s="78">
        <f t="shared" si="3"/>
        <v>182</v>
      </c>
      <c r="L332" s="238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</row>
    <row r="333" ht="15.75" customHeight="1">
      <c r="A333" s="97"/>
      <c r="B333" s="98"/>
      <c r="C333" s="113" t="s">
        <v>646</v>
      </c>
      <c r="D333" s="101"/>
      <c r="E333" s="101"/>
      <c r="F333" s="101"/>
      <c r="G333" s="41">
        <f t="shared" si="1"/>
        <v>0</v>
      </c>
      <c r="H333" s="49" t="str">
        <f t="shared" si="6"/>
        <v/>
      </c>
      <c r="I333" s="43" t="str">
        <f t="shared" si="5"/>
        <v/>
      </c>
      <c r="J333" s="78"/>
      <c r="K333" s="78">
        <f t="shared" si="3"/>
        <v>182</v>
      </c>
      <c r="L333" s="238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</row>
    <row r="334" ht="15.75" customHeight="1">
      <c r="A334" s="97"/>
      <c r="B334" s="98"/>
      <c r="C334" s="113" t="s">
        <v>646</v>
      </c>
      <c r="D334" s="101"/>
      <c r="E334" s="101"/>
      <c r="F334" s="101"/>
      <c r="G334" s="41">
        <f t="shared" si="1"/>
        <v>0</v>
      </c>
      <c r="H334" s="49" t="str">
        <f t="shared" si="6"/>
        <v/>
      </c>
      <c r="I334" s="43" t="str">
        <f t="shared" si="5"/>
        <v/>
      </c>
      <c r="J334" s="78"/>
      <c r="K334" s="78">
        <f t="shared" si="3"/>
        <v>182</v>
      </c>
      <c r="L334" s="238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</row>
    <row r="335" ht="15.75" customHeight="1">
      <c r="A335" s="97"/>
      <c r="B335" s="98"/>
      <c r="C335" s="113" t="s">
        <v>646</v>
      </c>
      <c r="D335" s="101"/>
      <c r="E335" s="101"/>
      <c r="F335" s="101"/>
      <c r="G335" s="41">
        <f t="shared" si="1"/>
        <v>0</v>
      </c>
      <c r="H335" s="49" t="str">
        <f t="shared" si="6"/>
        <v/>
      </c>
      <c r="I335" s="43" t="str">
        <f t="shared" si="5"/>
        <v/>
      </c>
      <c r="J335" s="78"/>
      <c r="K335" s="78">
        <f t="shared" si="3"/>
        <v>182</v>
      </c>
      <c r="L335" s="238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</row>
    <row r="336" ht="15.75" customHeight="1">
      <c r="A336" s="97"/>
      <c r="B336" s="98"/>
      <c r="C336" s="113" t="s">
        <v>646</v>
      </c>
      <c r="D336" s="101"/>
      <c r="E336" s="101"/>
      <c r="F336" s="101"/>
      <c r="G336" s="41">
        <f t="shared" si="1"/>
        <v>0</v>
      </c>
      <c r="H336" s="49" t="str">
        <f t="shared" si="6"/>
        <v/>
      </c>
      <c r="I336" s="43" t="str">
        <f t="shared" si="5"/>
        <v/>
      </c>
      <c r="J336" s="78"/>
      <c r="K336" s="78">
        <f t="shared" si="3"/>
        <v>182</v>
      </c>
      <c r="L336" s="238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</row>
    <row r="337" ht="15.75" customHeight="1">
      <c r="A337" s="97"/>
      <c r="B337" s="98"/>
      <c r="C337" s="113" t="s">
        <v>646</v>
      </c>
      <c r="D337" s="101"/>
      <c r="E337" s="101"/>
      <c r="F337" s="101"/>
      <c r="G337" s="41">
        <f t="shared" si="1"/>
        <v>0</v>
      </c>
      <c r="H337" s="49" t="str">
        <f t="shared" si="6"/>
        <v/>
      </c>
      <c r="I337" s="43" t="str">
        <f t="shared" si="5"/>
        <v/>
      </c>
      <c r="J337" s="78"/>
      <c r="K337" s="78">
        <f t="shared" si="3"/>
        <v>182</v>
      </c>
      <c r="L337" s="238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</row>
    <row r="338" ht="15.75" customHeight="1">
      <c r="A338" s="97"/>
      <c r="B338" s="98"/>
      <c r="C338" s="113" t="s">
        <v>646</v>
      </c>
      <c r="D338" s="101"/>
      <c r="E338" s="101"/>
      <c r="F338" s="101"/>
      <c r="G338" s="41">
        <f t="shared" si="1"/>
        <v>0</v>
      </c>
      <c r="H338" s="49" t="str">
        <f t="shared" si="6"/>
        <v/>
      </c>
      <c r="I338" s="43" t="str">
        <f t="shared" si="5"/>
        <v/>
      </c>
      <c r="J338" s="78"/>
      <c r="K338" s="78">
        <f t="shared" si="3"/>
        <v>182</v>
      </c>
      <c r="L338" s="238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</row>
    <row r="339" ht="15.75" customHeight="1">
      <c r="A339" s="97"/>
      <c r="B339" s="98"/>
      <c r="C339" s="113" t="s">
        <v>646</v>
      </c>
      <c r="D339" s="101"/>
      <c r="E339" s="101"/>
      <c r="F339" s="101"/>
      <c r="G339" s="41">
        <f t="shared" si="1"/>
        <v>0</v>
      </c>
      <c r="H339" s="49" t="str">
        <f t="shared" si="6"/>
        <v/>
      </c>
      <c r="I339" s="43" t="str">
        <f t="shared" si="5"/>
        <v/>
      </c>
      <c r="J339" s="78"/>
      <c r="K339" s="78">
        <f t="shared" si="3"/>
        <v>182</v>
      </c>
      <c r="L339" s="238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</row>
    <row r="340" ht="15.75" customHeight="1">
      <c r="A340" s="97"/>
      <c r="B340" s="98"/>
      <c r="C340" s="113" t="s">
        <v>646</v>
      </c>
      <c r="D340" s="101"/>
      <c r="E340" s="101"/>
      <c r="F340" s="101"/>
      <c r="G340" s="41">
        <f t="shared" si="1"/>
        <v>0</v>
      </c>
      <c r="H340" s="49" t="str">
        <f t="shared" si="6"/>
        <v/>
      </c>
      <c r="I340" s="43" t="str">
        <f t="shared" si="5"/>
        <v/>
      </c>
      <c r="J340" s="78"/>
      <c r="K340" s="78">
        <f t="shared" si="3"/>
        <v>182</v>
      </c>
      <c r="L340" s="238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</row>
    <row r="341" ht="15.75" customHeight="1">
      <c r="A341" s="97"/>
      <c r="B341" s="98"/>
      <c r="C341" s="113" t="s">
        <v>646</v>
      </c>
      <c r="D341" s="101"/>
      <c r="E341" s="101"/>
      <c r="F341" s="101"/>
      <c r="G341" s="41">
        <f t="shared" si="1"/>
        <v>0</v>
      </c>
      <c r="H341" s="49" t="str">
        <f t="shared" si="6"/>
        <v/>
      </c>
      <c r="I341" s="43" t="str">
        <f t="shared" si="5"/>
        <v/>
      </c>
      <c r="J341" s="78"/>
      <c r="K341" s="78">
        <f t="shared" si="3"/>
        <v>182</v>
      </c>
      <c r="L341" s="238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</row>
    <row r="342" ht="15.75" customHeight="1">
      <c r="A342" s="97"/>
      <c r="B342" s="98"/>
      <c r="C342" s="113" t="s">
        <v>646</v>
      </c>
      <c r="D342" s="101"/>
      <c r="E342" s="101"/>
      <c r="F342" s="101"/>
      <c r="G342" s="41">
        <f t="shared" si="1"/>
        <v>0</v>
      </c>
      <c r="H342" s="49" t="str">
        <f t="shared" si="6"/>
        <v/>
      </c>
      <c r="I342" s="43" t="str">
        <f t="shared" si="5"/>
        <v/>
      </c>
      <c r="J342" s="78"/>
      <c r="K342" s="78">
        <f t="shared" si="3"/>
        <v>182</v>
      </c>
      <c r="L342" s="238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</row>
    <row r="343" ht="15.75" customHeight="1">
      <c r="A343" s="97"/>
      <c r="B343" s="98"/>
      <c r="C343" s="113" t="s">
        <v>646</v>
      </c>
      <c r="D343" s="101"/>
      <c r="E343" s="101"/>
      <c r="F343" s="101"/>
      <c r="G343" s="41">
        <f t="shared" si="1"/>
        <v>0</v>
      </c>
      <c r="H343" s="49" t="str">
        <f t="shared" si="6"/>
        <v/>
      </c>
      <c r="I343" s="43" t="str">
        <f t="shared" si="5"/>
        <v/>
      </c>
      <c r="J343" s="78"/>
      <c r="K343" s="78">
        <f t="shared" si="3"/>
        <v>182</v>
      </c>
      <c r="L343" s="238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</row>
    <row r="344" ht="15.75" customHeight="1">
      <c r="A344" s="97"/>
      <c r="B344" s="98"/>
      <c r="C344" s="113" t="s">
        <v>646</v>
      </c>
      <c r="D344" s="101"/>
      <c r="E344" s="101"/>
      <c r="F344" s="101"/>
      <c r="G344" s="41">
        <f t="shared" si="1"/>
        <v>0</v>
      </c>
      <c r="H344" s="49" t="str">
        <f t="shared" si="6"/>
        <v/>
      </c>
      <c r="I344" s="43" t="str">
        <f t="shared" si="5"/>
        <v/>
      </c>
      <c r="J344" s="78"/>
      <c r="K344" s="78">
        <f t="shared" si="3"/>
        <v>182</v>
      </c>
      <c r="L344" s="238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</row>
    <row r="345" ht="15.75" customHeight="1">
      <c r="A345" s="97"/>
      <c r="B345" s="98"/>
      <c r="C345" s="113" t="s">
        <v>646</v>
      </c>
      <c r="D345" s="101"/>
      <c r="E345" s="101"/>
      <c r="F345" s="101"/>
      <c r="G345" s="41">
        <f t="shared" si="1"/>
        <v>0</v>
      </c>
      <c r="H345" s="49" t="str">
        <f t="shared" si="6"/>
        <v/>
      </c>
      <c r="I345" s="43" t="str">
        <f t="shared" si="5"/>
        <v/>
      </c>
      <c r="J345" s="78"/>
      <c r="K345" s="78">
        <f t="shared" si="3"/>
        <v>182</v>
      </c>
      <c r="L345" s="238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</row>
    <row r="346" ht="15.75" customHeight="1">
      <c r="A346" s="97"/>
      <c r="B346" s="98"/>
      <c r="C346" s="113" t="s">
        <v>646</v>
      </c>
      <c r="D346" s="101"/>
      <c r="E346" s="101"/>
      <c r="F346" s="101"/>
      <c r="G346" s="41">
        <f t="shared" si="1"/>
        <v>0</v>
      </c>
      <c r="H346" s="49" t="str">
        <f t="shared" si="6"/>
        <v/>
      </c>
      <c r="I346" s="43" t="str">
        <f t="shared" si="5"/>
        <v/>
      </c>
      <c r="J346" s="78"/>
      <c r="K346" s="78">
        <f t="shared" si="3"/>
        <v>182</v>
      </c>
      <c r="L346" s="238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</row>
    <row r="347" ht="15.75" customHeight="1">
      <c r="A347" s="97"/>
      <c r="B347" s="98"/>
      <c r="C347" s="113" t="s">
        <v>646</v>
      </c>
      <c r="D347" s="101"/>
      <c r="E347" s="101"/>
      <c r="F347" s="101"/>
      <c r="G347" s="41">
        <f t="shared" si="1"/>
        <v>0</v>
      </c>
      <c r="H347" s="49" t="str">
        <f t="shared" si="6"/>
        <v/>
      </c>
      <c r="I347" s="43" t="str">
        <f t="shared" si="5"/>
        <v/>
      </c>
      <c r="J347" s="78"/>
      <c r="K347" s="78">
        <f t="shared" si="3"/>
        <v>182</v>
      </c>
      <c r="L347" s="238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</row>
    <row r="348" ht="15.75" customHeight="1">
      <c r="A348" s="97"/>
      <c r="B348" s="98"/>
      <c r="C348" s="113" t="s">
        <v>646</v>
      </c>
      <c r="D348" s="101"/>
      <c r="E348" s="101"/>
      <c r="F348" s="101"/>
      <c r="G348" s="41">
        <f t="shared" si="1"/>
        <v>0</v>
      </c>
      <c r="H348" s="49" t="str">
        <f t="shared" si="6"/>
        <v/>
      </c>
      <c r="I348" s="43" t="str">
        <f t="shared" si="5"/>
        <v/>
      </c>
      <c r="J348" s="78"/>
      <c r="K348" s="78">
        <f t="shared" si="3"/>
        <v>182</v>
      </c>
      <c r="L348" s="238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</row>
    <row r="349" ht="15.75" customHeight="1">
      <c r="A349" s="97"/>
      <c r="B349" s="98"/>
      <c r="C349" s="113" t="s">
        <v>646</v>
      </c>
      <c r="D349" s="101"/>
      <c r="E349" s="101"/>
      <c r="F349" s="101"/>
      <c r="G349" s="41">
        <f t="shared" si="1"/>
        <v>0</v>
      </c>
      <c r="H349" s="49" t="str">
        <f t="shared" si="6"/>
        <v/>
      </c>
      <c r="I349" s="43" t="str">
        <f t="shared" si="5"/>
        <v/>
      </c>
      <c r="J349" s="78"/>
      <c r="K349" s="78">
        <f t="shared" si="3"/>
        <v>182</v>
      </c>
      <c r="L349" s="238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</row>
    <row r="350" ht="15.75" customHeight="1">
      <c r="A350" s="97"/>
      <c r="B350" s="98"/>
      <c r="C350" s="113" t="s">
        <v>646</v>
      </c>
      <c r="D350" s="101"/>
      <c r="E350" s="101"/>
      <c r="F350" s="101"/>
      <c r="G350" s="41">
        <f t="shared" si="1"/>
        <v>0</v>
      </c>
      <c r="H350" s="49" t="str">
        <f t="shared" si="6"/>
        <v/>
      </c>
      <c r="I350" s="43" t="str">
        <f t="shared" si="5"/>
        <v/>
      </c>
      <c r="J350" s="78"/>
      <c r="K350" s="78">
        <f t="shared" si="3"/>
        <v>182</v>
      </c>
      <c r="L350" s="238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</row>
    <row r="351" ht="15.75" customHeight="1">
      <c r="A351" s="97"/>
      <c r="B351" s="98"/>
      <c r="C351" s="113" t="s">
        <v>646</v>
      </c>
      <c r="D351" s="101"/>
      <c r="E351" s="101"/>
      <c r="F351" s="101"/>
      <c r="G351" s="41">
        <f t="shared" si="1"/>
        <v>0</v>
      </c>
      <c r="H351" s="49" t="str">
        <f t="shared" si="6"/>
        <v/>
      </c>
      <c r="I351" s="43" t="str">
        <f t="shared" si="5"/>
        <v/>
      </c>
      <c r="J351" s="78"/>
      <c r="K351" s="78">
        <f t="shared" si="3"/>
        <v>182</v>
      </c>
      <c r="L351" s="238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</row>
    <row r="352" ht="15.75" customHeight="1">
      <c r="A352" s="97"/>
      <c r="B352" s="98"/>
      <c r="C352" s="113" t="s">
        <v>646</v>
      </c>
      <c r="D352" s="101"/>
      <c r="E352" s="101"/>
      <c r="F352" s="101"/>
      <c r="G352" s="41">
        <f t="shared" si="1"/>
        <v>0</v>
      </c>
      <c r="H352" s="49" t="str">
        <f t="shared" si="6"/>
        <v/>
      </c>
      <c r="I352" s="43" t="str">
        <f t="shared" si="5"/>
        <v/>
      </c>
      <c r="J352" s="78"/>
      <c r="K352" s="78">
        <f t="shared" si="3"/>
        <v>182</v>
      </c>
      <c r="L352" s="238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</row>
    <row r="353" ht="15.75" customHeight="1">
      <c r="A353" s="97"/>
      <c r="B353" s="98"/>
      <c r="C353" s="113" t="s">
        <v>646</v>
      </c>
      <c r="D353" s="101"/>
      <c r="E353" s="101"/>
      <c r="F353" s="101"/>
      <c r="G353" s="41">
        <f t="shared" si="1"/>
        <v>0</v>
      </c>
      <c r="H353" s="49" t="str">
        <f t="shared" si="6"/>
        <v/>
      </c>
      <c r="I353" s="43" t="str">
        <f t="shared" si="5"/>
        <v/>
      </c>
      <c r="J353" s="78"/>
      <c r="K353" s="78">
        <f t="shared" si="3"/>
        <v>182</v>
      </c>
      <c r="L353" s="238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</row>
    <row r="354" ht="15.75" customHeight="1">
      <c r="A354" s="97"/>
      <c r="B354" s="98"/>
      <c r="C354" s="113" t="s">
        <v>646</v>
      </c>
      <c r="D354" s="101"/>
      <c r="E354" s="101"/>
      <c r="F354" s="101"/>
      <c r="G354" s="41">
        <f t="shared" si="1"/>
        <v>0</v>
      </c>
      <c r="H354" s="49" t="str">
        <f t="shared" si="6"/>
        <v/>
      </c>
      <c r="I354" s="43" t="str">
        <f t="shared" si="5"/>
        <v/>
      </c>
      <c r="J354" s="78"/>
      <c r="K354" s="78">
        <f t="shared" si="3"/>
        <v>182</v>
      </c>
      <c r="L354" s="238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</row>
    <row r="355" ht="15.75" customHeight="1">
      <c r="A355" s="97"/>
      <c r="B355" s="98"/>
      <c r="C355" s="113" t="s">
        <v>646</v>
      </c>
      <c r="D355" s="101"/>
      <c r="E355" s="101"/>
      <c r="F355" s="101"/>
      <c r="G355" s="41">
        <f t="shared" si="1"/>
        <v>0</v>
      </c>
      <c r="H355" s="49" t="str">
        <f t="shared" si="6"/>
        <v/>
      </c>
      <c r="I355" s="43" t="str">
        <f t="shared" si="5"/>
        <v/>
      </c>
      <c r="J355" s="78"/>
      <c r="K355" s="78">
        <f t="shared" si="3"/>
        <v>182</v>
      </c>
      <c r="L355" s="238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</row>
    <row r="356" ht="15.75" customHeight="1">
      <c r="A356" s="97"/>
      <c r="B356" s="98"/>
      <c r="C356" s="113" t="s">
        <v>646</v>
      </c>
      <c r="D356" s="101"/>
      <c r="E356" s="101"/>
      <c r="F356" s="101"/>
      <c r="G356" s="41">
        <f t="shared" si="1"/>
        <v>0</v>
      </c>
      <c r="H356" s="49" t="str">
        <f t="shared" si="6"/>
        <v/>
      </c>
      <c r="I356" s="43" t="str">
        <f t="shared" si="5"/>
        <v/>
      </c>
      <c r="J356" s="78"/>
      <c r="K356" s="78">
        <f t="shared" si="3"/>
        <v>182</v>
      </c>
      <c r="L356" s="238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</row>
    <row r="357" ht="15.75" customHeight="1">
      <c r="A357" s="97"/>
      <c r="B357" s="98"/>
      <c r="C357" s="113" t="s">
        <v>646</v>
      </c>
      <c r="D357" s="101"/>
      <c r="E357" s="101"/>
      <c r="F357" s="101"/>
      <c r="G357" s="41">
        <f t="shared" si="1"/>
        <v>0</v>
      </c>
      <c r="H357" s="49" t="str">
        <f t="shared" si="6"/>
        <v/>
      </c>
      <c r="I357" s="43" t="str">
        <f t="shared" si="5"/>
        <v/>
      </c>
      <c r="J357" s="78"/>
      <c r="K357" s="78">
        <f t="shared" si="3"/>
        <v>182</v>
      </c>
      <c r="L357" s="238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</row>
    <row r="358" ht="15.75" customHeight="1">
      <c r="A358" s="97"/>
      <c r="B358" s="98"/>
      <c r="C358" s="113" t="s">
        <v>646</v>
      </c>
      <c r="D358" s="101"/>
      <c r="E358" s="101"/>
      <c r="F358" s="101"/>
      <c r="G358" s="41">
        <f t="shared" si="1"/>
        <v>0</v>
      </c>
      <c r="H358" s="49" t="str">
        <f t="shared" si="6"/>
        <v/>
      </c>
      <c r="I358" s="43" t="str">
        <f t="shared" si="5"/>
        <v/>
      </c>
      <c r="J358" s="78"/>
      <c r="K358" s="78">
        <f t="shared" si="3"/>
        <v>182</v>
      </c>
      <c r="L358" s="238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</row>
    <row r="359" ht="15.75" customHeight="1">
      <c r="A359" s="97"/>
      <c r="B359" s="98"/>
      <c r="C359" s="113" t="s">
        <v>646</v>
      </c>
      <c r="D359" s="101"/>
      <c r="E359" s="101"/>
      <c r="F359" s="101"/>
      <c r="G359" s="41">
        <f t="shared" si="1"/>
        <v>0</v>
      </c>
      <c r="H359" s="49" t="str">
        <f t="shared" si="6"/>
        <v/>
      </c>
      <c r="I359" s="43" t="str">
        <f t="shared" si="5"/>
        <v/>
      </c>
      <c r="J359" s="78"/>
      <c r="K359" s="78">
        <f t="shared" si="3"/>
        <v>182</v>
      </c>
      <c r="L359" s="238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</row>
    <row r="360" ht="15.75" customHeight="1">
      <c r="A360" s="97"/>
      <c r="B360" s="98"/>
      <c r="C360" s="113" t="s">
        <v>646</v>
      </c>
      <c r="D360" s="101"/>
      <c r="E360" s="101"/>
      <c r="F360" s="101"/>
      <c r="G360" s="41">
        <f t="shared" si="1"/>
        <v>0</v>
      </c>
      <c r="H360" s="49" t="str">
        <f t="shared" si="6"/>
        <v/>
      </c>
      <c r="I360" s="43" t="str">
        <f t="shared" si="5"/>
        <v/>
      </c>
      <c r="J360" s="78"/>
      <c r="K360" s="78">
        <f t="shared" si="3"/>
        <v>182</v>
      </c>
      <c r="L360" s="238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</row>
    <row r="361" ht="15.75" customHeight="1">
      <c r="A361" s="97"/>
      <c r="B361" s="98"/>
      <c r="C361" s="113" t="s">
        <v>646</v>
      </c>
      <c r="D361" s="101"/>
      <c r="E361" s="101"/>
      <c r="F361" s="101"/>
      <c r="G361" s="41">
        <f t="shared" si="1"/>
        <v>0</v>
      </c>
      <c r="H361" s="49" t="str">
        <f t="shared" si="6"/>
        <v/>
      </c>
      <c r="I361" s="43" t="str">
        <f t="shared" si="5"/>
        <v/>
      </c>
      <c r="J361" s="78"/>
      <c r="K361" s="78">
        <f t="shared" si="3"/>
        <v>182</v>
      </c>
      <c r="L361" s="238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</row>
    <row r="362" ht="15.75" customHeight="1">
      <c r="A362" s="97"/>
      <c r="B362" s="98"/>
      <c r="C362" s="113" t="s">
        <v>646</v>
      </c>
      <c r="D362" s="101"/>
      <c r="E362" s="101"/>
      <c r="F362" s="101"/>
      <c r="G362" s="41">
        <f t="shared" si="1"/>
        <v>0</v>
      </c>
      <c r="H362" s="49" t="str">
        <f t="shared" si="6"/>
        <v/>
      </c>
      <c r="I362" s="43" t="str">
        <f t="shared" si="5"/>
        <v/>
      </c>
      <c r="J362" s="78"/>
      <c r="K362" s="78">
        <f t="shared" si="3"/>
        <v>182</v>
      </c>
      <c r="L362" s="238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</row>
    <row r="363" ht="15.75" customHeight="1">
      <c r="A363" s="97"/>
      <c r="B363" s="98"/>
      <c r="C363" s="113" t="s">
        <v>646</v>
      </c>
      <c r="D363" s="101"/>
      <c r="E363" s="101"/>
      <c r="F363" s="101"/>
      <c r="G363" s="41">
        <f t="shared" si="1"/>
        <v>0</v>
      </c>
      <c r="H363" s="49" t="str">
        <f t="shared" si="6"/>
        <v/>
      </c>
      <c r="I363" s="43" t="str">
        <f t="shared" si="5"/>
        <v/>
      </c>
      <c r="J363" s="78"/>
      <c r="K363" s="78">
        <f t="shared" si="3"/>
        <v>182</v>
      </c>
      <c r="L363" s="238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</row>
    <row r="364" ht="15.75" customHeight="1">
      <c r="A364" s="97"/>
      <c r="B364" s="98"/>
      <c r="C364" s="113" t="s">
        <v>646</v>
      </c>
      <c r="D364" s="101"/>
      <c r="E364" s="101"/>
      <c r="F364" s="101"/>
      <c r="G364" s="41">
        <f t="shared" si="1"/>
        <v>0</v>
      </c>
      <c r="H364" s="49" t="str">
        <f t="shared" si="6"/>
        <v/>
      </c>
      <c r="I364" s="43" t="str">
        <f t="shared" si="5"/>
        <v/>
      </c>
      <c r="J364" s="78"/>
      <c r="K364" s="78">
        <f t="shared" si="3"/>
        <v>182</v>
      </c>
      <c r="L364" s="238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</row>
    <row r="365" ht="15.75" customHeight="1">
      <c r="A365" s="97"/>
      <c r="B365" s="98"/>
      <c r="C365" s="113" t="s">
        <v>646</v>
      </c>
      <c r="D365" s="101"/>
      <c r="E365" s="101"/>
      <c r="F365" s="101"/>
      <c r="G365" s="41">
        <f t="shared" si="1"/>
        <v>0</v>
      </c>
      <c r="H365" s="49" t="str">
        <f t="shared" si="6"/>
        <v/>
      </c>
      <c r="I365" s="43" t="str">
        <f t="shared" si="5"/>
        <v/>
      </c>
      <c r="J365" s="78"/>
      <c r="K365" s="78">
        <f t="shared" si="3"/>
        <v>182</v>
      </c>
      <c r="L365" s="238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</row>
    <row r="366" ht="15.75" customHeight="1">
      <c r="A366" s="97"/>
      <c r="B366" s="98"/>
      <c r="C366" s="113" t="s">
        <v>646</v>
      </c>
      <c r="D366" s="101"/>
      <c r="E366" s="101"/>
      <c r="F366" s="101"/>
      <c r="G366" s="41">
        <f t="shared" si="1"/>
        <v>0</v>
      </c>
      <c r="H366" s="49" t="str">
        <f t="shared" si="6"/>
        <v/>
      </c>
      <c r="I366" s="43" t="str">
        <f t="shared" si="5"/>
        <v/>
      </c>
      <c r="J366" s="78"/>
      <c r="K366" s="78">
        <f t="shared" si="3"/>
        <v>182</v>
      </c>
      <c r="L366" s="238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</row>
    <row r="367" ht="15.75" customHeight="1">
      <c r="A367" s="97"/>
      <c r="B367" s="98"/>
      <c r="C367" s="113" t="s">
        <v>646</v>
      </c>
      <c r="D367" s="101"/>
      <c r="E367" s="101"/>
      <c r="F367" s="101"/>
      <c r="G367" s="41">
        <f t="shared" si="1"/>
        <v>0</v>
      </c>
      <c r="H367" s="49" t="str">
        <f t="shared" si="6"/>
        <v/>
      </c>
      <c r="I367" s="43" t="str">
        <f t="shared" si="5"/>
        <v/>
      </c>
      <c r="J367" s="78"/>
      <c r="K367" s="78">
        <f t="shared" si="3"/>
        <v>182</v>
      </c>
      <c r="L367" s="238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</row>
    <row r="368" ht="15.75" customHeight="1">
      <c r="A368" s="97"/>
      <c r="B368" s="98"/>
      <c r="C368" s="113" t="s">
        <v>646</v>
      </c>
      <c r="D368" s="101"/>
      <c r="E368" s="101"/>
      <c r="F368" s="101"/>
      <c r="G368" s="41">
        <f t="shared" si="1"/>
        <v>0</v>
      </c>
      <c r="H368" s="49" t="str">
        <f t="shared" si="6"/>
        <v/>
      </c>
      <c r="I368" s="43" t="str">
        <f t="shared" si="5"/>
        <v/>
      </c>
      <c r="J368" s="78"/>
      <c r="K368" s="78">
        <f t="shared" si="3"/>
        <v>182</v>
      </c>
      <c r="L368" s="238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</row>
    <row r="369" ht="15.75" customHeight="1">
      <c r="A369" s="97"/>
      <c r="B369" s="98"/>
      <c r="C369" s="113" t="s">
        <v>646</v>
      </c>
      <c r="D369" s="101"/>
      <c r="E369" s="101"/>
      <c r="F369" s="101"/>
      <c r="G369" s="41">
        <f t="shared" si="1"/>
        <v>0</v>
      </c>
      <c r="H369" s="49" t="str">
        <f t="shared" si="6"/>
        <v/>
      </c>
      <c r="I369" s="43" t="str">
        <f t="shared" si="5"/>
        <v/>
      </c>
      <c r="J369" s="78"/>
      <c r="K369" s="78">
        <f t="shared" si="3"/>
        <v>182</v>
      </c>
      <c r="L369" s="238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</row>
    <row r="370" ht="15.75" customHeight="1">
      <c r="A370" s="97"/>
      <c r="B370" s="98"/>
      <c r="C370" s="113" t="s">
        <v>646</v>
      </c>
      <c r="D370" s="101"/>
      <c r="E370" s="101"/>
      <c r="F370" s="101"/>
      <c r="G370" s="41">
        <f t="shared" si="1"/>
        <v>0</v>
      </c>
      <c r="H370" s="49" t="str">
        <f t="shared" si="6"/>
        <v/>
      </c>
      <c r="I370" s="43" t="str">
        <f t="shared" si="5"/>
        <v/>
      </c>
      <c r="J370" s="78"/>
      <c r="K370" s="78">
        <f t="shared" si="3"/>
        <v>182</v>
      </c>
      <c r="L370" s="238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</row>
    <row r="371" ht="15.75" customHeight="1">
      <c r="A371" s="97"/>
      <c r="B371" s="98"/>
      <c r="C371" s="113" t="s">
        <v>646</v>
      </c>
      <c r="D371" s="101"/>
      <c r="E371" s="101"/>
      <c r="F371" s="101"/>
      <c r="G371" s="41">
        <f t="shared" si="1"/>
        <v>0</v>
      </c>
      <c r="H371" s="49" t="str">
        <f t="shared" si="6"/>
        <v/>
      </c>
      <c r="I371" s="43" t="str">
        <f t="shared" si="5"/>
        <v/>
      </c>
      <c r="J371" s="78"/>
      <c r="K371" s="78">
        <f t="shared" si="3"/>
        <v>182</v>
      </c>
      <c r="L371" s="238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</row>
    <row r="372" ht="15.75" customHeight="1">
      <c r="A372" s="97"/>
      <c r="B372" s="98"/>
      <c r="C372" s="113" t="s">
        <v>646</v>
      </c>
      <c r="D372" s="101"/>
      <c r="E372" s="101"/>
      <c r="F372" s="101"/>
      <c r="G372" s="41">
        <f t="shared" si="1"/>
        <v>0</v>
      </c>
      <c r="H372" s="49" t="str">
        <f t="shared" si="6"/>
        <v/>
      </c>
      <c r="I372" s="43" t="str">
        <f t="shared" si="5"/>
        <v/>
      </c>
      <c r="J372" s="78"/>
      <c r="K372" s="78">
        <f t="shared" si="3"/>
        <v>182</v>
      </c>
      <c r="L372" s="238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</row>
    <row r="373" ht="15.75" customHeight="1">
      <c r="A373" s="97"/>
      <c r="B373" s="98"/>
      <c r="C373" s="113" t="s">
        <v>646</v>
      </c>
      <c r="D373" s="101"/>
      <c r="E373" s="101"/>
      <c r="F373" s="101"/>
      <c r="G373" s="41">
        <f t="shared" si="1"/>
        <v>0</v>
      </c>
      <c r="H373" s="49" t="str">
        <f t="shared" si="6"/>
        <v/>
      </c>
      <c r="I373" s="43" t="str">
        <f t="shared" si="5"/>
        <v/>
      </c>
      <c r="J373" s="78"/>
      <c r="K373" s="78">
        <f t="shared" si="3"/>
        <v>182</v>
      </c>
      <c r="L373" s="238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</row>
    <row r="374" ht="15.75" customHeight="1">
      <c r="A374" s="97"/>
      <c r="B374" s="98"/>
      <c r="C374" s="113" t="s">
        <v>646</v>
      </c>
      <c r="D374" s="101"/>
      <c r="E374" s="101"/>
      <c r="F374" s="101"/>
      <c r="G374" s="41">
        <f t="shared" si="1"/>
        <v>0</v>
      </c>
      <c r="H374" s="49" t="str">
        <f t="shared" si="6"/>
        <v/>
      </c>
      <c r="I374" s="43" t="str">
        <f t="shared" si="5"/>
        <v/>
      </c>
      <c r="J374" s="78"/>
      <c r="K374" s="78">
        <f t="shared" si="3"/>
        <v>182</v>
      </c>
      <c r="L374" s="238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</row>
    <row r="375" ht="15.75" customHeight="1">
      <c r="A375" s="97"/>
      <c r="B375" s="98"/>
      <c r="C375" s="113" t="s">
        <v>646</v>
      </c>
      <c r="D375" s="101"/>
      <c r="E375" s="101"/>
      <c r="F375" s="101"/>
      <c r="G375" s="41">
        <f t="shared" si="1"/>
        <v>0</v>
      </c>
      <c r="H375" s="49" t="str">
        <f t="shared" si="6"/>
        <v/>
      </c>
      <c r="I375" s="43" t="str">
        <f t="shared" si="5"/>
        <v/>
      </c>
      <c r="J375" s="78"/>
      <c r="K375" s="78">
        <f t="shared" si="3"/>
        <v>182</v>
      </c>
      <c r="L375" s="238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</row>
    <row r="376" ht="15.75" customHeight="1">
      <c r="A376" s="97"/>
      <c r="B376" s="98"/>
      <c r="C376" s="113" t="s">
        <v>646</v>
      </c>
      <c r="D376" s="101"/>
      <c r="E376" s="101"/>
      <c r="F376" s="101"/>
      <c r="G376" s="41">
        <f t="shared" si="1"/>
        <v>0</v>
      </c>
      <c r="H376" s="49" t="str">
        <f t="shared" si="6"/>
        <v/>
      </c>
      <c r="I376" s="43" t="str">
        <f t="shared" si="5"/>
        <v/>
      </c>
      <c r="J376" s="78"/>
      <c r="K376" s="78">
        <f t="shared" si="3"/>
        <v>182</v>
      </c>
      <c r="L376" s="238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</row>
    <row r="377" ht="15.75" customHeight="1">
      <c r="A377" s="97"/>
      <c r="B377" s="98"/>
      <c r="C377" s="113" t="s">
        <v>646</v>
      </c>
      <c r="D377" s="101"/>
      <c r="E377" s="101"/>
      <c r="F377" s="101"/>
      <c r="G377" s="41">
        <f t="shared" si="1"/>
        <v>0</v>
      </c>
      <c r="H377" s="49" t="str">
        <f t="shared" si="6"/>
        <v/>
      </c>
      <c r="I377" s="43" t="str">
        <f t="shared" si="5"/>
        <v/>
      </c>
      <c r="J377" s="78"/>
      <c r="K377" s="78">
        <f t="shared" si="3"/>
        <v>182</v>
      </c>
      <c r="L377" s="238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</row>
    <row r="378" ht="15.75" customHeight="1">
      <c r="A378" s="97"/>
      <c r="B378" s="98"/>
      <c r="C378" s="113" t="s">
        <v>646</v>
      </c>
      <c r="D378" s="101"/>
      <c r="E378" s="101"/>
      <c r="F378" s="101"/>
      <c r="G378" s="41">
        <f t="shared" si="1"/>
        <v>0</v>
      </c>
      <c r="H378" s="49" t="str">
        <f t="shared" si="6"/>
        <v/>
      </c>
      <c r="I378" s="43" t="str">
        <f t="shared" si="5"/>
        <v/>
      </c>
      <c r="J378" s="78"/>
      <c r="K378" s="78">
        <f t="shared" si="3"/>
        <v>182</v>
      </c>
      <c r="L378" s="238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</row>
    <row r="379" ht="15.75" customHeight="1">
      <c r="A379" s="97"/>
      <c r="B379" s="98"/>
      <c r="C379" s="113" t="s">
        <v>646</v>
      </c>
      <c r="D379" s="101"/>
      <c r="E379" s="101"/>
      <c r="F379" s="101"/>
      <c r="G379" s="41">
        <f t="shared" si="1"/>
        <v>0</v>
      </c>
      <c r="H379" s="49" t="str">
        <f t="shared" si="6"/>
        <v/>
      </c>
      <c r="I379" s="43" t="str">
        <f t="shared" si="5"/>
        <v/>
      </c>
      <c r="J379" s="78"/>
      <c r="K379" s="78">
        <f t="shared" si="3"/>
        <v>182</v>
      </c>
      <c r="L379" s="238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</row>
    <row r="380" ht="15.75" customHeight="1">
      <c r="A380" s="97"/>
      <c r="B380" s="98"/>
      <c r="C380" s="113" t="s">
        <v>646</v>
      </c>
      <c r="D380" s="101"/>
      <c r="E380" s="101"/>
      <c r="F380" s="101"/>
      <c r="G380" s="41">
        <f t="shared" si="1"/>
        <v>0</v>
      </c>
      <c r="H380" s="49" t="str">
        <f t="shared" si="6"/>
        <v/>
      </c>
      <c r="I380" s="43" t="str">
        <f t="shared" si="5"/>
        <v/>
      </c>
      <c r="J380" s="78"/>
      <c r="K380" s="78">
        <f t="shared" si="3"/>
        <v>182</v>
      </c>
      <c r="L380" s="238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</row>
    <row r="381" ht="15.75" customHeight="1">
      <c r="A381" s="97"/>
      <c r="B381" s="98"/>
      <c r="C381" s="113" t="s">
        <v>646</v>
      </c>
      <c r="D381" s="101"/>
      <c r="E381" s="101"/>
      <c r="F381" s="101"/>
      <c r="G381" s="41">
        <f t="shared" si="1"/>
        <v>0</v>
      </c>
      <c r="H381" s="49" t="str">
        <f t="shared" si="6"/>
        <v/>
      </c>
      <c r="I381" s="43" t="str">
        <f t="shared" si="5"/>
        <v/>
      </c>
      <c r="J381" s="78"/>
      <c r="K381" s="78">
        <f t="shared" si="3"/>
        <v>182</v>
      </c>
      <c r="L381" s="238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</row>
    <row r="382" ht="15.75" customHeight="1">
      <c r="A382" s="97"/>
      <c r="B382" s="98"/>
      <c r="C382" s="113" t="s">
        <v>646</v>
      </c>
      <c r="D382" s="101"/>
      <c r="E382" s="101"/>
      <c r="F382" s="101"/>
      <c r="G382" s="41">
        <f t="shared" si="1"/>
        <v>0</v>
      </c>
      <c r="H382" s="49" t="str">
        <f t="shared" si="6"/>
        <v/>
      </c>
      <c r="I382" s="43" t="str">
        <f t="shared" si="5"/>
        <v/>
      </c>
      <c r="J382" s="78"/>
      <c r="K382" s="78">
        <f t="shared" si="3"/>
        <v>182</v>
      </c>
      <c r="L382" s="238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</row>
    <row r="383" ht="15.75" customHeight="1">
      <c r="A383" s="97"/>
      <c r="B383" s="98"/>
      <c r="C383" s="113" t="s">
        <v>646</v>
      </c>
      <c r="D383" s="101"/>
      <c r="E383" s="101"/>
      <c r="F383" s="101"/>
      <c r="G383" s="41">
        <f t="shared" si="1"/>
        <v>0</v>
      </c>
      <c r="H383" s="49" t="str">
        <f t="shared" si="6"/>
        <v/>
      </c>
      <c r="I383" s="43" t="str">
        <f t="shared" si="5"/>
        <v/>
      </c>
      <c r="J383" s="78"/>
      <c r="K383" s="78">
        <f t="shared" si="3"/>
        <v>182</v>
      </c>
      <c r="L383" s="238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</row>
    <row r="384" ht="15.75" customHeight="1">
      <c r="A384" s="97"/>
      <c r="B384" s="98"/>
      <c r="C384" s="113" t="s">
        <v>646</v>
      </c>
      <c r="D384" s="101"/>
      <c r="E384" s="101"/>
      <c r="F384" s="101"/>
      <c r="G384" s="41">
        <f t="shared" si="1"/>
        <v>0</v>
      </c>
      <c r="H384" s="49" t="str">
        <f t="shared" si="6"/>
        <v/>
      </c>
      <c r="I384" s="43" t="str">
        <f t="shared" si="5"/>
        <v/>
      </c>
      <c r="J384" s="78"/>
      <c r="K384" s="78">
        <f t="shared" si="3"/>
        <v>182</v>
      </c>
      <c r="L384" s="238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</row>
    <row r="385" ht="15.75" customHeight="1">
      <c r="A385" s="97"/>
      <c r="B385" s="98"/>
      <c r="C385" s="113" t="s">
        <v>646</v>
      </c>
      <c r="D385" s="101"/>
      <c r="E385" s="101"/>
      <c r="F385" s="101"/>
      <c r="G385" s="41">
        <f t="shared" si="1"/>
        <v>0</v>
      </c>
      <c r="H385" s="49" t="str">
        <f t="shared" si="6"/>
        <v/>
      </c>
      <c r="I385" s="43" t="str">
        <f t="shared" si="5"/>
        <v/>
      </c>
      <c r="J385" s="78"/>
      <c r="K385" s="78">
        <f t="shared" si="3"/>
        <v>182</v>
      </c>
      <c r="L385" s="238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</row>
    <row r="386" ht="15.75" customHeight="1">
      <c r="A386" s="97"/>
      <c r="B386" s="98"/>
      <c r="C386" s="113" t="s">
        <v>646</v>
      </c>
      <c r="D386" s="101"/>
      <c r="E386" s="101"/>
      <c r="F386" s="101"/>
      <c r="G386" s="41">
        <f t="shared" si="1"/>
        <v>0</v>
      </c>
      <c r="H386" s="49" t="str">
        <f t="shared" si="6"/>
        <v/>
      </c>
      <c r="I386" s="43" t="str">
        <f t="shared" si="5"/>
        <v/>
      </c>
      <c r="J386" s="78"/>
      <c r="K386" s="78">
        <f t="shared" si="3"/>
        <v>182</v>
      </c>
      <c r="L386" s="238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</row>
    <row r="387" ht="15.75" customHeight="1">
      <c r="A387" s="97"/>
      <c r="B387" s="98"/>
      <c r="C387" s="113" t="s">
        <v>646</v>
      </c>
      <c r="D387" s="101"/>
      <c r="E387" s="101"/>
      <c r="F387" s="101"/>
      <c r="G387" s="41">
        <f t="shared" si="1"/>
        <v>0</v>
      </c>
      <c r="H387" s="49" t="str">
        <f t="shared" si="6"/>
        <v/>
      </c>
      <c r="I387" s="43" t="str">
        <f t="shared" si="5"/>
        <v/>
      </c>
      <c r="J387" s="78"/>
      <c r="K387" s="78">
        <f t="shared" si="3"/>
        <v>182</v>
      </c>
      <c r="L387" s="238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</row>
    <row r="388" ht="15.75" customHeight="1">
      <c r="A388" s="97"/>
      <c r="B388" s="98"/>
      <c r="C388" s="113" t="s">
        <v>646</v>
      </c>
      <c r="D388" s="101"/>
      <c r="E388" s="101"/>
      <c r="F388" s="101"/>
      <c r="G388" s="41">
        <f t="shared" si="1"/>
        <v>0</v>
      </c>
      <c r="H388" s="49" t="str">
        <f t="shared" si="6"/>
        <v/>
      </c>
      <c r="I388" s="43" t="str">
        <f t="shared" si="5"/>
        <v/>
      </c>
      <c r="J388" s="78"/>
      <c r="K388" s="78">
        <f t="shared" si="3"/>
        <v>182</v>
      </c>
      <c r="L388" s="238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</row>
    <row r="389" ht="15.75" customHeight="1">
      <c r="A389" s="97"/>
      <c r="B389" s="98"/>
      <c r="C389" s="113" t="s">
        <v>646</v>
      </c>
      <c r="D389" s="101"/>
      <c r="E389" s="101"/>
      <c r="F389" s="101"/>
      <c r="G389" s="41">
        <f t="shared" si="1"/>
        <v>0</v>
      </c>
      <c r="H389" s="49" t="str">
        <f t="shared" si="6"/>
        <v/>
      </c>
      <c r="I389" s="43" t="str">
        <f t="shared" si="5"/>
        <v/>
      </c>
      <c r="J389" s="78"/>
      <c r="K389" s="78">
        <f t="shared" si="3"/>
        <v>182</v>
      </c>
      <c r="L389" s="238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</row>
    <row r="390" ht="15.75" customHeight="1">
      <c r="A390" s="97"/>
      <c r="B390" s="98"/>
      <c r="C390" s="113" t="s">
        <v>646</v>
      </c>
      <c r="D390" s="101"/>
      <c r="E390" s="101"/>
      <c r="F390" s="101"/>
      <c r="G390" s="41">
        <f t="shared" si="1"/>
        <v>0</v>
      </c>
      <c r="H390" s="49" t="str">
        <f t="shared" si="6"/>
        <v/>
      </c>
      <c r="I390" s="43" t="str">
        <f t="shared" si="5"/>
        <v/>
      </c>
      <c r="J390" s="78"/>
      <c r="K390" s="78">
        <f t="shared" si="3"/>
        <v>182</v>
      </c>
      <c r="L390" s="238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</row>
    <row r="391" ht="15.75" customHeight="1">
      <c r="A391" s="97"/>
      <c r="B391" s="98"/>
      <c r="C391" s="113" t="s">
        <v>646</v>
      </c>
      <c r="D391" s="101"/>
      <c r="E391" s="101"/>
      <c r="F391" s="101"/>
      <c r="G391" s="41">
        <f t="shared" si="1"/>
        <v>0</v>
      </c>
      <c r="H391" s="49" t="str">
        <f t="shared" si="6"/>
        <v/>
      </c>
      <c r="I391" s="43" t="str">
        <f t="shared" si="5"/>
        <v/>
      </c>
      <c r="J391" s="78"/>
      <c r="K391" s="78">
        <f t="shared" si="3"/>
        <v>182</v>
      </c>
      <c r="L391" s="238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</row>
    <row r="392" ht="15.75" customHeight="1">
      <c r="A392" s="97"/>
      <c r="B392" s="98"/>
      <c r="C392" s="113" t="s">
        <v>646</v>
      </c>
      <c r="D392" s="101"/>
      <c r="E392" s="101"/>
      <c r="F392" s="101"/>
      <c r="G392" s="41">
        <f t="shared" si="1"/>
        <v>0</v>
      </c>
      <c r="H392" s="49" t="str">
        <f t="shared" si="6"/>
        <v/>
      </c>
      <c r="I392" s="43" t="str">
        <f t="shared" si="5"/>
        <v/>
      </c>
      <c r="J392" s="78"/>
      <c r="K392" s="78">
        <f t="shared" si="3"/>
        <v>182</v>
      </c>
      <c r="L392" s="238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</row>
    <row r="393" ht="15.75" customHeight="1">
      <c r="A393" s="97"/>
      <c r="B393" s="98"/>
      <c r="C393" s="113" t="s">
        <v>646</v>
      </c>
      <c r="D393" s="101"/>
      <c r="E393" s="101"/>
      <c r="F393" s="101"/>
      <c r="G393" s="41">
        <f t="shared" si="1"/>
        <v>0</v>
      </c>
      <c r="H393" s="49" t="str">
        <f t="shared" si="6"/>
        <v/>
      </c>
      <c r="I393" s="43" t="str">
        <f t="shared" si="5"/>
        <v/>
      </c>
      <c r="J393" s="78"/>
      <c r="K393" s="78">
        <f t="shared" si="3"/>
        <v>182</v>
      </c>
      <c r="L393" s="238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</row>
    <row r="394" ht="15.75" customHeight="1">
      <c r="A394" s="97"/>
      <c r="B394" s="98"/>
      <c r="C394" s="113" t="s">
        <v>646</v>
      </c>
      <c r="D394" s="101"/>
      <c r="E394" s="101"/>
      <c r="F394" s="101"/>
      <c r="G394" s="41">
        <f t="shared" si="1"/>
        <v>0</v>
      </c>
      <c r="H394" s="49" t="str">
        <f t="shared" si="6"/>
        <v/>
      </c>
      <c r="I394" s="43" t="str">
        <f t="shared" si="5"/>
        <v/>
      </c>
      <c r="J394" s="78"/>
      <c r="K394" s="78">
        <f t="shared" si="3"/>
        <v>182</v>
      </c>
      <c r="L394" s="238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</row>
    <row r="395" ht="15.75" customHeight="1">
      <c r="A395" s="97"/>
      <c r="B395" s="98"/>
      <c r="C395" s="113" t="s">
        <v>646</v>
      </c>
      <c r="D395" s="101"/>
      <c r="E395" s="101"/>
      <c r="F395" s="101"/>
      <c r="G395" s="41">
        <f t="shared" si="1"/>
        <v>0</v>
      </c>
      <c r="H395" s="49" t="str">
        <f t="shared" si="6"/>
        <v/>
      </c>
      <c r="I395" s="43" t="str">
        <f t="shared" si="5"/>
        <v/>
      </c>
      <c r="J395" s="78"/>
      <c r="K395" s="78">
        <f t="shared" si="3"/>
        <v>182</v>
      </c>
      <c r="L395" s="238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</row>
    <row r="396" ht="15.75" customHeight="1">
      <c r="A396" s="97"/>
      <c r="B396" s="98"/>
      <c r="C396" s="113" t="s">
        <v>646</v>
      </c>
      <c r="D396" s="101"/>
      <c r="E396" s="101"/>
      <c r="F396" s="101"/>
      <c r="G396" s="41">
        <f t="shared" si="1"/>
        <v>0</v>
      </c>
      <c r="H396" s="49" t="str">
        <f t="shared" si="6"/>
        <v/>
      </c>
      <c r="I396" s="43" t="str">
        <f t="shared" si="5"/>
        <v/>
      </c>
      <c r="J396" s="78"/>
      <c r="K396" s="78">
        <f t="shared" si="3"/>
        <v>182</v>
      </c>
      <c r="L396" s="238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</row>
    <row r="397" ht="15.75" customHeight="1">
      <c r="A397" s="97"/>
      <c r="B397" s="98"/>
      <c r="C397" s="113" t="s">
        <v>646</v>
      </c>
      <c r="D397" s="101"/>
      <c r="E397" s="101"/>
      <c r="F397" s="101"/>
      <c r="G397" s="41">
        <f t="shared" si="1"/>
        <v>0</v>
      </c>
      <c r="H397" s="49" t="str">
        <f t="shared" si="6"/>
        <v/>
      </c>
      <c r="I397" s="43" t="str">
        <f t="shared" si="5"/>
        <v/>
      </c>
      <c r="J397" s="78"/>
      <c r="K397" s="78">
        <f t="shared" si="3"/>
        <v>182</v>
      </c>
      <c r="L397" s="238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</row>
    <row r="398" ht="15.75" customHeight="1">
      <c r="A398" s="97"/>
      <c r="B398" s="98"/>
      <c r="C398" s="113" t="s">
        <v>646</v>
      </c>
      <c r="D398" s="101"/>
      <c r="E398" s="101"/>
      <c r="F398" s="101"/>
      <c r="G398" s="41">
        <f t="shared" si="1"/>
        <v>0</v>
      </c>
      <c r="H398" s="49" t="str">
        <f t="shared" si="6"/>
        <v/>
      </c>
      <c r="I398" s="43" t="str">
        <f t="shared" si="5"/>
        <v/>
      </c>
      <c r="J398" s="78"/>
      <c r="K398" s="78">
        <f t="shared" si="3"/>
        <v>182</v>
      </c>
      <c r="L398" s="238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</row>
    <row r="399" ht="15.75" customHeight="1">
      <c r="A399" s="97"/>
      <c r="B399" s="98"/>
      <c r="C399" s="113" t="s">
        <v>646</v>
      </c>
      <c r="D399" s="101"/>
      <c r="E399" s="101"/>
      <c r="F399" s="101"/>
      <c r="G399" s="41">
        <f t="shared" si="1"/>
        <v>0</v>
      </c>
      <c r="H399" s="49" t="str">
        <f t="shared" si="6"/>
        <v/>
      </c>
      <c r="I399" s="43" t="str">
        <f t="shared" si="5"/>
        <v/>
      </c>
      <c r="J399" s="78"/>
      <c r="K399" s="78">
        <f t="shared" si="3"/>
        <v>182</v>
      </c>
      <c r="L399" s="238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</row>
    <row r="400" ht="15.75" customHeight="1">
      <c r="A400" s="97"/>
      <c r="B400" s="98"/>
      <c r="C400" s="113" t="s">
        <v>646</v>
      </c>
      <c r="D400" s="101"/>
      <c r="E400" s="101"/>
      <c r="F400" s="101"/>
      <c r="G400" s="41">
        <f t="shared" si="1"/>
        <v>0</v>
      </c>
      <c r="H400" s="49" t="str">
        <f t="shared" si="6"/>
        <v/>
      </c>
      <c r="I400" s="43" t="str">
        <f t="shared" si="5"/>
        <v/>
      </c>
      <c r="J400" s="78"/>
      <c r="K400" s="78">
        <f t="shared" si="3"/>
        <v>182</v>
      </c>
      <c r="L400" s="238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</row>
    <row r="401" ht="15.75" customHeight="1">
      <c r="A401" s="97"/>
      <c r="B401" s="98"/>
      <c r="C401" s="113" t="s">
        <v>646</v>
      </c>
      <c r="D401" s="101"/>
      <c r="E401" s="101"/>
      <c r="F401" s="101"/>
      <c r="G401" s="41">
        <f t="shared" si="1"/>
        <v>0</v>
      </c>
      <c r="H401" s="49" t="str">
        <f t="shared" si="6"/>
        <v/>
      </c>
      <c r="I401" s="43" t="str">
        <f t="shared" si="5"/>
        <v/>
      </c>
      <c r="J401" s="78"/>
      <c r="K401" s="78">
        <f t="shared" si="3"/>
        <v>182</v>
      </c>
      <c r="L401" s="238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</row>
    <row r="402" ht="15.75" customHeight="1">
      <c r="A402" s="97"/>
      <c r="B402" s="98"/>
      <c r="C402" s="113" t="s">
        <v>646</v>
      </c>
      <c r="D402" s="101"/>
      <c r="E402" s="101"/>
      <c r="F402" s="101"/>
      <c r="G402" s="41">
        <f t="shared" si="1"/>
        <v>0</v>
      </c>
      <c r="H402" s="49" t="str">
        <f t="shared" si="6"/>
        <v/>
      </c>
      <c r="I402" s="43" t="str">
        <f t="shared" si="5"/>
        <v/>
      </c>
      <c r="J402" s="78"/>
      <c r="K402" s="78">
        <f t="shared" si="3"/>
        <v>182</v>
      </c>
      <c r="L402" s="238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</row>
    <row r="403" ht="15.75" customHeight="1">
      <c r="A403" s="97"/>
      <c r="B403" s="98"/>
      <c r="C403" s="113" t="s">
        <v>646</v>
      </c>
      <c r="D403" s="101"/>
      <c r="E403" s="101"/>
      <c r="F403" s="101"/>
      <c r="G403" s="41">
        <f t="shared" si="1"/>
        <v>0</v>
      </c>
      <c r="H403" s="49" t="str">
        <f t="shared" si="6"/>
        <v/>
      </c>
      <c r="I403" s="43" t="str">
        <f t="shared" si="5"/>
        <v/>
      </c>
      <c r="J403" s="78"/>
      <c r="K403" s="78">
        <f t="shared" si="3"/>
        <v>182</v>
      </c>
      <c r="L403" s="238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</row>
    <row r="404" ht="15.75" customHeight="1">
      <c r="A404" s="97"/>
      <c r="B404" s="98"/>
      <c r="C404" s="113" t="s">
        <v>646</v>
      </c>
      <c r="D404" s="101"/>
      <c r="E404" s="101"/>
      <c r="F404" s="101"/>
      <c r="G404" s="41">
        <f t="shared" si="1"/>
        <v>0</v>
      </c>
      <c r="H404" s="49" t="str">
        <f t="shared" si="6"/>
        <v/>
      </c>
      <c r="I404" s="43" t="str">
        <f t="shared" si="5"/>
        <v/>
      </c>
      <c r="J404" s="78"/>
      <c r="K404" s="78">
        <f t="shared" si="3"/>
        <v>182</v>
      </c>
      <c r="L404" s="238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</row>
    <row r="405" ht="15.75" customHeight="1">
      <c r="A405" s="97"/>
      <c r="B405" s="98"/>
      <c r="C405" s="113" t="s">
        <v>646</v>
      </c>
      <c r="D405" s="101"/>
      <c r="E405" s="101"/>
      <c r="F405" s="101"/>
      <c r="G405" s="41">
        <f t="shared" si="1"/>
        <v>0</v>
      </c>
      <c r="H405" s="49" t="str">
        <f t="shared" si="6"/>
        <v/>
      </c>
      <c r="I405" s="43" t="str">
        <f t="shared" si="5"/>
        <v/>
      </c>
      <c r="J405" s="78"/>
      <c r="K405" s="78">
        <f t="shared" si="3"/>
        <v>182</v>
      </c>
      <c r="L405" s="238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</row>
    <row r="406" ht="15.75" customHeight="1">
      <c r="A406" s="97"/>
      <c r="B406" s="98"/>
      <c r="C406" s="113" t="s">
        <v>646</v>
      </c>
      <c r="D406" s="101"/>
      <c r="E406" s="101"/>
      <c r="F406" s="101"/>
      <c r="G406" s="41">
        <f t="shared" si="1"/>
        <v>0</v>
      </c>
      <c r="H406" s="49" t="str">
        <f t="shared" si="6"/>
        <v/>
      </c>
      <c r="I406" s="43" t="str">
        <f t="shared" si="5"/>
        <v/>
      </c>
      <c r="J406" s="78"/>
      <c r="K406" s="78">
        <f t="shared" si="3"/>
        <v>182</v>
      </c>
      <c r="L406" s="238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</row>
    <row r="407" ht="15.75" customHeight="1">
      <c r="A407" s="97"/>
      <c r="B407" s="98"/>
      <c r="C407" s="113" t="s">
        <v>646</v>
      </c>
      <c r="D407" s="101"/>
      <c r="E407" s="101"/>
      <c r="F407" s="101"/>
      <c r="G407" s="41">
        <f t="shared" si="1"/>
        <v>0</v>
      </c>
      <c r="H407" s="49" t="str">
        <f t="shared" si="6"/>
        <v/>
      </c>
      <c r="I407" s="43" t="str">
        <f t="shared" si="5"/>
        <v/>
      </c>
      <c r="J407" s="78"/>
      <c r="K407" s="78">
        <f t="shared" si="3"/>
        <v>182</v>
      </c>
      <c r="L407" s="238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</row>
    <row r="408" ht="15.75" customHeight="1">
      <c r="A408" s="97"/>
      <c r="B408" s="98"/>
      <c r="C408" s="113" t="s">
        <v>646</v>
      </c>
      <c r="D408" s="101"/>
      <c r="E408" s="101"/>
      <c r="F408" s="101"/>
      <c r="G408" s="41">
        <f t="shared" si="1"/>
        <v>0</v>
      </c>
      <c r="H408" s="49" t="str">
        <f t="shared" si="6"/>
        <v/>
      </c>
      <c r="I408" s="43" t="str">
        <f t="shared" si="5"/>
        <v/>
      </c>
      <c r="J408" s="78"/>
      <c r="K408" s="78">
        <f t="shared" si="3"/>
        <v>182</v>
      </c>
      <c r="L408" s="238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</row>
    <row r="409" ht="15.75" customHeight="1">
      <c r="A409" s="97"/>
      <c r="B409" s="98"/>
      <c r="C409" s="113" t="s">
        <v>646</v>
      </c>
      <c r="D409" s="101"/>
      <c r="E409" s="101"/>
      <c r="F409" s="101"/>
      <c r="G409" s="41">
        <f t="shared" si="1"/>
        <v>0</v>
      </c>
      <c r="H409" s="49" t="str">
        <f t="shared" si="6"/>
        <v/>
      </c>
      <c r="I409" s="43" t="str">
        <f t="shared" si="5"/>
        <v/>
      </c>
      <c r="J409" s="78"/>
      <c r="K409" s="78">
        <f t="shared" si="3"/>
        <v>182</v>
      </c>
      <c r="L409" s="238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</row>
    <row r="410" ht="15.75" customHeight="1">
      <c r="A410" s="97"/>
      <c r="B410" s="98"/>
      <c r="C410" s="113" t="s">
        <v>646</v>
      </c>
      <c r="D410" s="101"/>
      <c r="E410" s="101"/>
      <c r="F410" s="101"/>
      <c r="G410" s="41">
        <f t="shared" si="1"/>
        <v>0</v>
      </c>
      <c r="H410" s="49" t="str">
        <f t="shared" si="6"/>
        <v/>
      </c>
      <c r="I410" s="43" t="str">
        <f t="shared" si="5"/>
        <v/>
      </c>
      <c r="J410" s="78"/>
      <c r="K410" s="78">
        <f t="shared" si="3"/>
        <v>182</v>
      </c>
      <c r="L410" s="238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</row>
    <row r="411" ht="15.75" customHeight="1">
      <c r="A411" s="252"/>
      <c r="B411" s="253"/>
      <c r="C411" s="254"/>
      <c r="D411" s="255"/>
      <c r="E411" s="255"/>
      <c r="F411" s="255"/>
      <c r="G411" s="256"/>
      <c r="H411" s="257"/>
      <c r="I411" s="257"/>
      <c r="J411" s="258"/>
      <c r="K411" s="258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</row>
    <row r="412" ht="15.75" customHeight="1">
      <c r="A412" s="252"/>
      <c r="B412" s="253"/>
      <c r="C412" s="254"/>
      <c r="D412" s="255"/>
      <c r="E412" s="255"/>
      <c r="F412" s="255"/>
      <c r="G412" s="256"/>
      <c r="H412" s="257"/>
      <c r="I412" s="257"/>
      <c r="J412" s="258"/>
      <c r="K412" s="258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</row>
    <row r="413" ht="15.75" customHeight="1">
      <c r="A413" s="252"/>
      <c r="B413" s="253"/>
      <c r="C413" s="254"/>
      <c r="D413" s="255"/>
      <c r="E413" s="255"/>
      <c r="F413" s="255"/>
      <c r="G413" s="256"/>
      <c r="H413" s="257"/>
      <c r="I413" s="257"/>
      <c r="J413" s="258"/>
      <c r="K413" s="258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</row>
    <row r="414" ht="15.75" customHeight="1">
      <c r="A414" s="252"/>
      <c r="B414" s="253"/>
      <c r="C414" s="254"/>
      <c r="D414" s="255"/>
      <c r="E414" s="255"/>
      <c r="F414" s="255"/>
      <c r="G414" s="256"/>
      <c r="H414" s="257"/>
      <c r="I414" s="257"/>
      <c r="J414" s="258"/>
      <c r="K414" s="258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</row>
    <row r="415" ht="15.75" customHeight="1">
      <c r="A415" s="252"/>
      <c r="B415" s="253"/>
      <c r="C415" s="254"/>
      <c r="D415" s="255"/>
      <c r="E415" s="255"/>
      <c r="F415" s="255"/>
      <c r="G415" s="256"/>
      <c r="H415" s="257"/>
      <c r="I415" s="257"/>
      <c r="J415" s="258"/>
      <c r="K415" s="258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</row>
    <row r="416" ht="15.75" customHeight="1">
      <c r="A416" s="252"/>
      <c r="B416" s="253"/>
      <c r="C416" s="254"/>
      <c r="D416" s="255"/>
      <c r="E416" s="255"/>
      <c r="F416" s="255"/>
      <c r="G416" s="256"/>
      <c r="H416" s="257"/>
      <c r="I416" s="257"/>
      <c r="J416" s="258"/>
      <c r="K416" s="258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</row>
    <row r="417" ht="15.75" customHeight="1">
      <c r="A417" s="252"/>
      <c r="B417" s="253"/>
      <c r="C417" s="254"/>
      <c r="D417" s="255"/>
      <c r="E417" s="255"/>
      <c r="F417" s="255"/>
      <c r="G417" s="256"/>
      <c r="H417" s="257"/>
      <c r="I417" s="257"/>
      <c r="J417" s="258"/>
      <c r="K417" s="258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</row>
    <row r="418" ht="15.75" customHeight="1">
      <c r="A418" s="252"/>
      <c r="B418" s="253"/>
      <c r="C418" s="254"/>
      <c r="D418" s="255"/>
      <c r="E418" s="255"/>
      <c r="F418" s="255"/>
      <c r="G418" s="256"/>
      <c r="H418" s="257"/>
      <c r="I418" s="257"/>
      <c r="J418" s="258"/>
      <c r="K418" s="258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</row>
    <row r="419" ht="15.75" customHeight="1">
      <c r="A419" s="252"/>
      <c r="B419" s="253"/>
      <c r="C419" s="254"/>
      <c r="D419" s="255"/>
      <c r="E419" s="255"/>
      <c r="F419" s="255"/>
      <c r="G419" s="256"/>
      <c r="H419" s="257"/>
      <c r="I419" s="257"/>
      <c r="J419" s="258"/>
      <c r="K419" s="258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</row>
    <row r="420" ht="15.75" customHeight="1">
      <c r="A420" s="252"/>
      <c r="B420" s="253"/>
      <c r="C420" s="254"/>
      <c r="D420" s="255"/>
      <c r="E420" s="255"/>
      <c r="F420" s="255"/>
      <c r="G420" s="256"/>
      <c r="H420" s="257"/>
      <c r="I420" s="257"/>
      <c r="J420" s="258"/>
      <c r="K420" s="258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</row>
    <row r="421" ht="15.75" customHeight="1">
      <c r="A421" s="252"/>
      <c r="B421" s="253"/>
      <c r="C421" s="254"/>
      <c r="D421" s="255"/>
      <c r="E421" s="255"/>
      <c r="F421" s="255"/>
      <c r="G421" s="256"/>
      <c r="H421" s="257"/>
      <c r="I421" s="257"/>
      <c r="J421" s="258"/>
      <c r="K421" s="258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</row>
    <row r="422" ht="15.75" customHeight="1">
      <c r="A422" s="252"/>
      <c r="B422" s="253"/>
      <c r="C422" s="254"/>
      <c r="D422" s="255"/>
      <c r="E422" s="255"/>
      <c r="F422" s="255"/>
      <c r="G422" s="256"/>
      <c r="H422" s="257"/>
      <c r="I422" s="257"/>
      <c r="J422" s="258"/>
      <c r="K422" s="258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</row>
    <row r="423" ht="15.75" customHeight="1">
      <c r="A423" s="252"/>
      <c r="B423" s="253"/>
      <c r="C423" s="254"/>
      <c r="D423" s="255"/>
      <c r="E423" s="255"/>
      <c r="F423" s="255"/>
      <c r="G423" s="256"/>
      <c r="H423" s="257"/>
      <c r="I423" s="257"/>
      <c r="J423" s="258"/>
      <c r="K423" s="258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</row>
    <row r="424" ht="15.75" customHeight="1">
      <c r="A424" s="252"/>
      <c r="B424" s="253"/>
      <c r="C424" s="254"/>
      <c r="D424" s="255"/>
      <c r="E424" s="255"/>
      <c r="F424" s="255"/>
      <c r="G424" s="256"/>
      <c r="H424" s="257"/>
      <c r="I424" s="257"/>
      <c r="J424" s="258"/>
      <c r="K424" s="258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</row>
    <row r="425" ht="15.75" customHeight="1">
      <c r="A425" s="252"/>
      <c r="B425" s="253"/>
      <c r="C425" s="254"/>
      <c r="D425" s="255"/>
      <c r="E425" s="255"/>
      <c r="F425" s="255"/>
      <c r="G425" s="256"/>
      <c r="H425" s="257"/>
      <c r="I425" s="257"/>
      <c r="J425" s="258"/>
      <c r="K425" s="258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</row>
    <row r="426" ht="15.75" customHeight="1">
      <c r="A426" s="252"/>
      <c r="B426" s="253"/>
      <c r="C426" s="254"/>
      <c r="D426" s="255"/>
      <c r="E426" s="255"/>
      <c r="F426" s="255"/>
      <c r="G426" s="256"/>
      <c r="H426" s="257"/>
      <c r="I426" s="257"/>
      <c r="J426" s="258"/>
      <c r="K426" s="258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</row>
    <row r="427" ht="15.75" customHeight="1">
      <c r="A427" s="252"/>
      <c r="B427" s="253"/>
      <c r="C427" s="254"/>
      <c r="D427" s="255"/>
      <c r="E427" s="255"/>
      <c r="F427" s="255"/>
      <c r="G427" s="256"/>
      <c r="H427" s="257"/>
      <c r="I427" s="257"/>
      <c r="J427" s="258"/>
      <c r="K427" s="258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</row>
    <row r="428" ht="15.75" customHeight="1">
      <c r="A428" s="252"/>
      <c r="B428" s="253"/>
      <c r="C428" s="254"/>
      <c r="D428" s="255"/>
      <c r="E428" s="255"/>
      <c r="F428" s="255"/>
      <c r="G428" s="256"/>
      <c r="H428" s="257"/>
      <c r="I428" s="257"/>
      <c r="J428" s="258"/>
      <c r="K428" s="258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</row>
    <row r="429" ht="15.75" customHeight="1">
      <c r="A429" s="252"/>
      <c r="B429" s="253"/>
      <c r="C429" s="254"/>
      <c r="D429" s="255"/>
      <c r="E429" s="255"/>
      <c r="F429" s="255"/>
      <c r="G429" s="256"/>
      <c r="H429" s="257"/>
      <c r="I429" s="257"/>
      <c r="J429" s="258"/>
      <c r="K429" s="258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</row>
    <row r="430" ht="15.75" customHeight="1">
      <c r="A430" s="252"/>
      <c r="B430" s="253"/>
      <c r="C430" s="254"/>
      <c r="D430" s="255"/>
      <c r="E430" s="255"/>
      <c r="F430" s="255"/>
      <c r="G430" s="256"/>
      <c r="H430" s="257"/>
      <c r="I430" s="257"/>
      <c r="J430" s="258"/>
      <c r="K430" s="258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</row>
    <row r="431" ht="15.75" customHeight="1">
      <c r="A431" s="252"/>
      <c r="B431" s="253"/>
      <c r="C431" s="254"/>
      <c r="D431" s="255"/>
      <c r="E431" s="255"/>
      <c r="F431" s="255"/>
      <c r="G431" s="256"/>
      <c r="H431" s="257"/>
      <c r="I431" s="257"/>
      <c r="J431" s="258"/>
      <c r="K431" s="258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</row>
    <row r="432" ht="15.75" customHeight="1">
      <c r="A432" s="252"/>
      <c r="B432" s="253"/>
      <c r="C432" s="254"/>
      <c r="D432" s="255"/>
      <c r="E432" s="255"/>
      <c r="F432" s="255"/>
      <c r="G432" s="256"/>
      <c r="H432" s="257"/>
      <c r="I432" s="257"/>
      <c r="J432" s="258"/>
      <c r="K432" s="258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</row>
    <row r="433" ht="15.75" customHeight="1">
      <c r="A433" s="252"/>
      <c r="B433" s="253"/>
      <c r="C433" s="254"/>
      <c r="D433" s="255"/>
      <c r="E433" s="255"/>
      <c r="F433" s="255"/>
      <c r="G433" s="256"/>
      <c r="H433" s="257"/>
      <c r="I433" s="257"/>
      <c r="J433" s="258"/>
      <c r="K433" s="258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</row>
    <row r="434" ht="15.75" customHeight="1">
      <c r="A434" s="252"/>
      <c r="B434" s="253"/>
      <c r="C434" s="254"/>
      <c r="D434" s="255"/>
      <c r="E434" s="255"/>
      <c r="F434" s="255"/>
      <c r="G434" s="256"/>
      <c r="H434" s="257"/>
      <c r="I434" s="257"/>
      <c r="J434" s="258"/>
      <c r="K434" s="258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</row>
    <row r="435" ht="15.75" customHeight="1">
      <c r="A435" s="252"/>
      <c r="B435" s="253"/>
      <c r="C435" s="254"/>
      <c r="D435" s="255"/>
      <c r="E435" s="255"/>
      <c r="F435" s="255"/>
      <c r="G435" s="256"/>
      <c r="H435" s="257"/>
      <c r="I435" s="257"/>
      <c r="J435" s="258"/>
      <c r="K435" s="258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</row>
    <row r="436" ht="15.75" customHeight="1">
      <c r="A436" s="252"/>
      <c r="B436" s="253"/>
      <c r="C436" s="254"/>
      <c r="D436" s="255"/>
      <c r="E436" s="255"/>
      <c r="F436" s="255"/>
      <c r="G436" s="256"/>
      <c r="H436" s="257"/>
      <c r="I436" s="257"/>
      <c r="J436" s="258"/>
      <c r="K436" s="258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</row>
    <row r="437" ht="15.75" customHeight="1">
      <c r="A437" s="252"/>
      <c r="B437" s="253"/>
      <c r="C437" s="254"/>
      <c r="D437" s="255"/>
      <c r="E437" s="255"/>
      <c r="F437" s="255"/>
      <c r="G437" s="256"/>
      <c r="H437" s="257"/>
      <c r="I437" s="257"/>
      <c r="J437" s="258"/>
      <c r="K437" s="258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</row>
    <row r="438" ht="15.75" customHeight="1">
      <c r="A438" s="252"/>
      <c r="B438" s="253"/>
      <c r="C438" s="254"/>
      <c r="D438" s="255"/>
      <c r="E438" s="255"/>
      <c r="F438" s="255"/>
      <c r="G438" s="256"/>
      <c r="H438" s="257"/>
      <c r="I438" s="257"/>
      <c r="J438" s="258"/>
      <c r="K438" s="258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</row>
    <row r="439" ht="15.75" customHeight="1">
      <c r="A439" s="252"/>
      <c r="B439" s="253"/>
      <c r="C439" s="254"/>
      <c r="D439" s="255"/>
      <c r="E439" s="255"/>
      <c r="F439" s="255"/>
      <c r="G439" s="256"/>
      <c r="H439" s="257"/>
      <c r="I439" s="257"/>
      <c r="J439" s="258"/>
      <c r="K439" s="258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</row>
    <row r="440" ht="15.75" customHeight="1">
      <c r="A440" s="252"/>
      <c r="B440" s="253"/>
      <c r="C440" s="254"/>
      <c r="D440" s="255"/>
      <c r="E440" s="255"/>
      <c r="F440" s="255"/>
      <c r="G440" s="256"/>
      <c r="H440" s="257"/>
      <c r="I440" s="257"/>
      <c r="J440" s="258"/>
      <c r="K440" s="258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</row>
    <row r="441" ht="15.75" customHeight="1">
      <c r="A441" s="252"/>
      <c r="B441" s="253"/>
      <c r="C441" s="254"/>
      <c r="D441" s="255"/>
      <c r="E441" s="255"/>
      <c r="F441" s="255"/>
      <c r="G441" s="256"/>
      <c r="H441" s="257"/>
      <c r="I441" s="257"/>
      <c r="J441" s="258"/>
      <c r="K441" s="258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</row>
    <row r="442" ht="15.75" customHeight="1">
      <c r="A442" s="252"/>
      <c r="B442" s="253"/>
      <c r="C442" s="254"/>
      <c r="D442" s="255"/>
      <c r="E442" s="255"/>
      <c r="F442" s="255"/>
      <c r="G442" s="256"/>
      <c r="H442" s="257"/>
      <c r="I442" s="257"/>
      <c r="J442" s="258"/>
      <c r="K442" s="258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</row>
    <row r="443" ht="15.75" customHeight="1">
      <c r="A443" s="252"/>
      <c r="B443" s="253"/>
      <c r="C443" s="254"/>
      <c r="D443" s="255"/>
      <c r="E443" s="255"/>
      <c r="F443" s="255"/>
      <c r="G443" s="256"/>
      <c r="H443" s="257"/>
      <c r="I443" s="257"/>
      <c r="J443" s="258"/>
      <c r="K443" s="258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</row>
    <row r="444" ht="15.75" customHeight="1">
      <c r="A444" s="252"/>
      <c r="B444" s="253"/>
      <c r="C444" s="254"/>
      <c r="D444" s="255"/>
      <c r="E444" s="255"/>
      <c r="F444" s="255"/>
      <c r="G444" s="256"/>
      <c r="H444" s="257"/>
      <c r="I444" s="257"/>
      <c r="J444" s="258"/>
      <c r="K444" s="258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</row>
    <row r="445" ht="15.75" customHeight="1">
      <c r="A445" s="252"/>
      <c r="B445" s="253"/>
      <c r="C445" s="254"/>
      <c r="D445" s="255"/>
      <c r="E445" s="255"/>
      <c r="F445" s="255"/>
      <c r="G445" s="256"/>
      <c r="H445" s="257"/>
      <c r="I445" s="257"/>
      <c r="J445" s="258"/>
      <c r="K445" s="258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</row>
    <row r="446" ht="15.75" customHeight="1">
      <c r="A446" s="252"/>
      <c r="B446" s="253"/>
      <c r="C446" s="254"/>
      <c r="D446" s="255"/>
      <c r="E446" s="255"/>
      <c r="F446" s="255"/>
      <c r="G446" s="256"/>
      <c r="H446" s="257"/>
      <c r="I446" s="257"/>
      <c r="J446" s="258"/>
      <c r="K446" s="258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</row>
    <row r="447" ht="15.75" customHeight="1">
      <c r="A447" s="252"/>
      <c r="B447" s="253"/>
      <c r="C447" s="254"/>
      <c r="D447" s="255"/>
      <c r="E447" s="255"/>
      <c r="F447" s="255"/>
      <c r="G447" s="256"/>
      <c r="H447" s="257"/>
      <c r="I447" s="257"/>
      <c r="J447" s="258"/>
      <c r="K447" s="258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</row>
    <row r="448" ht="15.75" customHeight="1">
      <c r="A448" s="252"/>
      <c r="B448" s="253"/>
      <c r="C448" s="254"/>
      <c r="D448" s="255"/>
      <c r="E448" s="255"/>
      <c r="F448" s="255"/>
      <c r="G448" s="256"/>
      <c r="H448" s="257"/>
      <c r="I448" s="257"/>
      <c r="J448" s="258"/>
      <c r="K448" s="258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</row>
    <row r="449" ht="15.75" customHeight="1">
      <c r="A449" s="252"/>
      <c r="B449" s="253"/>
      <c r="C449" s="254"/>
      <c r="D449" s="255"/>
      <c r="E449" s="255"/>
      <c r="F449" s="255"/>
      <c r="G449" s="256"/>
      <c r="H449" s="257"/>
      <c r="I449" s="257"/>
      <c r="J449" s="258"/>
      <c r="K449" s="258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</row>
    <row r="450" ht="15.75" customHeight="1">
      <c r="A450" s="252"/>
      <c r="B450" s="253"/>
      <c r="C450" s="254"/>
      <c r="D450" s="255"/>
      <c r="E450" s="255"/>
      <c r="F450" s="255"/>
      <c r="G450" s="256"/>
      <c r="H450" s="257"/>
      <c r="I450" s="257"/>
      <c r="J450" s="258"/>
      <c r="K450" s="258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</row>
    <row r="451" ht="15.75" customHeight="1">
      <c r="A451" s="252"/>
      <c r="B451" s="253"/>
      <c r="C451" s="254"/>
      <c r="D451" s="255"/>
      <c r="E451" s="255"/>
      <c r="F451" s="255"/>
      <c r="G451" s="256"/>
      <c r="H451" s="257"/>
      <c r="I451" s="257"/>
      <c r="J451" s="258"/>
      <c r="K451" s="258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</row>
    <row r="452" ht="15.75" customHeight="1">
      <c r="A452" s="252"/>
      <c r="B452" s="253"/>
      <c r="C452" s="254"/>
      <c r="D452" s="255"/>
      <c r="E452" s="255"/>
      <c r="F452" s="255"/>
      <c r="G452" s="256"/>
      <c r="H452" s="257"/>
      <c r="I452" s="257"/>
      <c r="J452" s="258"/>
      <c r="K452" s="258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</row>
    <row r="453" ht="15.75" customHeight="1">
      <c r="A453" s="252"/>
      <c r="B453" s="253"/>
      <c r="C453" s="254"/>
      <c r="D453" s="255"/>
      <c r="E453" s="255"/>
      <c r="F453" s="255"/>
      <c r="G453" s="256"/>
      <c r="H453" s="257"/>
      <c r="I453" s="257"/>
      <c r="J453" s="258"/>
      <c r="K453" s="258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</row>
    <row r="454" ht="15.75" customHeight="1">
      <c r="A454" s="252"/>
      <c r="B454" s="253"/>
      <c r="C454" s="254"/>
      <c r="D454" s="255"/>
      <c r="E454" s="255"/>
      <c r="F454" s="255"/>
      <c r="G454" s="256"/>
      <c r="H454" s="257"/>
      <c r="I454" s="257"/>
      <c r="J454" s="258"/>
      <c r="K454" s="258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</row>
    <row r="455" ht="15.75" customHeight="1">
      <c r="A455" s="252"/>
      <c r="B455" s="253"/>
      <c r="C455" s="254"/>
      <c r="D455" s="255"/>
      <c r="E455" s="255"/>
      <c r="F455" s="255"/>
      <c r="G455" s="256"/>
      <c r="H455" s="257"/>
      <c r="I455" s="257"/>
      <c r="J455" s="258"/>
      <c r="K455" s="258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</row>
    <row r="456" ht="15.75" customHeight="1">
      <c r="A456" s="252"/>
      <c r="B456" s="253"/>
      <c r="C456" s="254"/>
      <c r="D456" s="255"/>
      <c r="E456" s="255"/>
      <c r="F456" s="255"/>
      <c r="G456" s="256"/>
      <c r="H456" s="257"/>
      <c r="I456" s="257"/>
      <c r="J456" s="258"/>
      <c r="K456" s="258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</row>
    <row r="457" ht="15.75" customHeight="1">
      <c r="A457" s="252"/>
      <c r="B457" s="253"/>
      <c r="C457" s="254"/>
      <c r="D457" s="255"/>
      <c r="E457" s="255"/>
      <c r="F457" s="255"/>
      <c r="G457" s="256"/>
      <c r="H457" s="257"/>
      <c r="I457" s="257"/>
      <c r="J457" s="258"/>
      <c r="K457" s="258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</row>
    <row r="458" ht="15.75" customHeight="1">
      <c r="A458" s="252"/>
      <c r="B458" s="253"/>
      <c r="C458" s="254"/>
      <c r="D458" s="255"/>
      <c r="E458" s="255"/>
      <c r="F458" s="255"/>
      <c r="G458" s="256"/>
      <c r="H458" s="257"/>
      <c r="I458" s="257"/>
      <c r="J458" s="258"/>
      <c r="K458" s="258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</row>
    <row r="459" ht="15.75" customHeight="1">
      <c r="A459" s="252"/>
      <c r="B459" s="253"/>
      <c r="C459" s="254"/>
      <c r="D459" s="255"/>
      <c r="E459" s="255"/>
      <c r="F459" s="255"/>
      <c r="G459" s="256"/>
      <c r="H459" s="257"/>
      <c r="I459" s="257"/>
      <c r="J459" s="258"/>
      <c r="K459" s="258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</row>
    <row r="460" ht="15.75" customHeight="1">
      <c r="A460" s="252"/>
      <c r="B460" s="253"/>
      <c r="C460" s="254"/>
      <c r="D460" s="255"/>
      <c r="E460" s="255"/>
      <c r="F460" s="255"/>
      <c r="G460" s="256"/>
      <c r="H460" s="257"/>
      <c r="I460" s="257"/>
      <c r="J460" s="258"/>
      <c r="K460" s="258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</row>
    <row r="461" ht="15.75" customHeight="1">
      <c r="A461" s="252"/>
      <c r="B461" s="253"/>
      <c r="C461" s="254"/>
      <c r="D461" s="255"/>
      <c r="E461" s="255"/>
      <c r="F461" s="255"/>
      <c r="G461" s="256"/>
      <c r="H461" s="257"/>
      <c r="I461" s="257"/>
      <c r="J461" s="258"/>
      <c r="K461" s="258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</row>
    <row r="462" ht="15.75" customHeight="1">
      <c r="A462" s="252"/>
      <c r="B462" s="253"/>
      <c r="C462" s="254"/>
      <c r="D462" s="255"/>
      <c r="E462" s="255"/>
      <c r="F462" s="255"/>
      <c r="G462" s="256"/>
      <c r="H462" s="257"/>
      <c r="I462" s="257"/>
      <c r="J462" s="258"/>
      <c r="K462" s="258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</row>
    <row r="463" ht="15.75" customHeight="1">
      <c r="A463" s="252"/>
      <c r="B463" s="253"/>
      <c r="C463" s="254"/>
      <c r="D463" s="255"/>
      <c r="E463" s="255"/>
      <c r="F463" s="255"/>
      <c r="G463" s="256"/>
      <c r="H463" s="257"/>
      <c r="I463" s="257"/>
      <c r="J463" s="258"/>
      <c r="K463" s="258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</row>
    <row r="464" ht="15.75" customHeight="1">
      <c r="A464" s="252"/>
      <c r="B464" s="253"/>
      <c r="C464" s="254"/>
      <c r="D464" s="255"/>
      <c r="E464" s="255"/>
      <c r="F464" s="255"/>
      <c r="G464" s="256"/>
      <c r="H464" s="257"/>
      <c r="I464" s="257"/>
      <c r="J464" s="258"/>
      <c r="K464" s="258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</row>
    <row r="465" ht="15.75" customHeight="1">
      <c r="A465" s="252"/>
      <c r="B465" s="253"/>
      <c r="C465" s="254"/>
      <c r="D465" s="255"/>
      <c r="E465" s="255"/>
      <c r="F465" s="255"/>
      <c r="G465" s="256"/>
      <c r="H465" s="257"/>
      <c r="I465" s="257"/>
      <c r="J465" s="258"/>
      <c r="K465" s="258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</row>
    <row r="466" ht="15.75" customHeight="1">
      <c r="A466" s="252"/>
      <c r="B466" s="253"/>
      <c r="C466" s="254"/>
      <c r="D466" s="255"/>
      <c r="E466" s="255"/>
      <c r="F466" s="255"/>
      <c r="G466" s="256"/>
      <c r="H466" s="257"/>
      <c r="I466" s="257"/>
      <c r="J466" s="258"/>
      <c r="K466" s="258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</row>
    <row r="467" ht="15.75" customHeight="1">
      <c r="A467" s="252"/>
      <c r="B467" s="253"/>
      <c r="C467" s="254"/>
      <c r="D467" s="255"/>
      <c r="E467" s="255"/>
      <c r="F467" s="255"/>
      <c r="G467" s="256"/>
      <c r="H467" s="257"/>
      <c r="I467" s="257"/>
      <c r="J467" s="258"/>
      <c r="K467" s="258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</row>
    <row r="468" ht="15.75" customHeight="1">
      <c r="A468" s="252"/>
      <c r="B468" s="253"/>
      <c r="C468" s="254"/>
      <c r="D468" s="255"/>
      <c r="E468" s="255"/>
      <c r="F468" s="255"/>
      <c r="G468" s="256"/>
      <c r="H468" s="257"/>
      <c r="I468" s="257"/>
      <c r="J468" s="258"/>
      <c r="K468" s="258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</row>
    <row r="469" ht="15.75" customHeight="1">
      <c r="A469" s="252"/>
      <c r="B469" s="253"/>
      <c r="C469" s="254"/>
      <c r="D469" s="255"/>
      <c r="E469" s="255"/>
      <c r="F469" s="255"/>
      <c r="G469" s="256"/>
      <c r="H469" s="257"/>
      <c r="I469" s="257"/>
      <c r="J469" s="258"/>
      <c r="K469" s="258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</row>
    <row r="470" ht="15.75" customHeight="1">
      <c r="A470" s="252"/>
      <c r="B470" s="253"/>
      <c r="C470" s="254"/>
      <c r="D470" s="255"/>
      <c r="E470" s="255"/>
      <c r="F470" s="255"/>
      <c r="G470" s="256"/>
      <c r="H470" s="257"/>
      <c r="I470" s="257"/>
      <c r="J470" s="258"/>
      <c r="K470" s="258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</row>
    <row r="471" ht="15.75" customHeight="1">
      <c r="A471" s="252"/>
      <c r="B471" s="253"/>
      <c r="C471" s="254"/>
      <c r="D471" s="255"/>
      <c r="E471" s="255"/>
      <c r="F471" s="255"/>
      <c r="G471" s="256"/>
      <c r="H471" s="257"/>
      <c r="I471" s="257"/>
      <c r="J471" s="258"/>
      <c r="K471" s="258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</row>
    <row r="472" ht="15.75" customHeight="1">
      <c r="A472" s="252"/>
      <c r="B472" s="253"/>
      <c r="C472" s="254"/>
      <c r="D472" s="255"/>
      <c r="E472" s="255"/>
      <c r="F472" s="255"/>
      <c r="G472" s="256"/>
      <c r="H472" s="257"/>
      <c r="I472" s="257"/>
      <c r="J472" s="258"/>
      <c r="K472" s="258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</row>
    <row r="473" ht="15.75" customHeight="1">
      <c r="A473" s="252"/>
      <c r="B473" s="253"/>
      <c r="C473" s="254"/>
      <c r="D473" s="255"/>
      <c r="E473" s="255"/>
      <c r="F473" s="255"/>
      <c r="G473" s="256"/>
      <c r="H473" s="257"/>
      <c r="I473" s="257"/>
      <c r="J473" s="258"/>
      <c r="K473" s="258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</row>
    <row r="474" ht="15.75" customHeight="1">
      <c r="A474" s="252"/>
      <c r="B474" s="253"/>
      <c r="C474" s="254"/>
      <c r="D474" s="255"/>
      <c r="E474" s="255"/>
      <c r="F474" s="255"/>
      <c r="G474" s="256"/>
      <c r="H474" s="257"/>
      <c r="I474" s="257"/>
      <c r="J474" s="258"/>
      <c r="K474" s="258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</row>
    <row r="475" ht="15.75" customHeight="1">
      <c r="A475" s="252"/>
      <c r="B475" s="253"/>
      <c r="C475" s="254"/>
      <c r="D475" s="255"/>
      <c r="E475" s="255"/>
      <c r="F475" s="255"/>
      <c r="G475" s="256"/>
      <c r="H475" s="257"/>
      <c r="I475" s="257"/>
      <c r="J475" s="258"/>
      <c r="K475" s="258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</row>
    <row r="476" ht="15.75" customHeight="1">
      <c r="A476" s="252"/>
      <c r="B476" s="253"/>
      <c r="C476" s="254"/>
      <c r="D476" s="255"/>
      <c r="E476" s="255"/>
      <c r="F476" s="255"/>
      <c r="G476" s="256"/>
      <c r="H476" s="257"/>
      <c r="I476" s="257"/>
      <c r="J476" s="258"/>
      <c r="K476" s="258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</row>
    <row r="477" ht="15.75" customHeight="1">
      <c r="A477" s="252"/>
      <c r="B477" s="253"/>
      <c r="C477" s="254"/>
      <c r="D477" s="255"/>
      <c r="E477" s="255"/>
      <c r="F477" s="255"/>
      <c r="G477" s="256"/>
      <c r="H477" s="257"/>
      <c r="I477" s="257"/>
      <c r="J477" s="258"/>
      <c r="K477" s="258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</row>
    <row r="478" ht="15.75" customHeight="1">
      <c r="A478" s="252"/>
      <c r="B478" s="253"/>
      <c r="C478" s="254"/>
      <c r="D478" s="255"/>
      <c r="E478" s="255"/>
      <c r="F478" s="255"/>
      <c r="G478" s="256"/>
      <c r="H478" s="257"/>
      <c r="I478" s="257"/>
      <c r="J478" s="258"/>
      <c r="K478" s="258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</row>
    <row r="479" ht="15.75" customHeight="1">
      <c r="A479" s="252"/>
      <c r="B479" s="253"/>
      <c r="C479" s="254"/>
      <c r="D479" s="255"/>
      <c r="E479" s="255"/>
      <c r="F479" s="255"/>
      <c r="G479" s="256"/>
      <c r="H479" s="257"/>
      <c r="I479" s="257"/>
      <c r="J479" s="258"/>
      <c r="K479" s="258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</row>
    <row r="480" ht="15.75" customHeight="1">
      <c r="A480" s="252"/>
      <c r="B480" s="253"/>
      <c r="C480" s="254"/>
      <c r="D480" s="255"/>
      <c r="E480" s="255"/>
      <c r="F480" s="255"/>
      <c r="G480" s="256"/>
      <c r="H480" s="257"/>
      <c r="I480" s="257"/>
      <c r="J480" s="258"/>
      <c r="K480" s="258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</row>
    <row r="481" ht="15.75" customHeight="1">
      <c r="A481" s="252"/>
      <c r="B481" s="253"/>
      <c r="C481" s="254"/>
      <c r="D481" s="255"/>
      <c r="E481" s="255"/>
      <c r="F481" s="255"/>
      <c r="G481" s="256"/>
      <c r="H481" s="257"/>
      <c r="I481" s="257"/>
      <c r="J481" s="258"/>
      <c r="K481" s="258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</row>
    <row r="482" ht="15.75" customHeight="1">
      <c r="A482" s="252"/>
      <c r="B482" s="253"/>
      <c r="C482" s="254"/>
      <c r="D482" s="255"/>
      <c r="E482" s="255"/>
      <c r="F482" s="255"/>
      <c r="G482" s="256"/>
      <c r="H482" s="257"/>
      <c r="I482" s="257"/>
      <c r="J482" s="258"/>
      <c r="K482" s="258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</row>
    <row r="483" ht="15.75" customHeight="1">
      <c r="A483" s="252"/>
      <c r="B483" s="253"/>
      <c r="C483" s="254"/>
      <c r="D483" s="255"/>
      <c r="E483" s="255"/>
      <c r="F483" s="255"/>
      <c r="G483" s="256"/>
      <c r="H483" s="257"/>
      <c r="I483" s="257"/>
      <c r="J483" s="258"/>
      <c r="K483" s="258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</row>
    <row r="484" ht="15.75" customHeight="1">
      <c r="A484" s="252"/>
      <c r="B484" s="253"/>
      <c r="C484" s="254"/>
      <c r="D484" s="255"/>
      <c r="E484" s="255"/>
      <c r="F484" s="255"/>
      <c r="G484" s="256"/>
      <c r="H484" s="257"/>
      <c r="I484" s="257"/>
      <c r="J484" s="258"/>
      <c r="K484" s="258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</row>
    <row r="485" ht="15.75" customHeight="1">
      <c r="A485" s="252"/>
      <c r="B485" s="253"/>
      <c r="C485" s="254"/>
      <c r="D485" s="255"/>
      <c r="E485" s="255"/>
      <c r="F485" s="255"/>
      <c r="G485" s="256"/>
      <c r="H485" s="257"/>
      <c r="I485" s="257"/>
      <c r="J485" s="258"/>
      <c r="K485" s="258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</row>
    <row r="486" ht="15.75" customHeight="1">
      <c r="A486" s="252"/>
      <c r="B486" s="253"/>
      <c r="C486" s="254"/>
      <c r="D486" s="255"/>
      <c r="E486" s="255"/>
      <c r="F486" s="255"/>
      <c r="G486" s="256"/>
      <c r="H486" s="257"/>
      <c r="I486" s="257"/>
      <c r="J486" s="258"/>
      <c r="K486" s="258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</row>
    <row r="487" ht="15.75" customHeight="1">
      <c r="A487" s="252"/>
      <c r="B487" s="253"/>
      <c r="C487" s="254"/>
      <c r="D487" s="255"/>
      <c r="E487" s="255"/>
      <c r="F487" s="255"/>
      <c r="G487" s="256"/>
      <c r="H487" s="257"/>
      <c r="I487" s="257"/>
      <c r="J487" s="258"/>
      <c r="K487" s="258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</row>
    <row r="488" ht="15.75" customHeight="1">
      <c r="A488" s="252"/>
      <c r="B488" s="253"/>
      <c r="C488" s="254"/>
      <c r="D488" s="255"/>
      <c r="E488" s="255"/>
      <c r="F488" s="255"/>
      <c r="G488" s="256"/>
      <c r="H488" s="257"/>
      <c r="I488" s="257"/>
      <c r="J488" s="258"/>
      <c r="K488" s="258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</row>
    <row r="489" ht="15.75" customHeight="1">
      <c r="A489" s="252"/>
      <c r="B489" s="253"/>
      <c r="C489" s="254"/>
      <c r="D489" s="255"/>
      <c r="E489" s="255"/>
      <c r="F489" s="255"/>
      <c r="G489" s="256"/>
      <c r="H489" s="257"/>
      <c r="I489" s="257"/>
      <c r="J489" s="258"/>
      <c r="K489" s="258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</row>
    <row r="490" ht="15.75" customHeight="1">
      <c r="A490" s="252"/>
      <c r="B490" s="253"/>
      <c r="C490" s="254"/>
      <c r="D490" s="255"/>
      <c r="E490" s="255"/>
      <c r="F490" s="255"/>
      <c r="G490" s="256"/>
      <c r="H490" s="257"/>
      <c r="I490" s="257"/>
      <c r="J490" s="258"/>
      <c r="K490" s="258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</row>
    <row r="491" ht="15.75" customHeight="1">
      <c r="A491" s="252"/>
      <c r="B491" s="253"/>
      <c r="C491" s="254"/>
      <c r="D491" s="255"/>
      <c r="E491" s="255"/>
      <c r="F491" s="255"/>
      <c r="G491" s="256"/>
      <c r="H491" s="257"/>
      <c r="I491" s="257"/>
      <c r="J491" s="258"/>
      <c r="K491" s="258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</row>
    <row r="492" ht="15.75" customHeight="1">
      <c r="A492" s="252"/>
      <c r="B492" s="253"/>
      <c r="C492" s="254"/>
      <c r="D492" s="255"/>
      <c r="E492" s="255"/>
      <c r="F492" s="255"/>
      <c r="G492" s="256"/>
      <c r="H492" s="257"/>
      <c r="I492" s="257"/>
      <c r="J492" s="258"/>
      <c r="K492" s="258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</row>
    <row r="493" ht="15.75" customHeight="1">
      <c r="A493" s="252"/>
      <c r="B493" s="253"/>
      <c r="C493" s="254"/>
      <c r="D493" s="255"/>
      <c r="E493" s="255"/>
      <c r="F493" s="255"/>
      <c r="G493" s="256"/>
      <c r="H493" s="257"/>
      <c r="I493" s="257"/>
      <c r="J493" s="258"/>
      <c r="K493" s="258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</row>
    <row r="494" ht="15.75" customHeight="1">
      <c r="A494" s="252"/>
      <c r="B494" s="253"/>
      <c r="C494" s="254"/>
      <c r="D494" s="255"/>
      <c r="E494" s="255"/>
      <c r="F494" s="255"/>
      <c r="G494" s="256"/>
      <c r="H494" s="257"/>
      <c r="I494" s="257"/>
      <c r="J494" s="258"/>
      <c r="K494" s="258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</row>
    <row r="495" ht="15.75" customHeight="1">
      <c r="A495" s="252"/>
      <c r="B495" s="253"/>
      <c r="C495" s="254"/>
      <c r="D495" s="255"/>
      <c r="E495" s="255"/>
      <c r="F495" s="255"/>
      <c r="G495" s="256"/>
      <c r="H495" s="257"/>
      <c r="I495" s="257"/>
      <c r="J495" s="258"/>
      <c r="K495" s="258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</row>
    <row r="496" ht="15.75" customHeight="1">
      <c r="A496" s="252"/>
      <c r="B496" s="253"/>
      <c r="C496" s="254"/>
      <c r="D496" s="255"/>
      <c r="E496" s="255"/>
      <c r="F496" s="255"/>
      <c r="G496" s="256"/>
      <c r="H496" s="257"/>
      <c r="I496" s="257"/>
      <c r="J496" s="258"/>
      <c r="K496" s="258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</row>
    <row r="497" ht="15.75" customHeight="1">
      <c r="A497" s="252"/>
      <c r="B497" s="253"/>
      <c r="C497" s="254"/>
      <c r="D497" s="255"/>
      <c r="E497" s="255"/>
      <c r="F497" s="255"/>
      <c r="G497" s="256"/>
      <c r="H497" s="257"/>
      <c r="I497" s="257"/>
      <c r="J497" s="258"/>
      <c r="K497" s="258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</row>
    <row r="498" ht="15.75" customHeight="1">
      <c r="A498" s="252"/>
      <c r="B498" s="253"/>
      <c r="C498" s="254"/>
      <c r="D498" s="255"/>
      <c r="E498" s="255"/>
      <c r="F498" s="255"/>
      <c r="G498" s="256"/>
      <c r="H498" s="257"/>
      <c r="I498" s="257"/>
      <c r="J498" s="258"/>
      <c r="K498" s="258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</row>
    <row r="499" ht="15.75" customHeight="1">
      <c r="A499" s="252"/>
      <c r="B499" s="253"/>
      <c r="C499" s="254"/>
      <c r="D499" s="255"/>
      <c r="E499" s="255"/>
      <c r="F499" s="255"/>
      <c r="G499" s="256"/>
      <c r="H499" s="257"/>
      <c r="I499" s="257"/>
      <c r="J499" s="258"/>
      <c r="K499" s="258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</row>
    <row r="500" ht="15.75" customHeight="1">
      <c r="A500" s="252"/>
      <c r="B500" s="253"/>
      <c r="C500" s="254"/>
      <c r="D500" s="255"/>
      <c r="E500" s="255"/>
      <c r="F500" s="255"/>
      <c r="G500" s="256"/>
      <c r="H500" s="257"/>
      <c r="I500" s="257"/>
      <c r="J500" s="258"/>
      <c r="K500" s="258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</row>
    <row r="501" ht="15.75" customHeight="1">
      <c r="A501" s="252"/>
      <c r="B501" s="253"/>
      <c r="C501" s="254"/>
      <c r="D501" s="255"/>
      <c r="E501" s="255"/>
      <c r="F501" s="255"/>
      <c r="G501" s="256"/>
      <c r="H501" s="257"/>
      <c r="I501" s="257"/>
      <c r="J501" s="258"/>
      <c r="K501" s="258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</row>
    <row r="502" ht="15.75" customHeight="1">
      <c r="A502" s="252"/>
      <c r="B502" s="253"/>
      <c r="C502" s="254"/>
      <c r="D502" s="255"/>
      <c r="E502" s="255"/>
      <c r="F502" s="255"/>
      <c r="G502" s="256"/>
      <c r="H502" s="257"/>
      <c r="I502" s="257"/>
      <c r="J502" s="258"/>
      <c r="K502" s="258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</row>
    <row r="503" ht="15.75" customHeight="1">
      <c r="A503" s="252"/>
      <c r="B503" s="253"/>
      <c r="C503" s="254"/>
      <c r="D503" s="255"/>
      <c r="E503" s="255"/>
      <c r="F503" s="255"/>
      <c r="G503" s="256"/>
      <c r="H503" s="257"/>
      <c r="I503" s="257"/>
      <c r="J503" s="258"/>
      <c r="K503" s="258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</row>
    <row r="504" ht="15.75" customHeight="1">
      <c r="A504" s="252"/>
      <c r="B504" s="253"/>
      <c r="C504" s="254"/>
      <c r="D504" s="255"/>
      <c r="E504" s="255"/>
      <c r="F504" s="255"/>
      <c r="G504" s="256"/>
      <c r="H504" s="257"/>
      <c r="I504" s="257"/>
      <c r="J504" s="258"/>
      <c r="K504" s="258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</row>
    <row r="505" ht="15.75" customHeight="1">
      <c r="A505" s="252"/>
      <c r="B505" s="253"/>
      <c r="C505" s="254"/>
      <c r="D505" s="255"/>
      <c r="E505" s="255"/>
      <c r="F505" s="255"/>
      <c r="G505" s="256"/>
      <c r="H505" s="257"/>
      <c r="I505" s="257"/>
      <c r="J505" s="258"/>
      <c r="K505" s="258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</row>
    <row r="506" ht="15.75" customHeight="1">
      <c r="A506" s="252"/>
      <c r="B506" s="253"/>
      <c r="C506" s="254"/>
      <c r="D506" s="255"/>
      <c r="E506" s="255"/>
      <c r="F506" s="255"/>
      <c r="G506" s="256"/>
      <c r="H506" s="257"/>
      <c r="I506" s="257"/>
      <c r="J506" s="258"/>
      <c r="K506" s="258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</row>
    <row r="507" ht="15.75" customHeight="1">
      <c r="A507" s="252"/>
      <c r="B507" s="253"/>
      <c r="C507" s="254"/>
      <c r="D507" s="255"/>
      <c r="E507" s="255"/>
      <c r="F507" s="255"/>
      <c r="G507" s="256"/>
      <c r="H507" s="257"/>
      <c r="I507" s="257"/>
      <c r="J507" s="258"/>
      <c r="K507" s="258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</row>
    <row r="508" ht="15.75" customHeight="1">
      <c r="A508" s="252"/>
      <c r="B508" s="253"/>
      <c r="C508" s="254"/>
      <c r="D508" s="255"/>
      <c r="E508" s="255"/>
      <c r="F508" s="255"/>
      <c r="G508" s="256"/>
      <c r="H508" s="257"/>
      <c r="I508" s="257"/>
      <c r="J508" s="258"/>
      <c r="K508" s="258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</row>
    <row r="509" ht="15.75" customHeight="1">
      <c r="A509" s="252"/>
      <c r="B509" s="253"/>
      <c r="C509" s="254"/>
      <c r="D509" s="255"/>
      <c r="E509" s="255"/>
      <c r="F509" s="255"/>
      <c r="G509" s="256"/>
      <c r="H509" s="257"/>
      <c r="I509" s="257"/>
      <c r="J509" s="258"/>
      <c r="K509" s="258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</row>
    <row r="510" ht="15.75" customHeight="1">
      <c r="A510" s="252"/>
      <c r="B510" s="253"/>
      <c r="C510" s="254"/>
      <c r="D510" s="255"/>
      <c r="E510" s="255"/>
      <c r="F510" s="255"/>
      <c r="G510" s="256"/>
      <c r="H510" s="257"/>
      <c r="I510" s="257"/>
      <c r="J510" s="258"/>
      <c r="K510" s="258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</row>
    <row r="511" ht="15.75" customHeight="1">
      <c r="A511" s="252"/>
      <c r="B511" s="253"/>
      <c r="C511" s="254"/>
      <c r="D511" s="255"/>
      <c r="E511" s="255"/>
      <c r="F511" s="255"/>
      <c r="G511" s="256"/>
      <c r="H511" s="257"/>
      <c r="I511" s="257"/>
      <c r="J511" s="258"/>
      <c r="K511" s="258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</row>
    <row r="512" ht="15.75" customHeight="1">
      <c r="A512" s="252"/>
      <c r="B512" s="253"/>
      <c r="C512" s="254"/>
      <c r="D512" s="255"/>
      <c r="E512" s="255"/>
      <c r="F512" s="255"/>
      <c r="G512" s="256"/>
      <c r="H512" s="257"/>
      <c r="I512" s="257"/>
      <c r="J512" s="258"/>
      <c r="K512" s="258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</row>
    <row r="513" ht="15.75" customHeight="1">
      <c r="A513" s="252"/>
      <c r="B513" s="253"/>
      <c r="C513" s="254"/>
      <c r="D513" s="255"/>
      <c r="E513" s="255"/>
      <c r="F513" s="255"/>
      <c r="G513" s="256"/>
      <c r="H513" s="257"/>
      <c r="I513" s="257"/>
      <c r="J513" s="258"/>
      <c r="K513" s="258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</row>
    <row r="514" ht="15.75" customHeight="1">
      <c r="A514" s="252"/>
      <c r="B514" s="253"/>
      <c r="C514" s="254"/>
      <c r="D514" s="255"/>
      <c r="E514" s="255"/>
      <c r="F514" s="255"/>
      <c r="G514" s="256"/>
      <c r="H514" s="257"/>
      <c r="I514" s="257"/>
      <c r="J514" s="258"/>
      <c r="K514" s="258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</row>
    <row r="515" ht="15.75" customHeight="1">
      <c r="A515" s="252"/>
      <c r="B515" s="253"/>
      <c r="C515" s="254"/>
      <c r="D515" s="255"/>
      <c r="E515" s="255"/>
      <c r="F515" s="255"/>
      <c r="G515" s="256"/>
      <c r="H515" s="257"/>
      <c r="I515" s="257"/>
      <c r="J515" s="258"/>
      <c r="K515" s="258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</row>
    <row r="516" ht="15.75" customHeight="1">
      <c r="A516" s="252"/>
      <c r="B516" s="253"/>
      <c r="C516" s="254"/>
      <c r="D516" s="255"/>
      <c r="E516" s="255"/>
      <c r="F516" s="255"/>
      <c r="G516" s="256"/>
      <c r="H516" s="257"/>
      <c r="I516" s="257"/>
      <c r="J516" s="258"/>
      <c r="K516" s="258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</row>
    <row r="517" ht="15.75" customHeight="1">
      <c r="A517" s="252"/>
      <c r="B517" s="253"/>
      <c r="C517" s="254"/>
      <c r="D517" s="255"/>
      <c r="E517" s="255"/>
      <c r="F517" s="255"/>
      <c r="G517" s="256"/>
      <c r="H517" s="257"/>
      <c r="I517" s="257"/>
      <c r="J517" s="258"/>
      <c r="K517" s="258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</row>
    <row r="518" ht="15.75" customHeight="1">
      <c r="A518" s="252"/>
      <c r="B518" s="253"/>
      <c r="C518" s="254"/>
      <c r="D518" s="255"/>
      <c r="E518" s="255"/>
      <c r="F518" s="255"/>
      <c r="G518" s="256"/>
      <c r="H518" s="257"/>
      <c r="I518" s="257"/>
      <c r="J518" s="258"/>
      <c r="K518" s="258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</row>
    <row r="519" ht="15.75" customHeight="1">
      <c r="A519" s="252"/>
      <c r="B519" s="253"/>
      <c r="C519" s="254"/>
      <c r="D519" s="255"/>
      <c r="E519" s="255"/>
      <c r="F519" s="255"/>
      <c r="G519" s="256"/>
      <c r="H519" s="257"/>
      <c r="I519" s="257"/>
      <c r="J519" s="258"/>
      <c r="K519" s="258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</row>
    <row r="520" ht="15.75" customHeight="1">
      <c r="A520" s="252"/>
      <c r="B520" s="253"/>
      <c r="C520" s="254"/>
      <c r="D520" s="255"/>
      <c r="E520" s="255"/>
      <c r="F520" s="255"/>
      <c r="G520" s="256"/>
      <c r="H520" s="257"/>
      <c r="I520" s="257"/>
      <c r="J520" s="258"/>
      <c r="K520" s="258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</row>
    <row r="521" ht="15.75" customHeight="1">
      <c r="A521" s="252"/>
      <c r="B521" s="253"/>
      <c r="C521" s="254"/>
      <c r="D521" s="255"/>
      <c r="E521" s="255"/>
      <c r="F521" s="255"/>
      <c r="G521" s="256"/>
      <c r="H521" s="257"/>
      <c r="I521" s="257"/>
      <c r="J521" s="258"/>
      <c r="K521" s="258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</row>
    <row r="522" ht="15.75" customHeight="1">
      <c r="A522" s="252"/>
      <c r="B522" s="253"/>
      <c r="C522" s="254"/>
      <c r="D522" s="255"/>
      <c r="E522" s="255"/>
      <c r="F522" s="255"/>
      <c r="G522" s="256"/>
      <c r="H522" s="257"/>
      <c r="I522" s="257"/>
      <c r="J522" s="258"/>
      <c r="K522" s="258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</row>
    <row r="523" ht="15.75" customHeight="1">
      <c r="A523" s="252"/>
      <c r="B523" s="253"/>
      <c r="C523" s="254"/>
      <c r="D523" s="255"/>
      <c r="E523" s="255"/>
      <c r="F523" s="255"/>
      <c r="G523" s="256"/>
      <c r="H523" s="257"/>
      <c r="I523" s="257"/>
      <c r="J523" s="258"/>
      <c r="K523" s="258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</row>
    <row r="524" ht="15.75" customHeight="1">
      <c r="A524" s="252"/>
      <c r="B524" s="253"/>
      <c r="C524" s="254"/>
      <c r="D524" s="255"/>
      <c r="E524" s="255"/>
      <c r="F524" s="255"/>
      <c r="G524" s="256"/>
      <c r="H524" s="257"/>
      <c r="I524" s="257"/>
      <c r="J524" s="258"/>
      <c r="K524" s="258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</row>
    <row r="525" ht="15.75" customHeight="1">
      <c r="A525" s="252"/>
      <c r="B525" s="253"/>
      <c r="C525" s="254"/>
      <c r="D525" s="255"/>
      <c r="E525" s="255"/>
      <c r="F525" s="255"/>
      <c r="G525" s="256"/>
      <c r="H525" s="257"/>
      <c r="I525" s="257"/>
      <c r="J525" s="258"/>
      <c r="K525" s="258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</row>
    <row r="526" ht="15.75" customHeight="1">
      <c r="A526" s="252"/>
      <c r="B526" s="253"/>
      <c r="C526" s="254"/>
      <c r="D526" s="255"/>
      <c r="E526" s="255"/>
      <c r="F526" s="255"/>
      <c r="G526" s="256"/>
      <c r="H526" s="257"/>
      <c r="I526" s="257"/>
      <c r="J526" s="258"/>
      <c r="K526" s="258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</row>
    <row r="527" ht="15.75" customHeight="1">
      <c r="A527" s="252"/>
      <c r="B527" s="253"/>
      <c r="C527" s="254"/>
      <c r="D527" s="255"/>
      <c r="E527" s="255"/>
      <c r="F527" s="255"/>
      <c r="G527" s="256"/>
      <c r="H527" s="257"/>
      <c r="I527" s="257"/>
      <c r="J527" s="258"/>
      <c r="K527" s="258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</row>
    <row r="528" ht="15.75" customHeight="1">
      <c r="A528" s="252"/>
      <c r="B528" s="253"/>
      <c r="C528" s="254"/>
      <c r="D528" s="255"/>
      <c r="E528" s="255"/>
      <c r="F528" s="255"/>
      <c r="G528" s="256"/>
      <c r="H528" s="257"/>
      <c r="I528" s="257"/>
      <c r="J528" s="258"/>
      <c r="K528" s="258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</row>
    <row r="529" ht="15.75" customHeight="1">
      <c r="A529" s="252"/>
      <c r="B529" s="253"/>
      <c r="C529" s="254"/>
      <c r="D529" s="255"/>
      <c r="E529" s="255"/>
      <c r="F529" s="255"/>
      <c r="G529" s="256"/>
      <c r="H529" s="257"/>
      <c r="I529" s="257"/>
      <c r="J529" s="258"/>
      <c r="K529" s="258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</row>
    <row r="530" ht="15.75" customHeight="1">
      <c r="A530" s="252"/>
      <c r="B530" s="253"/>
      <c r="C530" s="254"/>
      <c r="D530" s="255"/>
      <c r="E530" s="255"/>
      <c r="F530" s="255"/>
      <c r="G530" s="256"/>
      <c r="H530" s="257"/>
      <c r="I530" s="257"/>
      <c r="J530" s="258"/>
      <c r="K530" s="258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</row>
    <row r="531" ht="15.75" customHeight="1">
      <c r="A531" s="252"/>
      <c r="B531" s="253"/>
      <c r="C531" s="254"/>
      <c r="D531" s="255"/>
      <c r="E531" s="255"/>
      <c r="F531" s="255"/>
      <c r="G531" s="256"/>
      <c r="H531" s="257"/>
      <c r="I531" s="257"/>
      <c r="J531" s="258"/>
      <c r="K531" s="258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</row>
    <row r="532" ht="15.75" customHeight="1">
      <c r="A532" s="252"/>
      <c r="B532" s="253"/>
      <c r="C532" s="254"/>
      <c r="D532" s="255"/>
      <c r="E532" s="255"/>
      <c r="F532" s="255"/>
      <c r="G532" s="256"/>
      <c r="H532" s="257"/>
      <c r="I532" s="257"/>
      <c r="J532" s="258"/>
      <c r="K532" s="258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</row>
    <row r="533" ht="15.75" customHeight="1">
      <c r="A533" s="252"/>
      <c r="B533" s="253"/>
      <c r="C533" s="254"/>
      <c r="D533" s="255"/>
      <c r="E533" s="255"/>
      <c r="F533" s="255"/>
      <c r="G533" s="256"/>
      <c r="H533" s="257"/>
      <c r="I533" s="257"/>
      <c r="J533" s="258"/>
      <c r="K533" s="258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</row>
    <row r="534" ht="15.75" customHeight="1">
      <c r="A534" s="252"/>
      <c r="B534" s="253"/>
      <c r="C534" s="254"/>
      <c r="D534" s="255"/>
      <c r="E534" s="255"/>
      <c r="F534" s="255"/>
      <c r="G534" s="256"/>
      <c r="H534" s="257"/>
      <c r="I534" s="257"/>
      <c r="J534" s="258"/>
      <c r="K534" s="258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</row>
    <row r="535" ht="15.75" customHeight="1">
      <c r="A535" s="252"/>
      <c r="B535" s="253"/>
      <c r="C535" s="254"/>
      <c r="D535" s="255"/>
      <c r="E535" s="255"/>
      <c r="F535" s="255"/>
      <c r="G535" s="256"/>
      <c r="H535" s="257"/>
      <c r="I535" s="257"/>
      <c r="J535" s="258"/>
      <c r="K535" s="258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</row>
    <row r="536" ht="15.75" customHeight="1">
      <c r="A536" s="252"/>
      <c r="B536" s="253"/>
      <c r="C536" s="254"/>
      <c r="D536" s="255"/>
      <c r="E536" s="255"/>
      <c r="F536" s="255"/>
      <c r="G536" s="256"/>
      <c r="H536" s="257"/>
      <c r="I536" s="257"/>
      <c r="J536" s="258"/>
      <c r="K536" s="258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</row>
    <row r="537" ht="15.75" customHeight="1">
      <c r="A537" s="252"/>
      <c r="B537" s="253"/>
      <c r="C537" s="254"/>
      <c r="D537" s="255"/>
      <c r="E537" s="255"/>
      <c r="F537" s="255"/>
      <c r="G537" s="256"/>
      <c r="H537" s="257"/>
      <c r="I537" s="257"/>
      <c r="J537" s="258"/>
      <c r="K537" s="258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</row>
    <row r="538" ht="15.75" customHeight="1">
      <c r="A538" s="252"/>
      <c r="B538" s="253"/>
      <c r="C538" s="254"/>
      <c r="D538" s="255"/>
      <c r="E538" s="255"/>
      <c r="F538" s="255"/>
      <c r="G538" s="256"/>
      <c r="H538" s="257"/>
      <c r="I538" s="257"/>
      <c r="J538" s="258"/>
      <c r="K538" s="258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</row>
    <row r="539" ht="15.75" customHeight="1">
      <c r="A539" s="252"/>
      <c r="B539" s="253"/>
      <c r="C539" s="254"/>
      <c r="D539" s="255"/>
      <c r="E539" s="255"/>
      <c r="F539" s="255"/>
      <c r="G539" s="256"/>
      <c r="H539" s="257"/>
      <c r="I539" s="257"/>
      <c r="J539" s="258"/>
      <c r="K539" s="258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</row>
    <row r="540" ht="15.75" customHeight="1">
      <c r="A540" s="252"/>
      <c r="B540" s="253"/>
      <c r="C540" s="254"/>
      <c r="D540" s="255"/>
      <c r="E540" s="255"/>
      <c r="F540" s="255"/>
      <c r="G540" s="256"/>
      <c r="H540" s="257"/>
      <c r="I540" s="257"/>
      <c r="J540" s="258"/>
      <c r="K540" s="258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</row>
    <row r="541" ht="15.75" customHeight="1">
      <c r="A541" s="252"/>
      <c r="B541" s="253"/>
      <c r="C541" s="254"/>
      <c r="D541" s="255"/>
      <c r="E541" s="255"/>
      <c r="F541" s="255"/>
      <c r="G541" s="256"/>
      <c r="H541" s="257"/>
      <c r="I541" s="257"/>
      <c r="J541" s="258"/>
      <c r="K541" s="258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</row>
    <row r="542" ht="15.75" customHeight="1">
      <c r="A542" s="252"/>
      <c r="B542" s="253"/>
      <c r="C542" s="254"/>
      <c r="D542" s="255"/>
      <c r="E542" s="255"/>
      <c r="F542" s="255"/>
      <c r="G542" s="256"/>
      <c r="H542" s="257"/>
      <c r="I542" s="257"/>
      <c r="J542" s="258"/>
      <c r="K542" s="258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</row>
    <row r="543" ht="15.75" customHeight="1">
      <c r="A543" s="252"/>
      <c r="B543" s="253"/>
      <c r="C543" s="254"/>
      <c r="D543" s="255"/>
      <c r="E543" s="255"/>
      <c r="F543" s="255"/>
      <c r="G543" s="256"/>
      <c r="H543" s="257"/>
      <c r="I543" s="257"/>
      <c r="J543" s="258"/>
      <c r="K543" s="258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</row>
    <row r="544" ht="15.75" customHeight="1">
      <c r="A544" s="252"/>
      <c r="B544" s="253"/>
      <c r="C544" s="254"/>
      <c r="D544" s="255"/>
      <c r="E544" s="255"/>
      <c r="F544" s="255"/>
      <c r="G544" s="256"/>
      <c r="H544" s="257"/>
      <c r="I544" s="257"/>
      <c r="J544" s="258"/>
      <c r="K544" s="258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</row>
    <row r="545" ht="15.75" customHeight="1">
      <c r="A545" s="252"/>
      <c r="B545" s="253"/>
      <c r="C545" s="254"/>
      <c r="D545" s="255"/>
      <c r="E545" s="255"/>
      <c r="F545" s="255"/>
      <c r="G545" s="256"/>
      <c r="H545" s="257"/>
      <c r="I545" s="257"/>
      <c r="J545" s="258"/>
      <c r="K545" s="258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</row>
    <row r="546" ht="15.75" customHeight="1">
      <c r="A546" s="252"/>
      <c r="B546" s="253"/>
      <c r="C546" s="254"/>
      <c r="D546" s="255"/>
      <c r="E546" s="255"/>
      <c r="F546" s="255"/>
      <c r="G546" s="256"/>
      <c r="H546" s="257"/>
      <c r="I546" s="257"/>
      <c r="J546" s="258"/>
      <c r="K546" s="258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</row>
    <row r="547" ht="15.75" customHeight="1">
      <c r="A547" s="252"/>
      <c r="B547" s="253"/>
      <c r="C547" s="254"/>
      <c r="D547" s="255"/>
      <c r="E547" s="255"/>
      <c r="F547" s="255"/>
      <c r="G547" s="256"/>
      <c r="H547" s="257"/>
      <c r="I547" s="257"/>
      <c r="J547" s="258"/>
      <c r="K547" s="258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</row>
    <row r="548" ht="15.75" customHeight="1">
      <c r="A548" s="252"/>
      <c r="B548" s="253"/>
      <c r="C548" s="254"/>
      <c r="D548" s="255"/>
      <c r="E548" s="255"/>
      <c r="F548" s="255"/>
      <c r="G548" s="256"/>
      <c r="H548" s="257"/>
      <c r="I548" s="257"/>
      <c r="J548" s="258"/>
      <c r="K548" s="258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</row>
    <row r="549" ht="15.75" customHeight="1">
      <c r="A549" s="252"/>
      <c r="B549" s="253"/>
      <c r="C549" s="254"/>
      <c r="D549" s="255"/>
      <c r="E549" s="255"/>
      <c r="F549" s="255"/>
      <c r="G549" s="256"/>
      <c r="H549" s="257"/>
      <c r="I549" s="257"/>
      <c r="J549" s="258"/>
      <c r="K549" s="258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</row>
    <row r="550" ht="15.75" customHeight="1">
      <c r="A550" s="252"/>
      <c r="B550" s="253"/>
      <c r="C550" s="254"/>
      <c r="D550" s="255"/>
      <c r="E550" s="255"/>
      <c r="F550" s="255"/>
      <c r="G550" s="256"/>
      <c r="H550" s="257"/>
      <c r="I550" s="257"/>
      <c r="J550" s="258"/>
      <c r="K550" s="258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</row>
    <row r="551" ht="15.75" customHeight="1">
      <c r="A551" s="252"/>
      <c r="B551" s="253"/>
      <c r="C551" s="254"/>
      <c r="D551" s="255"/>
      <c r="E551" s="255"/>
      <c r="F551" s="255"/>
      <c r="G551" s="256"/>
      <c r="H551" s="257"/>
      <c r="I551" s="257"/>
      <c r="J551" s="258"/>
      <c r="K551" s="258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</row>
    <row r="552" ht="15.75" customHeight="1">
      <c r="A552" s="252"/>
      <c r="B552" s="253"/>
      <c r="C552" s="254"/>
      <c r="D552" s="255"/>
      <c r="E552" s="255"/>
      <c r="F552" s="255"/>
      <c r="G552" s="256"/>
      <c r="H552" s="257"/>
      <c r="I552" s="257"/>
      <c r="J552" s="258"/>
      <c r="K552" s="258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</row>
    <row r="553" ht="15.75" customHeight="1">
      <c r="A553" s="252"/>
      <c r="B553" s="253"/>
      <c r="C553" s="254"/>
      <c r="D553" s="255"/>
      <c r="E553" s="255"/>
      <c r="F553" s="255"/>
      <c r="G553" s="256"/>
      <c r="H553" s="257"/>
      <c r="I553" s="257"/>
      <c r="J553" s="258"/>
      <c r="K553" s="258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</row>
    <row r="554" ht="15.75" customHeight="1">
      <c r="A554" s="252"/>
      <c r="B554" s="253"/>
      <c r="C554" s="254"/>
      <c r="D554" s="255"/>
      <c r="E554" s="255"/>
      <c r="F554" s="255"/>
      <c r="G554" s="256"/>
      <c r="H554" s="257"/>
      <c r="I554" s="257"/>
      <c r="J554" s="258"/>
      <c r="K554" s="258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</row>
    <row r="555" ht="15.75" customHeight="1">
      <c r="A555" s="252"/>
      <c r="B555" s="253"/>
      <c r="C555" s="254"/>
      <c r="D555" s="255"/>
      <c r="E555" s="255"/>
      <c r="F555" s="255"/>
      <c r="G555" s="256"/>
      <c r="H555" s="257"/>
      <c r="I555" s="257"/>
      <c r="J555" s="258"/>
      <c r="K555" s="258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</row>
    <row r="556" ht="15.75" customHeight="1">
      <c r="A556" s="252"/>
      <c r="B556" s="253"/>
      <c r="C556" s="254"/>
      <c r="D556" s="255"/>
      <c r="E556" s="255"/>
      <c r="F556" s="255"/>
      <c r="G556" s="256"/>
      <c r="H556" s="257"/>
      <c r="I556" s="257"/>
      <c r="J556" s="258"/>
      <c r="K556" s="258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</row>
    <row r="557" ht="15.75" customHeight="1">
      <c r="A557" s="252"/>
      <c r="B557" s="253"/>
      <c r="C557" s="254"/>
      <c r="D557" s="255"/>
      <c r="E557" s="255"/>
      <c r="F557" s="255"/>
      <c r="G557" s="256"/>
      <c r="H557" s="257"/>
      <c r="I557" s="257"/>
      <c r="J557" s="258"/>
      <c r="K557" s="258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</row>
    <row r="558" ht="15.75" customHeight="1">
      <c r="A558" s="252"/>
      <c r="B558" s="253"/>
      <c r="C558" s="254"/>
      <c r="D558" s="255"/>
      <c r="E558" s="255"/>
      <c r="F558" s="255"/>
      <c r="G558" s="256"/>
      <c r="H558" s="257"/>
      <c r="I558" s="257"/>
      <c r="J558" s="258"/>
      <c r="K558" s="258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</row>
    <row r="559" ht="15.75" customHeight="1">
      <c r="A559" s="252"/>
      <c r="B559" s="253"/>
      <c r="C559" s="254"/>
      <c r="D559" s="255"/>
      <c r="E559" s="255"/>
      <c r="F559" s="255"/>
      <c r="G559" s="256"/>
      <c r="H559" s="257"/>
      <c r="I559" s="257"/>
      <c r="J559" s="258"/>
      <c r="K559" s="258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</row>
    <row r="560" ht="15.75" customHeight="1">
      <c r="A560" s="252"/>
      <c r="B560" s="253"/>
      <c r="C560" s="254"/>
      <c r="D560" s="255"/>
      <c r="E560" s="255"/>
      <c r="F560" s="255"/>
      <c r="G560" s="256"/>
      <c r="H560" s="257"/>
      <c r="I560" s="257"/>
      <c r="J560" s="258"/>
      <c r="K560" s="258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</row>
    <row r="561" ht="15.75" customHeight="1">
      <c r="A561" s="252"/>
      <c r="B561" s="253"/>
      <c r="C561" s="254"/>
      <c r="D561" s="255"/>
      <c r="E561" s="255"/>
      <c r="F561" s="255"/>
      <c r="G561" s="256"/>
      <c r="H561" s="257"/>
      <c r="I561" s="257"/>
      <c r="J561" s="258"/>
      <c r="K561" s="258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</row>
    <row r="562" ht="15.75" customHeight="1">
      <c r="A562" s="252"/>
      <c r="B562" s="253"/>
      <c r="C562" s="254"/>
      <c r="D562" s="255"/>
      <c r="E562" s="255"/>
      <c r="F562" s="255"/>
      <c r="G562" s="256"/>
      <c r="H562" s="257"/>
      <c r="I562" s="257"/>
      <c r="J562" s="258"/>
      <c r="K562" s="258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</row>
    <row r="563" ht="15.75" customHeight="1">
      <c r="A563" s="252"/>
      <c r="B563" s="253"/>
      <c r="C563" s="254"/>
      <c r="D563" s="255"/>
      <c r="E563" s="255"/>
      <c r="F563" s="255"/>
      <c r="G563" s="256"/>
      <c r="H563" s="257"/>
      <c r="I563" s="257"/>
      <c r="J563" s="258"/>
      <c r="K563" s="258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</row>
    <row r="564" ht="15.75" customHeight="1">
      <c r="A564" s="252"/>
      <c r="B564" s="253"/>
      <c r="C564" s="254"/>
      <c r="D564" s="255"/>
      <c r="E564" s="255"/>
      <c r="F564" s="255"/>
      <c r="G564" s="256"/>
      <c r="H564" s="257"/>
      <c r="I564" s="257"/>
      <c r="J564" s="258"/>
      <c r="K564" s="258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</row>
    <row r="565" ht="15.75" customHeight="1">
      <c r="A565" s="252"/>
      <c r="B565" s="253"/>
      <c r="C565" s="254"/>
      <c r="D565" s="255"/>
      <c r="E565" s="255"/>
      <c r="F565" s="255"/>
      <c r="G565" s="256"/>
      <c r="H565" s="257"/>
      <c r="I565" s="257"/>
      <c r="J565" s="258"/>
      <c r="K565" s="258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</row>
    <row r="566" ht="15.75" customHeight="1">
      <c r="A566" s="252"/>
      <c r="B566" s="253"/>
      <c r="C566" s="254"/>
      <c r="D566" s="255"/>
      <c r="E566" s="255"/>
      <c r="F566" s="255"/>
      <c r="G566" s="256"/>
      <c r="H566" s="257"/>
      <c r="I566" s="257"/>
      <c r="J566" s="258"/>
      <c r="K566" s="258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</row>
    <row r="567" ht="15.75" customHeight="1">
      <c r="A567" s="252"/>
      <c r="B567" s="253"/>
      <c r="C567" s="254"/>
      <c r="D567" s="255"/>
      <c r="E567" s="255"/>
      <c r="F567" s="255"/>
      <c r="G567" s="256"/>
      <c r="H567" s="257"/>
      <c r="I567" s="257"/>
      <c r="J567" s="258"/>
      <c r="K567" s="258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</row>
    <row r="568" ht="15.75" customHeight="1">
      <c r="A568" s="252"/>
      <c r="B568" s="253"/>
      <c r="C568" s="254"/>
      <c r="D568" s="255"/>
      <c r="E568" s="255"/>
      <c r="F568" s="255"/>
      <c r="G568" s="256"/>
      <c r="H568" s="257"/>
      <c r="I568" s="257"/>
      <c r="J568" s="258"/>
      <c r="K568" s="258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</row>
    <row r="569" ht="15.75" customHeight="1">
      <c r="A569" s="252"/>
      <c r="B569" s="253"/>
      <c r="C569" s="254"/>
      <c r="D569" s="255"/>
      <c r="E569" s="255"/>
      <c r="F569" s="255"/>
      <c r="G569" s="256"/>
      <c r="H569" s="257"/>
      <c r="I569" s="257"/>
      <c r="J569" s="258"/>
      <c r="K569" s="258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</row>
    <row r="570" ht="15.75" customHeight="1">
      <c r="A570" s="252"/>
      <c r="B570" s="253"/>
      <c r="C570" s="254"/>
      <c r="D570" s="255"/>
      <c r="E570" s="255"/>
      <c r="F570" s="255"/>
      <c r="G570" s="256"/>
      <c r="H570" s="257"/>
      <c r="I570" s="257"/>
      <c r="J570" s="258"/>
      <c r="K570" s="258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</row>
    <row r="571" ht="15.75" customHeight="1">
      <c r="A571" s="252"/>
      <c r="B571" s="253"/>
      <c r="C571" s="254"/>
      <c r="D571" s="255"/>
      <c r="E571" s="255"/>
      <c r="F571" s="255"/>
      <c r="G571" s="256"/>
      <c r="H571" s="257"/>
      <c r="I571" s="257"/>
      <c r="J571" s="258"/>
      <c r="K571" s="258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</row>
    <row r="572" ht="15.75" customHeight="1">
      <c r="A572" s="252"/>
      <c r="B572" s="253"/>
      <c r="C572" s="254"/>
      <c r="D572" s="255"/>
      <c r="E572" s="255"/>
      <c r="F572" s="255"/>
      <c r="G572" s="256"/>
      <c r="H572" s="257"/>
      <c r="I572" s="257"/>
      <c r="J572" s="258"/>
      <c r="K572" s="258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</row>
    <row r="573" ht="15.75" customHeight="1">
      <c r="A573" s="252"/>
      <c r="B573" s="253"/>
      <c r="C573" s="254"/>
      <c r="D573" s="255"/>
      <c r="E573" s="255"/>
      <c r="F573" s="255"/>
      <c r="G573" s="256"/>
      <c r="H573" s="257"/>
      <c r="I573" s="257"/>
      <c r="J573" s="258"/>
      <c r="K573" s="258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</row>
    <row r="574" ht="15.75" customHeight="1">
      <c r="A574" s="252"/>
      <c r="B574" s="253"/>
      <c r="C574" s="254"/>
      <c r="D574" s="255"/>
      <c r="E574" s="255"/>
      <c r="F574" s="255"/>
      <c r="G574" s="256"/>
      <c r="H574" s="257"/>
      <c r="I574" s="257"/>
      <c r="J574" s="258"/>
      <c r="K574" s="258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</row>
    <row r="575" ht="15.75" customHeight="1">
      <c r="A575" s="252"/>
      <c r="B575" s="253"/>
      <c r="C575" s="254"/>
      <c r="D575" s="255"/>
      <c r="E575" s="255"/>
      <c r="F575" s="255"/>
      <c r="G575" s="256"/>
      <c r="H575" s="257"/>
      <c r="I575" s="257"/>
      <c r="J575" s="258"/>
      <c r="K575" s="258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</row>
    <row r="576" ht="15.75" customHeight="1">
      <c r="A576" s="252"/>
      <c r="B576" s="253"/>
      <c r="C576" s="254"/>
      <c r="D576" s="255"/>
      <c r="E576" s="255"/>
      <c r="F576" s="255"/>
      <c r="G576" s="256"/>
      <c r="H576" s="257"/>
      <c r="I576" s="257"/>
      <c r="J576" s="258"/>
      <c r="K576" s="258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</row>
    <row r="577" ht="15.75" customHeight="1">
      <c r="A577" s="252"/>
      <c r="B577" s="253"/>
      <c r="C577" s="254"/>
      <c r="D577" s="255"/>
      <c r="E577" s="255"/>
      <c r="F577" s="255"/>
      <c r="G577" s="256"/>
      <c r="H577" s="257"/>
      <c r="I577" s="257"/>
      <c r="J577" s="258"/>
      <c r="K577" s="258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</row>
    <row r="578" ht="15.75" customHeight="1">
      <c r="A578" s="252"/>
      <c r="B578" s="253"/>
      <c r="C578" s="254"/>
      <c r="D578" s="255"/>
      <c r="E578" s="255"/>
      <c r="F578" s="255"/>
      <c r="G578" s="256"/>
      <c r="H578" s="257"/>
      <c r="I578" s="257"/>
      <c r="J578" s="258"/>
      <c r="K578" s="258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</row>
    <row r="579" ht="15.75" customHeight="1">
      <c r="A579" s="252"/>
      <c r="B579" s="253"/>
      <c r="C579" s="254"/>
      <c r="D579" s="255"/>
      <c r="E579" s="255"/>
      <c r="F579" s="255"/>
      <c r="G579" s="256"/>
      <c r="H579" s="257"/>
      <c r="I579" s="257"/>
      <c r="J579" s="258"/>
      <c r="K579" s="258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</row>
    <row r="580" ht="15.75" customHeight="1">
      <c r="A580" s="252"/>
      <c r="B580" s="253"/>
      <c r="C580" s="254"/>
      <c r="D580" s="255"/>
      <c r="E580" s="255"/>
      <c r="F580" s="255"/>
      <c r="G580" s="256"/>
      <c r="H580" s="257"/>
      <c r="I580" s="257"/>
      <c r="J580" s="258"/>
      <c r="K580" s="258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</row>
    <row r="581" ht="15.75" customHeight="1">
      <c r="A581" s="252"/>
      <c r="B581" s="253"/>
      <c r="C581" s="254"/>
      <c r="D581" s="255"/>
      <c r="E581" s="255"/>
      <c r="F581" s="255"/>
      <c r="G581" s="256"/>
      <c r="H581" s="257"/>
      <c r="I581" s="257"/>
      <c r="J581" s="258"/>
      <c r="K581" s="258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</row>
    <row r="582" ht="15.75" customHeight="1">
      <c r="A582" s="252"/>
      <c r="B582" s="253"/>
      <c r="C582" s="254"/>
      <c r="D582" s="255"/>
      <c r="E582" s="255"/>
      <c r="F582" s="255"/>
      <c r="G582" s="256"/>
      <c r="H582" s="257"/>
      <c r="I582" s="257"/>
      <c r="J582" s="258"/>
      <c r="K582" s="258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</row>
    <row r="583" ht="15.75" customHeight="1">
      <c r="A583" s="252"/>
      <c r="B583" s="253"/>
      <c r="C583" s="254"/>
      <c r="D583" s="255"/>
      <c r="E583" s="255"/>
      <c r="F583" s="255"/>
      <c r="G583" s="256"/>
      <c r="H583" s="257"/>
      <c r="I583" s="257"/>
      <c r="J583" s="258"/>
      <c r="K583" s="258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</row>
    <row r="584" ht="15.75" customHeight="1">
      <c r="A584" s="252"/>
      <c r="B584" s="253"/>
      <c r="C584" s="254"/>
      <c r="D584" s="255"/>
      <c r="E584" s="255"/>
      <c r="F584" s="255"/>
      <c r="G584" s="256"/>
      <c r="H584" s="257"/>
      <c r="I584" s="257"/>
      <c r="J584" s="258"/>
      <c r="K584" s="258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</row>
    <row r="585" ht="15.75" customHeight="1">
      <c r="A585" s="252"/>
      <c r="B585" s="253"/>
      <c r="C585" s="254"/>
      <c r="D585" s="255"/>
      <c r="E585" s="255"/>
      <c r="F585" s="255"/>
      <c r="G585" s="256"/>
      <c r="H585" s="257"/>
      <c r="I585" s="257"/>
      <c r="J585" s="258"/>
      <c r="K585" s="258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</row>
    <row r="586" ht="15.75" customHeight="1">
      <c r="A586" s="252"/>
      <c r="B586" s="253"/>
      <c r="C586" s="254"/>
      <c r="D586" s="255"/>
      <c r="E586" s="255"/>
      <c r="F586" s="255"/>
      <c r="G586" s="256"/>
      <c r="H586" s="257"/>
      <c r="I586" s="257"/>
      <c r="J586" s="258"/>
      <c r="K586" s="258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</row>
    <row r="587" ht="15.75" customHeight="1">
      <c r="A587" s="252"/>
      <c r="B587" s="253"/>
      <c r="C587" s="254"/>
      <c r="D587" s="255"/>
      <c r="E587" s="255"/>
      <c r="F587" s="255"/>
      <c r="G587" s="256"/>
      <c r="H587" s="257"/>
      <c r="I587" s="257"/>
      <c r="J587" s="258"/>
      <c r="K587" s="258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</row>
    <row r="588" ht="15.75" customHeight="1">
      <c r="A588" s="252"/>
      <c r="B588" s="253"/>
      <c r="C588" s="254"/>
      <c r="D588" s="255"/>
      <c r="E588" s="255"/>
      <c r="F588" s="255"/>
      <c r="G588" s="256"/>
      <c r="H588" s="257"/>
      <c r="I588" s="257"/>
      <c r="J588" s="258"/>
      <c r="K588" s="258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</row>
    <row r="589" ht="15.75" customHeight="1">
      <c r="A589" s="252"/>
      <c r="B589" s="253"/>
      <c r="C589" s="254"/>
      <c r="D589" s="255"/>
      <c r="E589" s="255"/>
      <c r="F589" s="255"/>
      <c r="G589" s="256"/>
      <c r="H589" s="257"/>
      <c r="I589" s="257"/>
      <c r="J589" s="258"/>
      <c r="K589" s="258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</row>
    <row r="590" ht="15.75" customHeight="1">
      <c r="A590" s="252"/>
      <c r="B590" s="253"/>
      <c r="C590" s="254"/>
      <c r="D590" s="255"/>
      <c r="E590" s="255"/>
      <c r="F590" s="255"/>
      <c r="G590" s="256"/>
      <c r="H590" s="257"/>
      <c r="I590" s="257"/>
      <c r="J590" s="258"/>
      <c r="K590" s="258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</row>
    <row r="591" ht="15.75" customHeight="1">
      <c r="A591" s="252"/>
      <c r="B591" s="253"/>
      <c r="C591" s="254"/>
      <c r="D591" s="255"/>
      <c r="E591" s="255"/>
      <c r="F591" s="255"/>
      <c r="G591" s="256"/>
      <c r="H591" s="257"/>
      <c r="I591" s="257"/>
      <c r="J591" s="258"/>
      <c r="K591" s="258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</row>
    <row r="592" ht="15.75" customHeight="1">
      <c r="A592" s="252"/>
      <c r="B592" s="253"/>
      <c r="C592" s="254"/>
      <c r="D592" s="255"/>
      <c r="E592" s="255"/>
      <c r="F592" s="255"/>
      <c r="G592" s="256"/>
      <c r="H592" s="257"/>
      <c r="I592" s="257"/>
      <c r="J592" s="258"/>
      <c r="K592" s="258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</row>
    <row r="593" ht="15.75" customHeight="1">
      <c r="A593" s="252"/>
      <c r="B593" s="253"/>
      <c r="C593" s="254"/>
      <c r="D593" s="255"/>
      <c r="E593" s="255"/>
      <c r="F593" s="255"/>
      <c r="G593" s="256"/>
      <c r="H593" s="257"/>
      <c r="I593" s="257"/>
      <c r="J593" s="258"/>
      <c r="K593" s="258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</row>
    <row r="594" ht="15.75" customHeight="1">
      <c r="A594" s="252"/>
      <c r="B594" s="253"/>
      <c r="C594" s="254"/>
      <c r="D594" s="255"/>
      <c r="E594" s="255"/>
      <c r="F594" s="255"/>
      <c r="G594" s="256"/>
      <c r="H594" s="257"/>
      <c r="I594" s="257"/>
      <c r="J594" s="258"/>
      <c r="K594" s="258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</row>
    <row r="595" ht="15.75" customHeight="1">
      <c r="A595" s="252"/>
      <c r="B595" s="253"/>
      <c r="C595" s="254"/>
      <c r="D595" s="255"/>
      <c r="E595" s="255"/>
      <c r="F595" s="255"/>
      <c r="G595" s="256"/>
      <c r="H595" s="257"/>
      <c r="I595" s="257"/>
      <c r="J595" s="258"/>
      <c r="K595" s="258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</row>
    <row r="596" ht="15.75" customHeight="1">
      <c r="A596" s="252"/>
      <c r="B596" s="253"/>
      <c r="C596" s="254"/>
      <c r="D596" s="255"/>
      <c r="E596" s="255"/>
      <c r="F596" s="255"/>
      <c r="G596" s="256"/>
      <c r="H596" s="257"/>
      <c r="I596" s="257"/>
      <c r="J596" s="258"/>
      <c r="K596" s="258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</row>
    <row r="597" ht="15.75" customHeight="1">
      <c r="A597" s="252"/>
      <c r="B597" s="253"/>
      <c r="C597" s="254"/>
      <c r="D597" s="255"/>
      <c r="E597" s="255"/>
      <c r="F597" s="255"/>
      <c r="G597" s="256"/>
      <c r="H597" s="257"/>
      <c r="I597" s="257"/>
      <c r="J597" s="258"/>
      <c r="K597" s="258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</row>
    <row r="598" ht="15.75" customHeight="1">
      <c r="A598" s="252"/>
      <c r="B598" s="253"/>
      <c r="C598" s="254"/>
      <c r="D598" s="255"/>
      <c r="E598" s="255"/>
      <c r="F598" s="255"/>
      <c r="G598" s="256"/>
      <c r="H598" s="257"/>
      <c r="I598" s="257"/>
      <c r="J598" s="258"/>
      <c r="K598" s="258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</row>
    <row r="599" ht="15.75" customHeight="1">
      <c r="A599" s="252"/>
      <c r="B599" s="253"/>
      <c r="C599" s="254"/>
      <c r="D599" s="255"/>
      <c r="E599" s="255"/>
      <c r="F599" s="255"/>
      <c r="G599" s="256"/>
      <c r="H599" s="257"/>
      <c r="I599" s="257"/>
      <c r="J599" s="258"/>
      <c r="K599" s="258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</row>
    <row r="600" ht="15.75" customHeight="1">
      <c r="A600" s="252"/>
      <c r="B600" s="253"/>
      <c r="C600" s="254"/>
      <c r="D600" s="255"/>
      <c r="E600" s="255"/>
      <c r="F600" s="255"/>
      <c r="G600" s="256"/>
      <c r="H600" s="257"/>
      <c r="I600" s="257"/>
      <c r="J600" s="258"/>
      <c r="K600" s="258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</row>
    <row r="601" ht="15.75" customHeight="1">
      <c r="A601" s="252"/>
      <c r="B601" s="253"/>
      <c r="C601" s="254"/>
      <c r="D601" s="255"/>
      <c r="E601" s="255"/>
      <c r="F601" s="255"/>
      <c r="G601" s="256"/>
      <c r="H601" s="257"/>
      <c r="I601" s="257"/>
      <c r="J601" s="258"/>
      <c r="K601" s="258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</row>
    <row r="602" ht="15.75" customHeight="1">
      <c r="A602" s="252"/>
      <c r="B602" s="253"/>
      <c r="C602" s="254"/>
      <c r="D602" s="255"/>
      <c r="E602" s="255"/>
      <c r="F602" s="255"/>
      <c r="G602" s="256"/>
      <c r="H602" s="257"/>
      <c r="I602" s="257"/>
      <c r="J602" s="258"/>
      <c r="K602" s="258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</row>
    <row r="603" ht="15.75" customHeight="1">
      <c r="A603" s="252"/>
      <c r="B603" s="253"/>
      <c r="C603" s="254"/>
      <c r="D603" s="255"/>
      <c r="E603" s="255"/>
      <c r="F603" s="255"/>
      <c r="G603" s="256"/>
      <c r="H603" s="257"/>
      <c r="I603" s="257"/>
      <c r="J603" s="258"/>
      <c r="K603" s="258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</row>
    <row r="604" ht="15.75" customHeight="1">
      <c r="A604" s="252"/>
      <c r="B604" s="253"/>
      <c r="C604" s="254"/>
      <c r="D604" s="255"/>
      <c r="E604" s="255"/>
      <c r="F604" s="255"/>
      <c r="G604" s="256"/>
      <c r="H604" s="257"/>
      <c r="I604" s="257"/>
      <c r="J604" s="258"/>
      <c r="K604" s="258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</row>
    <row r="605" ht="15.75" customHeight="1">
      <c r="A605" s="252"/>
      <c r="B605" s="253"/>
      <c r="C605" s="254"/>
      <c r="D605" s="255"/>
      <c r="E605" s="255"/>
      <c r="F605" s="255"/>
      <c r="G605" s="256"/>
      <c r="H605" s="257"/>
      <c r="I605" s="257"/>
      <c r="J605" s="258"/>
      <c r="K605" s="258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</row>
    <row r="606" ht="15.75" customHeight="1">
      <c r="A606" s="252"/>
      <c r="B606" s="253"/>
      <c r="C606" s="254"/>
      <c r="D606" s="255"/>
      <c r="E606" s="255"/>
      <c r="F606" s="255"/>
      <c r="G606" s="256"/>
      <c r="H606" s="257"/>
      <c r="I606" s="257"/>
      <c r="J606" s="258"/>
      <c r="K606" s="258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</row>
    <row r="607" ht="15.75" customHeight="1">
      <c r="A607" s="252"/>
      <c r="B607" s="253"/>
      <c r="C607" s="254"/>
      <c r="D607" s="255"/>
      <c r="E607" s="255"/>
      <c r="F607" s="255"/>
      <c r="G607" s="256"/>
      <c r="H607" s="257"/>
      <c r="I607" s="257"/>
      <c r="J607" s="258"/>
      <c r="K607" s="258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</row>
    <row r="608" ht="15.75" customHeight="1">
      <c r="A608" s="252"/>
      <c r="B608" s="253"/>
      <c r="C608" s="254"/>
      <c r="D608" s="255"/>
      <c r="E608" s="255"/>
      <c r="F608" s="255"/>
      <c r="G608" s="256"/>
      <c r="H608" s="257"/>
      <c r="I608" s="257"/>
      <c r="J608" s="258"/>
      <c r="K608" s="258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</row>
    <row r="609" ht="15.75" customHeight="1">
      <c r="A609" s="252"/>
      <c r="B609" s="253"/>
      <c r="C609" s="254"/>
      <c r="D609" s="255"/>
      <c r="E609" s="255"/>
      <c r="F609" s="255"/>
      <c r="G609" s="256"/>
      <c r="H609" s="257"/>
      <c r="I609" s="257"/>
      <c r="J609" s="258"/>
      <c r="K609" s="258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</row>
    <row r="610" ht="15.75" customHeight="1">
      <c r="A610" s="252"/>
      <c r="B610" s="253"/>
      <c r="C610" s="254"/>
      <c r="D610" s="255"/>
      <c r="E610" s="255"/>
      <c r="F610" s="255"/>
      <c r="G610" s="256"/>
      <c r="H610" s="257"/>
      <c r="I610" s="257"/>
      <c r="J610" s="258"/>
      <c r="K610" s="258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</row>
    <row r="611" ht="15.75" customHeight="1">
      <c r="A611" s="252"/>
      <c r="B611" s="253"/>
      <c r="C611" s="254"/>
      <c r="D611" s="255"/>
      <c r="E611" s="255"/>
      <c r="F611" s="255"/>
      <c r="G611" s="256"/>
      <c r="H611" s="257"/>
      <c r="I611" s="257"/>
      <c r="J611" s="258"/>
      <c r="K611" s="258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</row>
    <row r="612" ht="15.75" customHeight="1">
      <c r="A612" s="252"/>
      <c r="B612" s="253"/>
      <c r="C612" s="254"/>
      <c r="D612" s="255"/>
      <c r="E612" s="255"/>
      <c r="F612" s="255"/>
      <c r="G612" s="256"/>
      <c r="H612" s="257"/>
      <c r="I612" s="257"/>
      <c r="J612" s="258"/>
      <c r="K612" s="258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</row>
    <row r="613" ht="15.75" customHeight="1">
      <c r="A613" s="252"/>
      <c r="B613" s="253"/>
      <c r="C613" s="254"/>
      <c r="D613" s="255"/>
      <c r="E613" s="255"/>
      <c r="F613" s="255"/>
      <c r="G613" s="256"/>
      <c r="H613" s="257"/>
      <c r="I613" s="257"/>
      <c r="J613" s="258"/>
      <c r="K613" s="258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</row>
    <row r="614" ht="15.75" customHeight="1">
      <c r="A614" s="252"/>
      <c r="B614" s="253"/>
      <c r="C614" s="254"/>
      <c r="D614" s="255"/>
      <c r="E614" s="255"/>
      <c r="F614" s="255"/>
      <c r="G614" s="256"/>
      <c r="H614" s="257"/>
      <c r="I614" s="257"/>
      <c r="J614" s="258"/>
      <c r="K614" s="258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</row>
    <row r="615" ht="15.75" customHeight="1">
      <c r="A615" s="252"/>
      <c r="B615" s="253"/>
      <c r="C615" s="254"/>
      <c r="D615" s="255"/>
      <c r="E615" s="255"/>
      <c r="F615" s="255"/>
      <c r="G615" s="256"/>
      <c r="H615" s="257"/>
      <c r="I615" s="257"/>
      <c r="J615" s="258"/>
      <c r="K615" s="258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</row>
    <row r="616" ht="15.75" customHeight="1">
      <c r="A616" s="252"/>
      <c r="B616" s="253"/>
      <c r="C616" s="254"/>
      <c r="D616" s="255"/>
      <c r="E616" s="255"/>
      <c r="F616" s="255"/>
      <c r="G616" s="256"/>
      <c r="H616" s="257"/>
      <c r="I616" s="257"/>
      <c r="J616" s="258"/>
      <c r="K616" s="258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</row>
    <row r="617" ht="15.75" customHeight="1">
      <c r="A617" s="252"/>
      <c r="B617" s="253"/>
      <c r="C617" s="254"/>
      <c r="D617" s="255"/>
      <c r="E617" s="255"/>
      <c r="F617" s="255"/>
      <c r="G617" s="256"/>
      <c r="H617" s="257"/>
      <c r="I617" s="257"/>
      <c r="J617" s="258"/>
      <c r="K617" s="258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</row>
    <row r="618" ht="15.75" customHeight="1">
      <c r="A618" s="252"/>
      <c r="B618" s="253"/>
      <c r="C618" s="254"/>
      <c r="D618" s="255"/>
      <c r="E618" s="255"/>
      <c r="F618" s="255"/>
      <c r="G618" s="256"/>
      <c r="H618" s="257"/>
      <c r="I618" s="257"/>
      <c r="J618" s="258"/>
      <c r="K618" s="258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</row>
    <row r="619" ht="15.75" customHeight="1">
      <c r="A619" s="252"/>
      <c r="B619" s="253"/>
      <c r="C619" s="254"/>
      <c r="D619" s="255"/>
      <c r="E619" s="255"/>
      <c r="F619" s="255"/>
      <c r="G619" s="256"/>
      <c r="H619" s="257"/>
      <c r="I619" s="257"/>
      <c r="J619" s="258"/>
      <c r="K619" s="258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</row>
    <row r="620" ht="15.75" customHeight="1">
      <c r="A620" s="252"/>
      <c r="B620" s="253"/>
      <c r="C620" s="254"/>
      <c r="D620" s="255"/>
      <c r="E620" s="255"/>
      <c r="F620" s="255"/>
      <c r="G620" s="256"/>
      <c r="H620" s="257"/>
      <c r="I620" s="257"/>
      <c r="J620" s="258"/>
      <c r="K620" s="258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</row>
    <row r="621" ht="15.75" customHeight="1">
      <c r="A621" s="252"/>
      <c r="B621" s="253"/>
      <c r="C621" s="254"/>
      <c r="D621" s="255"/>
      <c r="E621" s="255"/>
      <c r="F621" s="255"/>
      <c r="G621" s="256"/>
      <c r="H621" s="257"/>
      <c r="I621" s="257"/>
      <c r="J621" s="258"/>
      <c r="K621" s="258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</row>
    <row r="622" ht="15.75" customHeight="1">
      <c r="A622" s="252"/>
      <c r="B622" s="253"/>
      <c r="C622" s="254"/>
      <c r="D622" s="255"/>
      <c r="E622" s="255"/>
      <c r="F622" s="255"/>
      <c r="G622" s="256"/>
      <c r="H622" s="257"/>
      <c r="I622" s="257"/>
      <c r="J622" s="258"/>
      <c r="K622" s="258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</row>
    <row r="623" ht="15.75" customHeight="1">
      <c r="A623" s="252"/>
      <c r="B623" s="253"/>
      <c r="C623" s="254"/>
      <c r="D623" s="255"/>
      <c r="E623" s="255"/>
      <c r="F623" s="255"/>
      <c r="G623" s="256"/>
      <c r="H623" s="257"/>
      <c r="I623" s="257"/>
      <c r="J623" s="258"/>
      <c r="K623" s="258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</row>
    <row r="624" ht="15.75" customHeight="1">
      <c r="A624" s="252"/>
      <c r="B624" s="253"/>
      <c r="C624" s="254"/>
      <c r="D624" s="255"/>
      <c r="E624" s="255"/>
      <c r="F624" s="255"/>
      <c r="G624" s="256"/>
      <c r="H624" s="257"/>
      <c r="I624" s="257"/>
      <c r="J624" s="258"/>
      <c r="K624" s="258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</row>
    <row r="625" ht="15.75" customHeight="1">
      <c r="A625" s="252"/>
      <c r="B625" s="253"/>
      <c r="C625" s="254"/>
      <c r="D625" s="255"/>
      <c r="E625" s="255"/>
      <c r="F625" s="255"/>
      <c r="G625" s="256"/>
      <c r="H625" s="257"/>
      <c r="I625" s="257"/>
      <c r="J625" s="258"/>
      <c r="K625" s="258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</row>
    <row r="626" ht="15.75" customHeight="1">
      <c r="A626" s="252"/>
      <c r="B626" s="253"/>
      <c r="C626" s="254"/>
      <c r="D626" s="255"/>
      <c r="E626" s="255"/>
      <c r="F626" s="255"/>
      <c r="G626" s="256"/>
      <c r="H626" s="257"/>
      <c r="I626" s="257"/>
      <c r="J626" s="258"/>
      <c r="K626" s="258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</row>
    <row r="627" ht="15.75" customHeight="1">
      <c r="A627" s="252"/>
      <c r="B627" s="253"/>
      <c r="C627" s="254"/>
      <c r="D627" s="255"/>
      <c r="E627" s="255"/>
      <c r="F627" s="255"/>
      <c r="G627" s="256"/>
      <c r="H627" s="257"/>
      <c r="I627" s="257"/>
      <c r="J627" s="258"/>
      <c r="K627" s="258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</row>
    <row r="628" ht="15.75" customHeight="1">
      <c r="A628" s="252"/>
      <c r="B628" s="253"/>
      <c r="C628" s="254"/>
      <c r="D628" s="255"/>
      <c r="E628" s="255"/>
      <c r="F628" s="255"/>
      <c r="G628" s="256"/>
      <c r="H628" s="257"/>
      <c r="I628" s="257"/>
      <c r="J628" s="258"/>
      <c r="K628" s="258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</row>
    <row r="629" ht="15.75" customHeight="1">
      <c r="A629" s="252"/>
      <c r="B629" s="253"/>
      <c r="C629" s="254"/>
      <c r="D629" s="255"/>
      <c r="E629" s="255"/>
      <c r="F629" s="255"/>
      <c r="G629" s="256"/>
      <c r="H629" s="257"/>
      <c r="I629" s="257"/>
      <c r="J629" s="258"/>
      <c r="K629" s="258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</row>
    <row r="630" ht="15.75" customHeight="1">
      <c r="A630" s="252"/>
      <c r="B630" s="253"/>
      <c r="C630" s="254"/>
      <c r="D630" s="255"/>
      <c r="E630" s="255"/>
      <c r="F630" s="255"/>
      <c r="G630" s="256"/>
      <c r="H630" s="257"/>
      <c r="I630" s="257"/>
      <c r="J630" s="258"/>
      <c r="K630" s="258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</row>
    <row r="631" ht="15.75" customHeight="1">
      <c r="A631" s="252"/>
      <c r="B631" s="253"/>
      <c r="C631" s="254"/>
      <c r="D631" s="255"/>
      <c r="E631" s="255"/>
      <c r="F631" s="255"/>
      <c r="G631" s="256"/>
      <c r="H631" s="257"/>
      <c r="I631" s="257"/>
      <c r="J631" s="258"/>
      <c r="K631" s="258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</row>
    <row r="632" ht="15.75" customHeight="1">
      <c r="A632" s="252"/>
      <c r="B632" s="253"/>
      <c r="C632" s="254"/>
      <c r="D632" s="255"/>
      <c r="E632" s="255"/>
      <c r="F632" s="255"/>
      <c r="G632" s="256"/>
      <c r="H632" s="257"/>
      <c r="I632" s="257"/>
      <c r="J632" s="258"/>
      <c r="K632" s="258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</row>
    <row r="633" ht="15.75" customHeight="1">
      <c r="A633" s="252"/>
      <c r="B633" s="253"/>
      <c r="C633" s="254"/>
      <c r="D633" s="255"/>
      <c r="E633" s="255"/>
      <c r="F633" s="255"/>
      <c r="G633" s="256"/>
      <c r="H633" s="257"/>
      <c r="I633" s="257"/>
      <c r="J633" s="258"/>
      <c r="K633" s="258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</row>
    <row r="634" ht="15.75" customHeight="1">
      <c r="A634" s="252"/>
      <c r="B634" s="253"/>
      <c r="C634" s="254"/>
      <c r="D634" s="255"/>
      <c r="E634" s="255"/>
      <c r="F634" s="255"/>
      <c r="G634" s="256"/>
      <c r="H634" s="257"/>
      <c r="I634" s="257"/>
      <c r="J634" s="258"/>
      <c r="K634" s="258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</row>
    <row r="635" ht="15.75" customHeight="1">
      <c r="A635" s="252"/>
      <c r="B635" s="253"/>
      <c r="C635" s="254"/>
      <c r="D635" s="255"/>
      <c r="E635" s="255"/>
      <c r="F635" s="255"/>
      <c r="G635" s="256"/>
      <c r="H635" s="257"/>
      <c r="I635" s="257"/>
      <c r="J635" s="258"/>
      <c r="K635" s="258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</row>
    <row r="636" ht="15.75" customHeight="1">
      <c r="A636" s="252"/>
      <c r="B636" s="253"/>
      <c r="C636" s="254"/>
      <c r="D636" s="255"/>
      <c r="E636" s="255"/>
      <c r="F636" s="255"/>
      <c r="G636" s="256"/>
      <c r="H636" s="257"/>
      <c r="I636" s="257"/>
      <c r="J636" s="258"/>
      <c r="K636" s="258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</row>
    <row r="637" ht="15.75" customHeight="1">
      <c r="A637" s="252"/>
      <c r="B637" s="253"/>
      <c r="C637" s="254"/>
      <c r="D637" s="255"/>
      <c r="E637" s="255"/>
      <c r="F637" s="255"/>
      <c r="G637" s="256"/>
      <c r="H637" s="257"/>
      <c r="I637" s="257"/>
      <c r="J637" s="258"/>
      <c r="K637" s="258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</row>
    <row r="638" ht="15.75" customHeight="1">
      <c r="A638" s="252"/>
      <c r="B638" s="253"/>
      <c r="C638" s="254"/>
      <c r="D638" s="255"/>
      <c r="E638" s="255"/>
      <c r="F638" s="255"/>
      <c r="G638" s="256"/>
      <c r="H638" s="257"/>
      <c r="I638" s="257"/>
      <c r="J638" s="258"/>
      <c r="K638" s="258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</row>
    <row r="639" ht="15.75" customHeight="1">
      <c r="A639" s="252"/>
      <c r="B639" s="253"/>
      <c r="C639" s="254"/>
      <c r="D639" s="255"/>
      <c r="E639" s="255"/>
      <c r="F639" s="255"/>
      <c r="G639" s="256"/>
      <c r="H639" s="257"/>
      <c r="I639" s="257"/>
      <c r="J639" s="258"/>
      <c r="K639" s="258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</row>
    <row r="640" ht="15.75" customHeight="1">
      <c r="A640" s="252"/>
      <c r="B640" s="253"/>
      <c r="C640" s="254"/>
      <c r="D640" s="255"/>
      <c r="E640" s="255"/>
      <c r="F640" s="255"/>
      <c r="G640" s="256"/>
      <c r="H640" s="257"/>
      <c r="I640" s="257"/>
      <c r="J640" s="258"/>
      <c r="K640" s="258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</row>
    <row r="641" ht="15.75" customHeight="1">
      <c r="A641" s="252"/>
      <c r="B641" s="253"/>
      <c r="C641" s="254"/>
      <c r="D641" s="255"/>
      <c r="E641" s="255"/>
      <c r="F641" s="255"/>
      <c r="G641" s="256"/>
      <c r="H641" s="257"/>
      <c r="I641" s="257"/>
      <c r="J641" s="258"/>
      <c r="K641" s="258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</row>
    <row r="642" ht="15.75" customHeight="1">
      <c r="A642" s="252"/>
      <c r="B642" s="253"/>
      <c r="C642" s="254"/>
      <c r="D642" s="255"/>
      <c r="E642" s="255"/>
      <c r="F642" s="255"/>
      <c r="G642" s="256"/>
      <c r="H642" s="257"/>
      <c r="I642" s="257"/>
      <c r="J642" s="258"/>
      <c r="K642" s="258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</row>
    <row r="643" ht="15.75" customHeight="1">
      <c r="A643" s="252"/>
      <c r="B643" s="253"/>
      <c r="C643" s="254"/>
      <c r="D643" s="255"/>
      <c r="E643" s="255"/>
      <c r="F643" s="255"/>
      <c r="G643" s="256"/>
      <c r="H643" s="257"/>
      <c r="I643" s="257"/>
      <c r="J643" s="258"/>
      <c r="K643" s="258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</row>
    <row r="644" ht="15.75" customHeight="1">
      <c r="A644" s="252"/>
      <c r="B644" s="253"/>
      <c r="C644" s="254"/>
      <c r="D644" s="255"/>
      <c r="E644" s="255"/>
      <c r="F644" s="255"/>
      <c r="G644" s="256"/>
      <c r="H644" s="257"/>
      <c r="I644" s="257"/>
      <c r="J644" s="258"/>
      <c r="K644" s="258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</row>
    <row r="645" ht="15.75" customHeight="1">
      <c r="A645" s="252"/>
      <c r="B645" s="253"/>
      <c r="C645" s="254"/>
      <c r="D645" s="255"/>
      <c r="E645" s="255"/>
      <c r="F645" s="255"/>
      <c r="G645" s="256"/>
      <c r="H645" s="257"/>
      <c r="I645" s="257"/>
      <c r="J645" s="258"/>
      <c r="K645" s="258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</row>
    <row r="646" ht="15.75" customHeight="1">
      <c r="A646" s="252"/>
      <c r="B646" s="253"/>
      <c r="C646" s="254"/>
      <c r="D646" s="255"/>
      <c r="E646" s="255"/>
      <c r="F646" s="255"/>
      <c r="G646" s="256"/>
      <c r="H646" s="257"/>
      <c r="I646" s="257"/>
      <c r="J646" s="258"/>
      <c r="K646" s="258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</row>
    <row r="647" ht="15.75" customHeight="1">
      <c r="A647" s="252"/>
      <c r="B647" s="253"/>
      <c r="C647" s="254"/>
      <c r="D647" s="255"/>
      <c r="E647" s="255"/>
      <c r="F647" s="255"/>
      <c r="G647" s="256"/>
      <c r="H647" s="257"/>
      <c r="I647" s="257"/>
      <c r="J647" s="258"/>
      <c r="K647" s="258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</row>
    <row r="648" ht="15.75" customHeight="1">
      <c r="A648" s="252"/>
      <c r="B648" s="253"/>
      <c r="C648" s="254"/>
      <c r="D648" s="255"/>
      <c r="E648" s="255"/>
      <c r="F648" s="255"/>
      <c r="G648" s="256"/>
      <c r="H648" s="257"/>
      <c r="I648" s="257"/>
      <c r="J648" s="258"/>
      <c r="K648" s="258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</row>
    <row r="649" ht="15.75" customHeight="1">
      <c r="A649" s="252"/>
      <c r="B649" s="253"/>
      <c r="C649" s="254"/>
      <c r="D649" s="255"/>
      <c r="E649" s="255"/>
      <c r="F649" s="255"/>
      <c r="G649" s="256"/>
      <c r="H649" s="257"/>
      <c r="I649" s="257"/>
      <c r="J649" s="258"/>
      <c r="K649" s="258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</row>
    <row r="650" ht="15.75" customHeight="1">
      <c r="A650" s="252"/>
      <c r="B650" s="253"/>
      <c r="C650" s="254"/>
      <c r="D650" s="255"/>
      <c r="E650" s="255"/>
      <c r="F650" s="255"/>
      <c r="G650" s="256"/>
      <c r="H650" s="257"/>
      <c r="I650" s="257"/>
      <c r="J650" s="258"/>
      <c r="K650" s="258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</row>
    <row r="651" ht="15.75" customHeight="1">
      <c r="A651" s="252"/>
      <c r="B651" s="253"/>
      <c r="C651" s="254"/>
      <c r="D651" s="255"/>
      <c r="E651" s="255"/>
      <c r="F651" s="255"/>
      <c r="G651" s="256"/>
      <c r="H651" s="257"/>
      <c r="I651" s="257"/>
      <c r="J651" s="258"/>
      <c r="K651" s="258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</row>
    <row r="652" ht="15.75" customHeight="1">
      <c r="A652" s="252"/>
      <c r="B652" s="253"/>
      <c r="C652" s="254"/>
      <c r="D652" s="255"/>
      <c r="E652" s="255"/>
      <c r="F652" s="255"/>
      <c r="G652" s="256"/>
      <c r="H652" s="257"/>
      <c r="I652" s="257"/>
      <c r="J652" s="258"/>
      <c r="K652" s="258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</row>
    <row r="653" ht="15.75" customHeight="1">
      <c r="A653" s="252"/>
      <c r="B653" s="253"/>
      <c r="C653" s="254"/>
      <c r="D653" s="255"/>
      <c r="E653" s="255"/>
      <c r="F653" s="255"/>
      <c r="G653" s="256"/>
      <c r="H653" s="257"/>
      <c r="I653" s="257"/>
      <c r="J653" s="258"/>
      <c r="K653" s="258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</row>
    <row r="654" ht="15.75" customHeight="1">
      <c r="A654" s="252"/>
      <c r="B654" s="253"/>
      <c r="C654" s="254"/>
      <c r="D654" s="255"/>
      <c r="E654" s="255"/>
      <c r="F654" s="255"/>
      <c r="G654" s="256"/>
      <c r="H654" s="257"/>
      <c r="I654" s="257"/>
      <c r="J654" s="258"/>
      <c r="K654" s="258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</row>
    <row r="655" ht="15.75" customHeight="1">
      <c r="A655" s="252"/>
      <c r="B655" s="253"/>
      <c r="C655" s="254"/>
      <c r="D655" s="255"/>
      <c r="E655" s="255"/>
      <c r="F655" s="255"/>
      <c r="G655" s="256"/>
      <c r="H655" s="257"/>
      <c r="I655" s="257"/>
      <c r="J655" s="258"/>
      <c r="K655" s="258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</row>
    <row r="656" ht="15.75" customHeight="1">
      <c r="A656" s="252"/>
      <c r="B656" s="253"/>
      <c r="C656" s="254"/>
      <c r="D656" s="255"/>
      <c r="E656" s="255"/>
      <c r="F656" s="255"/>
      <c r="G656" s="256"/>
      <c r="H656" s="257"/>
      <c r="I656" s="257"/>
      <c r="J656" s="258"/>
      <c r="K656" s="258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</row>
    <row r="657" ht="15.75" customHeight="1">
      <c r="A657" s="252"/>
      <c r="B657" s="253"/>
      <c r="C657" s="254"/>
      <c r="D657" s="255"/>
      <c r="E657" s="255"/>
      <c r="F657" s="255"/>
      <c r="G657" s="256"/>
      <c r="H657" s="257"/>
      <c r="I657" s="257"/>
      <c r="J657" s="258"/>
      <c r="K657" s="258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</row>
    <row r="658" ht="15.75" customHeight="1">
      <c r="A658" s="252"/>
      <c r="B658" s="253"/>
      <c r="C658" s="254"/>
      <c r="D658" s="255"/>
      <c r="E658" s="255"/>
      <c r="F658" s="255"/>
      <c r="G658" s="256"/>
      <c r="H658" s="257"/>
      <c r="I658" s="257"/>
      <c r="J658" s="258"/>
      <c r="K658" s="258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</row>
    <row r="659" ht="15.75" customHeight="1">
      <c r="A659" s="252"/>
      <c r="B659" s="253"/>
      <c r="C659" s="254"/>
      <c r="D659" s="255"/>
      <c r="E659" s="255"/>
      <c r="F659" s="255"/>
      <c r="G659" s="256"/>
      <c r="H659" s="257"/>
      <c r="I659" s="257"/>
      <c r="J659" s="258"/>
      <c r="K659" s="258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</row>
    <row r="660" ht="15.75" customHeight="1">
      <c r="A660" s="252"/>
      <c r="B660" s="253"/>
      <c r="C660" s="254"/>
      <c r="D660" s="255"/>
      <c r="E660" s="255"/>
      <c r="F660" s="255"/>
      <c r="G660" s="256"/>
      <c r="H660" s="257"/>
      <c r="I660" s="257"/>
      <c r="J660" s="258"/>
      <c r="K660" s="258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</row>
    <row r="661" ht="15.75" customHeight="1">
      <c r="A661" s="252"/>
      <c r="B661" s="253"/>
      <c r="C661" s="254"/>
      <c r="D661" s="255"/>
      <c r="E661" s="255"/>
      <c r="F661" s="255"/>
      <c r="G661" s="256"/>
      <c r="H661" s="257"/>
      <c r="I661" s="257"/>
      <c r="J661" s="258"/>
      <c r="K661" s="258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</row>
    <row r="662" ht="15.75" customHeight="1">
      <c r="A662" s="252"/>
      <c r="B662" s="253"/>
      <c r="C662" s="254"/>
      <c r="D662" s="255"/>
      <c r="E662" s="255"/>
      <c r="F662" s="255"/>
      <c r="G662" s="256"/>
      <c r="H662" s="257"/>
      <c r="I662" s="257"/>
      <c r="J662" s="258"/>
      <c r="K662" s="258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</row>
    <row r="663" ht="15.75" customHeight="1">
      <c r="A663" s="252"/>
      <c r="B663" s="253"/>
      <c r="C663" s="254"/>
      <c r="D663" s="255"/>
      <c r="E663" s="255"/>
      <c r="F663" s="255"/>
      <c r="G663" s="256"/>
      <c r="H663" s="257"/>
      <c r="I663" s="257"/>
      <c r="J663" s="258"/>
      <c r="K663" s="258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</row>
    <row r="664" ht="15.75" customHeight="1">
      <c r="A664" s="252"/>
      <c r="B664" s="253"/>
      <c r="C664" s="254"/>
      <c r="D664" s="255"/>
      <c r="E664" s="255"/>
      <c r="F664" s="255"/>
      <c r="G664" s="256"/>
      <c r="H664" s="257"/>
      <c r="I664" s="257"/>
      <c r="J664" s="258"/>
      <c r="K664" s="258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</row>
    <row r="665" ht="15.75" customHeight="1">
      <c r="A665" s="252"/>
      <c r="B665" s="253"/>
      <c r="C665" s="254"/>
      <c r="D665" s="255"/>
      <c r="E665" s="255"/>
      <c r="F665" s="255"/>
      <c r="G665" s="256"/>
      <c r="H665" s="257"/>
      <c r="I665" s="257"/>
      <c r="J665" s="258"/>
      <c r="K665" s="258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</row>
    <row r="666" ht="15.75" customHeight="1">
      <c r="A666" s="252"/>
      <c r="B666" s="253"/>
      <c r="C666" s="254"/>
      <c r="D666" s="255"/>
      <c r="E666" s="255"/>
      <c r="F666" s="255"/>
      <c r="G666" s="256"/>
      <c r="H666" s="257"/>
      <c r="I666" s="257"/>
      <c r="J666" s="258"/>
      <c r="K666" s="258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</row>
    <row r="667" ht="15.75" customHeight="1">
      <c r="A667" s="252"/>
      <c r="B667" s="253"/>
      <c r="C667" s="254"/>
      <c r="D667" s="255"/>
      <c r="E667" s="255"/>
      <c r="F667" s="255"/>
      <c r="G667" s="256"/>
      <c r="H667" s="257"/>
      <c r="I667" s="257"/>
      <c r="J667" s="258"/>
      <c r="K667" s="258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</row>
    <row r="668" ht="15.75" customHeight="1">
      <c r="A668" s="252"/>
      <c r="B668" s="253"/>
      <c r="C668" s="254"/>
      <c r="D668" s="255"/>
      <c r="E668" s="255"/>
      <c r="F668" s="255"/>
      <c r="G668" s="256"/>
      <c r="H668" s="257"/>
      <c r="I668" s="257"/>
      <c r="J668" s="258"/>
      <c r="K668" s="258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</row>
    <row r="669" ht="15.75" customHeight="1">
      <c r="A669" s="252"/>
      <c r="B669" s="253"/>
      <c r="C669" s="254"/>
      <c r="D669" s="255"/>
      <c r="E669" s="255"/>
      <c r="F669" s="255"/>
      <c r="G669" s="256"/>
      <c r="H669" s="257"/>
      <c r="I669" s="257"/>
      <c r="J669" s="258"/>
      <c r="K669" s="258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</row>
    <row r="670" ht="15.75" customHeight="1">
      <c r="A670" s="252"/>
      <c r="B670" s="253"/>
      <c r="C670" s="254"/>
      <c r="D670" s="255"/>
      <c r="E670" s="255"/>
      <c r="F670" s="255"/>
      <c r="G670" s="256"/>
      <c r="H670" s="257"/>
      <c r="I670" s="257"/>
      <c r="J670" s="258"/>
      <c r="K670" s="258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</row>
    <row r="671" ht="15.75" customHeight="1">
      <c r="A671" s="252"/>
      <c r="B671" s="253"/>
      <c r="C671" s="254"/>
      <c r="D671" s="255"/>
      <c r="E671" s="255"/>
      <c r="F671" s="255"/>
      <c r="G671" s="256"/>
      <c r="H671" s="257"/>
      <c r="I671" s="257"/>
      <c r="J671" s="258"/>
      <c r="K671" s="258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</row>
    <row r="672" ht="15.75" customHeight="1">
      <c r="A672" s="252"/>
      <c r="B672" s="253"/>
      <c r="C672" s="254"/>
      <c r="D672" s="255"/>
      <c r="E672" s="255"/>
      <c r="F672" s="255"/>
      <c r="G672" s="256"/>
      <c r="H672" s="257"/>
      <c r="I672" s="257"/>
      <c r="J672" s="258"/>
      <c r="K672" s="258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</row>
    <row r="673" ht="15.75" customHeight="1">
      <c r="A673" s="252"/>
      <c r="B673" s="253"/>
      <c r="C673" s="254"/>
      <c r="D673" s="255"/>
      <c r="E673" s="255"/>
      <c r="F673" s="255"/>
      <c r="G673" s="256"/>
      <c r="H673" s="257"/>
      <c r="I673" s="257"/>
      <c r="J673" s="258"/>
      <c r="K673" s="258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</row>
    <row r="674" ht="15.75" customHeight="1">
      <c r="A674" s="252"/>
      <c r="B674" s="253"/>
      <c r="C674" s="254"/>
      <c r="D674" s="255"/>
      <c r="E674" s="255"/>
      <c r="F674" s="255"/>
      <c r="G674" s="256"/>
      <c r="H674" s="257"/>
      <c r="I674" s="257"/>
      <c r="J674" s="258"/>
      <c r="K674" s="258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</row>
    <row r="675" ht="15.75" customHeight="1">
      <c r="A675" s="252"/>
      <c r="B675" s="253"/>
      <c r="C675" s="254"/>
      <c r="D675" s="255"/>
      <c r="E675" s="255"/>
      <c r="F675" s="255"/>
      <c r="G675" s="256"/>
      <c r="H675" s="257"/>
      <c r="I675" s="257"/>
      <c r="J675" s="258"/>
      <c r="K675" s="258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</row>
    <row r="676" ht="15.75" customHeight="1">
      <c r="A676" s="252"/>
      <c r="B676" s="253"/>
      <c r="C676" s="254"/>
      <c r="D676" s="255"/>
      <c r="E676" s="255"/>
      <c r="F676" s="255"/>
      <c r="G676" s="256"/>
      <c r="H676" s="257"/>
      <c r="I676" s="257"/>
      <c r="J676" s="258"/>
      <c r="K676" s="258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</row>
    <row r="677" ht="15.75" customHeight="1">
      <c r="A677" s="252"/>
      <c r="B677" s="253"/>
      <c r="C677" s="254"/>
      <c r="D677" s="255"/>
      <c r="E677" s="255"/>
      <c r="F677" s="255"/>
      <c r="G677" s="256"/>
      <c r="H677" s="257"/>
      <c r="I677" s="257"/>
      <c r="J677" s="258"/>
      <c r="K677" s="258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</row>
    <row r="678" ht="15.75" customHeight="1">
      <c r="A678" s="252"/>
      <c r="B678" s="253"/>
      <c r="C678" s="254"/>
      <c r="D678" s="255"/>
      <c r="E678" s="255"/>
      <c r="F678" s="255"/>
      <c r="G678" s="256"/>
      <c r="H678" s="257"/>
      <c r="I678" s="257"/>
      <c r="J678" s="258"/>
      <c r="K678" s="258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</row>
    <row r="679" ht="15.75" customHeight="1">
      <c r="A679" s="252"/>
      <c r="B679" s="253"/>
      <c r="C679" s="254"/>
      <c r="D679" s="255"/>
      <c r="E679" s="255"/>
      <c r="F679" s="255"/>
      <c r="G679" s="256"/>
      <c r="H679" s="257"/>
      <c r="I679" s="257"/>
      <c r="J679" s="258"/>
      <c r="K679" s="258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</row>
    <row r="680" ht="15.75" customHeight="1">
      <c r="A680" s="252"/>
      <c r="B680" s="253"/>
      <c r="C680" s="254"/>
      <c r="D680" s="255"/>
      <c r="E680" s="255"/>
      <c r="F680" s="255"/>
      <c r="G680" s="256"/>
      <c r="H680" s="257"/>
      <c r="I680" s="257"/>
      <c r="J680" s="258"/>
      <c r="K680" s="258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</row>
    <row r="681" ht="15.75" customHeight="1">
      <c r="A681" s="252"/>
      <c r="B681" s="253"/>
      <c r="C681" s="254"/>
      <c r="D681" s="255"/>
      <c r="E681" s="255"/>
      <c r="F681" s="255"/>
      <c r="G681" s="256"/>
      <c r="H681" s="257"/>
      <c r="I681" s="257"/>
      <c r="J681" s="258"/>
      <c r="K681" s="258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</row>
    <row r="682" ht="15.75" customHeight="1">
      <c r="A682" s="252"/>
      <c r="B682" s="253"/>
      <c r="C682" s="254"/>
      <c r="D682" s="255"/>
      <c r="E682" s="255"/>
      <c r="F682" s="255"/>
      <c r="G682" s="256"/>
      <c r="H682" s="257"/>
      <c r="I682" s="257"/>
      <c r="J682" s="258"/>
      <c r="K682" s="258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</row>
    <row r="683" ht="15.75" customHeight="1">
      <c r="A683" s="252"/>
      <c r="B683" s="253"/>
      <c r="C683" s="254"/>
      <c r="D683" s="255"/>
      <c r="E683" s="255"/>
      <c r="F683" s="255"/>
      <c r="G683" s="256"/>
      <c r="H683" s="257"/>
      <c r="I683" s="257"/>
      <c r="J683" s="258"/>
      <c r="K683" s="258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</row>
    <row r="684" ht="15.75" customHeight="1">
      <c r="A684" s="252"/>
      <c r="B684" s="253"/>
      <c r="C684" s="254"/>
      <c r="D684" s="255"/>
      <c r="E684" s="255"/>
      <c r="F684" s="255"/>
      <c r="G684" s="256"/>
      <c r="H684" s="257"/>
      <c r="I684" s="257"/>
      <c r="J684" s="258"/>
      <c r="K684" s="258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</row>
    <row r="685" ht="15.75" customHeight="1">
      <c r="A685" s="252"/>
      <c r="B685" s="253"/>
      <c r="C685" s="254"/>
      <c r="D685" s="255"/>
      <c r="E685" s="255"/>
      <c r="F685" s="255"/>
      <c r="G685" s="256"/>
      <c r="H685" s="257"/>
      <c r="I685" s="257"/>
      <c r="J685" s="258"/>
      <c r="K685" s="258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</row>
    <row r="686" ht="15.75" customHeight="1">
      <c r="A686" s="252"/>
      <c r="B686" s="253"/>
      <c r="C686" s="254"/>
      <c r="D686" s="255"/>
      <c r="E686" s="255"/>
      <c r="F686" s="255"/>
      <c r="G686" s="256"/>
      <c r="H686" s="257"/>
      <c r="I686" s="257"/>
      <c r="J686" s="258"/>
      <c r="K686" s="258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</row>
    <row r="687" ht="15.75" customHeight="1">
      <c r="A687" s="252"/>
      <c r="B687" s="253"/>
      <c r="C687" s="254"/>
      <c r="D687" s="255"/>
      <c r="E687" s="255"/>
      <c r="F687" s="255"/>
      <c r="G687" s="256"/>
      <c r="H687" s="257"/>
      <c r="I687" s="257"/>
      <c r="J687" s="258"/>
      <c r="K687" s="258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</row>
    <row r="688" ht="15.75" customHeight="1">
      <c r="A688" s="252"/>
      <c r="B688" s="253"/>
      <c r="C688" s="254"/>
      <c r="D688" s="255"/>
      <c r="E688" s="255"/>
      <c r="F688" s="255"/>
      <c r="G688" s="256"/>
      <c r="H688" s="257"/>
      <c r="I688" s="257"/>
      <c r="J688" s="258"/>
      <c r="K688" s="258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</row>
    <row r="689" ht="15.75" customHeight="1">
      <c r="A689" s="252"/>
      <c r="B689" s="253"/>
      <c r="C689" s="254"/>
      <c r="D689" s="255"/>
      <c r="E689" s="255"/>
      <c r="F689" s="255"/>
      <c r="G689" s="256"/>
      <c r="H689" s="257"/>
      <c r="I689" s="257"/>
      <c r="J689" s="258"/>
      <c r="K689" s="258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</row>
    <row r="690" ht="15.75" customHeight="1">
      <c r="A690" s="252"/>
      <c r="B690" s="253"/>
      <c r="C690" s="254"/>
      <c r="D690" s="255"/>
      <c r="E690" s="255"/>
      <c r="F690" s="255"/>
      <c r="G690" s="256"/>
      <c r="H690" s="257"/>
      <c r="I690" s="257"/>
      <c r="J690" s="258"/>
      <c r="K690" s="258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</row>
    <row r="691" ht="15.75" customHeight="1">
      <c r="A691" s="252"/>
      <c r="B691" s="253"/>
      <c r="C691" s="254"/>
      <c r="D691" s="255"/>
      <c r="E691" s="255"/>
      <c r="F691" s="255"/>
      <c r="G691" s="256"/>
      <c r="H691" s="257"/>
      <c r="I691" s="257"/>
      <c r="J691" s="258"/>
      <c r="K691" s="258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</row>
    <row r="692" ht="15.75" customHeight="1">
      <c r="A692" s="252"/>
      <c r="B692" s="253"/>
      <c r="C692" s="254"/>
      <c r="D692" s="255"/>
      <c r="E692" s="255"/>
      <c r="F692" s="255"/>
      <c r="G692" s="256"/>
      <c r="H692" s="257"/>
      <c r="I692" s="257"/>
      <c r="J692" s="258"/>
      <c r="K692" s="258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</row>
    <row r="693" ht="15.75" customHeight="1">
      <c r="A693" s="252"/>
      <c r="B693" s="253"/>
      <c r="C693" s="254"/>
      <c r="D693" s="255"/>
      <c r="E693" s="255"/>
      <c r="F693" s="255"/>
      <c r="G693" s="256"/>
      <c r="H693" s="257"/>
      <c r="I693" s="257"/>
      <c r="J693" s="258"/>
      <c r="K693" s="258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</row>
    <row r="694" ht="15.75" customHeight="1">
      <c r="A694" s="252"/>
      <c r="B694" s="253"/>
      <c r="C694" s="254"/>
      <c r="D694" s="255"/>
      <c r="E694" s="255"/>
      <c r="F694" s="255"/>
      <c r="G694" s="256"/>
      <c r="H694" s="257"/>
      <c r="I694" s="257"/>
      <c r="J694" s="258"/>
      <c r="K694" s="258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</row>
    <row r="695" ht="15.75" customHeight="1">
      <c r="A695" s="252"/>
      <c r="B695" s="253"/>
      <c r="C695" s="254"/>
      <c r="D695" s="255"/>
      <c r="E695" s="255"/>
      <c r="F695" s="255"/>
      <c r="G695" s="256"/>
      <c r="H695" s="257"/>
      <c r="I695" s="257"/>
      <c r="J695" s="258"/>
      <c r="K695" s="258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</row>
    <row r="696" ht="15.75" customHeight="1">
      <c r="A696" s="252"/>
      <c r="B696" s="253"/>
      <c r="C696" s="254"/>
      <c r="D696" s="255"/>
      <c r="E696" s="255"/>
      <c r="F696" s="255"/>
      <c r="G696" s="256"/>
      <c r="H696" s="257"/>
      <c r="I696" s="257"/>
      <c r="J696" s="258"/>
      <c r="K696" s="258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</row>
    <row r="697" ht="15.75" customHeight="1">
      <c r="A697" s="252"/>
      <c r="B697" s="253"/>
      <c r="C697" s="254"/>
      <c r="D697" s="255"/>
      <c r="E697" s="255"/>
      <c r="F697" s="255"/>
      <c r="G697" s="256"/>
      <c r="H697" s="257"/>
      <c r="I697" s="257"/>
      <c r="J697" s="258"/>
      <c r="K697" s="258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</row>
    <row r="698" ht="15.75" customHeight="1">
      <c r="A698" s="252"/>
      <c r="B698" s="253"/>
      <c r="C698" s="254"/>
      <c r="D698" s="255"/>
      <c r="E698" s="255"/>
      <c r="F698" s="255"/>
      <c r="G698" s="256"/>
      <c r="H698" s="257"/>
      <c r="I698" s="257"/>
      <c r="J698" s="258"/>
      <c r="K698" s="258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</row>
    <row r="699" ht="15.75" customHeight="1">
      <c r="A699" s="252"/>
      <c r="B699" s="253"/>
      <c r="C699" s="254"/>
      <c r="D699" s="255"/>
      <c r="E699" s="255"/>
      <c r="F699" s="255"/>
      <c r="G699" s="256"/>
      <c r="H699" s="257"/>
      <c r="I699" s="257"/>
      <c r="J699" s="258"/>
      <c r="K699" s="258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</row>
    <row r="700" ht="15.75" customHeight="1">
      <c r="A700" s="252"/>
      <c r="B700" s="253"/>
      <c r="C700" s="254"/>
      <c r="D700" s="255"/>
      <c r="E700" s="255"/>
      <c r="F700" s="255"/>
      <c r="G700" s="256"/>
      <c r="H700" s="257"/>
      <c r="I700" s="257"/>
      <c r="J700" s="258"/>
      <c r="K700" s="258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</row>
    <row r="701" ht="15.75" customHeight="1">
      <c r="A701" s="252"/>
      <c r="B701" s="253"/>
      <c r="C701" s="254"/>
      <c r="D701" s="255"/>
      <c r="E701" s="255"/>
      <c r="F701" s="255"/>
      <c r="G701" s="256"/>
      <c r="H701" s="257"/>
      <c r="I701" s="257"/>
      <c r="J701" s="258"/>
      <c r="K701" s="258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</row>
    <row r="702" ht="15.75" customHeight="1">
      <c r="A702" s="252"/>
      <c r="B702" s="253"/>
      <c r="C702" s="254"/>
      <c r="D702" s="255"/>
      <c r="E702" s="255"/>
      <c r="F702" s="255"/>
      <c r="G702" s="256"/>
      <c r="H702" s="257"/>
      <c r="I702" s="257"/>
      <c r="J702" s="258"/>
      <c r="K702" s="258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</row>
    <row r="703" ht="15.75" customHeight="1">
      <c r="A703" s="252"/>
      <c r="B703" s="253"/>
      <c r="C703" s="254"/>
      <c r="D703" s="255"/>
      <c r="E703" s="255"/>
      <c r="F703" s="255"/>
      <c r="G703" s="256"/>
      <c r="H703" s="257"/>
      <c r="I703" s="257"/>
      <c r="J703" s="258"/>
      <c r="K703" s="258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</row>
    <row r="704" ht="15.75" customHeight="1">
      <c r="A704" s="252"/>
      <c r="B704" s="253"/>
      <c r="C704" s="254"/>
      <c r="D704" s="255"/>
      <c r="E704" s="255"/>
      <c r="F704" s="255"/>
      <c r="G704" s="256"/>
      <c r="H704" s="257"/>
      <c r="I704" s="257"/>
      <c r="J704" s="258"/>
      <c r="K704" s="258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</row>
    <row r="705" ht="15.75" customHeight="1">
      <c r="A705" s="252"/>
      <c r="B705" s="253"/>
      <c r="C705" s="254"/>
      <c r="D705" s="255"/>
      <c r="E705" s="255"/>
      <c r="F705" s="255"/>
      <c r="G705" s="256"/>
      <c r="H705" s="257"/>
      <c r="I705" s="257"/>
      <c r="J705" s="258"/>
      <c r="K705" s="258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</row>
    <row r="706" ht="15.75" customHeight="1">
      <c r="A706" s="252"/>
      <c r="B706" s="253"/>
      <c r="C706" s="254"/>
      <c r="D706" s="255"/>
      <c r="E706" s="255"/>
      <c r="F706" s="255"/>
      <c r="G706" s="256"/>
      <c r="H706" s="257"/>
      <c r="I706" s="257"/>
      <c r="J706" s="258"/>
      <c r="K706" s="258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</row>
    <row r="707" ht="15.75" customHeight="1">
      <c r="A707" s="252"/>
      <c r="B707" s="253"/>
      <c r="C707" s="254"/>
      <c r="D707" s="255"/>
      <c r="E707" s="255"/>
      <c r="F707" s="255"/>
      <c r="G707" s="256"/>
      <c r="H707" s="257"/>
      <c r="I707" s="257"/>
      <c r="J707" s="258"/>
      <c r="K707" s="258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</row>
    <row r="708" ht="15.75" customHeight="1">
      <c r="A708" s="252"/>
      <c r="B708" s="253"/>
      <c r="C708" s="254"/>
      <c r="D708" s="255"/>
      <c r="E708" s="255"/>
      <c r="F708" s="255"/>
      <c r="G708" s="256"/>
      <c r="H708" s="257"/>
      <c r="I708" s="257"/>
      <c r="J708" s="258"/>
      <c r="K708" s="258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</row>
    <row r="709" ht="15.75" customHeight="1">
      <c r="A709" s="252"/>
      <c r="B709" s="253"/>
      <c r="C709" s="254"/>
      <c r="D709" s="255"/>
      <c r="E709" s="255"/>
      <c r="F709" s="255"/>
      <c r="G709" s="256"/>
      <c r="H709" s="257"/>
      <c r="I709" s="257"/>
      <c r="J709" s="258"/>
      <c r="K709" s="258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</row>
    <row r="710" ht="15.75" customHeight="1">
      <c r="A710" s="252"/>
      <c r="B710" s="253"/>
      <c r="C710" s="254"/>
      <c r="D710" s="255"/>
      <c r="E710" s="255"/>
      <c r="F710" s="255"/>
      <c r="G710" s="256"/>
      <c r="H710" s="257"/>
      <c r="I710" s="257"/>
      <c r="J710" s="258"/>
      <c r="K710" s="258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</row>
    <row r="711" ht="15.75" customHeight="1">
      <c r="A711" s="252"/>
      <c r="B711" s="253"/>
      <c r="C711" s="254"/>
      <c r="D711" s="255"/>
      <c r="E711" s="255"/>
      <c r="F711" s="255"/>
      <c r="G711" s="256"/>
      <c r="H711" s="257"/>
      <c r="I711" s="257"/>
      <c r="J711" s="258"/>
      <c r="K711" s="258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</row>
    <row r="712" ht="15.75" customHeight="1">
      <c r="A712" s="252"/>
      <c r="B712" s="253"/>
      <c r="C712" s="254"/>
      <c r="D712" s="255"/>
      <c r="E712" s="255"/>
      <c r="F712" s="255"/>
      <c r="G712" s="256"/>
      <c r="H712" s="257"/>
      <c r="I712" s="257"/>
      <c r="J712" s="258"/>
      <c r="K712" s="258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</row>
    <row r="713" ht="15.75" customHeight="1">
      <c r="A713" s="252"/>
      <c r="B713" s="253"/>
      <c r="C713" s="254"/>
      <c r="D713" s="255"/>
      <c r="E713" s="255"/>
      <c r="F713" s="255"/>
      <c r="G713" s="256"/>
      <c r="H713" s="257"/>
      <c r="I713" s="257"/>
      <c r="J713" s="258"/>
      <c r="K713" s="258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</row>
    <row r="714" ht="15.75" customHeight="1">
      <c r="A714" s="252"/>
      <c r="B714" s="253"/>
      <c r="C714" s="254"/>
      <c r="D714" s="255"/>
      <c r="E714" s="255"/>
      <c r="F714" s="255"/>
      <c r="G714" s="256"/>
      <c r="H714" s="257"/>
      <c r="I714" s="257"/>
      <c r="J714" s="258"/>
      <c r="K714" s="258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</row>
    <row r="715" ht="15.75" customHeight="1">
      <c r="A715" s="252"/>
      <c r="B715" s="253"/>
      <c r="C715" s="254"/>
      <c r="D715" s="255"/>
      <c r="E715" s="255"/>
      <c r="F715" s="255"/>
      <c r="G715" s="256"/>
      <c r="H715" s="257"/>
      <c r="I715" s="257"/>
      <c r="J715" s="258"/>
      <c r="K715" s="258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</row>
    <row r="716" ht="15.75" customHeight="1">
      <c r="A716" s="252"/>
      <c r="B716" s="253"/>
      <c r="C716" s="254"/>
      <c r="D716" s="255"/>
      <c r="E716" s="255"/>
      <c r="F716" s="255"/>
      <c r="G716" s="256"/>
      <c r="H716" s="257"/>
      <c r="I716" s="257"/>
      <c r="J716" s="258"/>
      <c r="K716" s="258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</row>
    <row r="717" ht="15.75" customHeight="1">
      <c r="A717" s="252"/>
      <c r="B717" s="253"/>
      <c r="C717" s="254"/>
      <c r="D717" s="255"/>
      <c r="E717" s="255"/>
      <c r="F717" s="255"/>
      <c r="G717" s="256"/>
      <c r="H717" s="257"/>
      <c r="I717" s="257"/>
      <c r="J717" s="258"/>
      <c r="K717" s="258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</row>
    <row r="718" ht="15.75" customHeight="1">
      <c r="A718" s="252"/>
      <c r="B718" s="253"/>
      <c r="C718" s="254"/>
      <c r="D718" s="255"/>
      <c r="E718" s="255"/>
      <c r="F718" s="255"/>
      <c r="G718" s="256"/>
      <c r="H718" s="257"/>
      <c r="I718" s="257"/>
      <c r="J718" s="258"/>
      <c r="K718" s="258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</row>
    <row r="719" ht="15.75" customHeight="1">
      <c r="A719" s="252"/>
      <c r="B719" s="253"/>
      <c r="C719" s="254"/>
      <c r="D719" s="255"/>
      <c r="E719" s="255"/>
      <c r="F719" s="255"/>
      <c r="G719" s="256"/>
      <c r="H719" s="257"/>
      <c r="I719" s="257"/>
      <c r="J719" s="258"/>
      <c r="K719" s="258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</row>
    <row r="720" ht="15.75" customHeight="1">
      <c r="A720" s="252"/>
      <c r="B720" s="253"/>
      <c r="C720" s="254"/>
      <c r="D720" s="255"/>
      <c r="E720" s="255"/>
      <c r="F720" s="255"/>
      <c r="G720" s="256"/>
      <c r="H720" s="257"/>
      <c r="I720" s="257"/>
      <c r="J720" s="258"/>
      <c r="K720" s="258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</row>
    <row r="721" ht="15.75" customHeight="1">
      <c r="A721" s="252"/>
      <c r="B721" s="253"/>
      <c r="C721" s="254"/>
      <c r="D721" s="255"/>
      <c r="E721" s="255"/>
      <c r="F721" s="255"/>
      <c r="G721" s="256"/>
      <c r="H721" s="257"/>
      <c r="I721" s="257"/>
      <c r="J721" s="258"/>
      <c r="K721" s="258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</row>
    <row r="722" ht="15.75" customHeight="1">
      <c r="A722" s="252"/>
      <c r="B722" s="253"/>
      <c r="C722" s="254"/>
      <c r="D722" s="255"/>
      <c r="E722" s="255"/>
      <c r="F722" s="255"/>
      <c r="G722" s="256"/>
      <c r="H722" s="257"/>
      <c r="I722" s="257"/>
      <c r="J722" s="258"/>
      <c r="K722" s="258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</row>
    <row r="723" ht="15.75" customHeight="1">
      <c r="A723" s="252"/>
      <c r="B723" s="253"/>
      <c r="C723" s="254"/>
      <c r="D723" s="255"/>
      <c r="E723" s="255"/>
      <c r="F723" s="255"/>
      <c r="G723" s="256"/>
      <c r="H723" s="257"/>
      <c r="I723" s="257"/>
      <c r="J723" s="258"/>
      <c r="K723" s="258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</row>
    <row r="724" ht="15.75" customHeight="1">
      <c r="A724" s="252"/>
      <c r="B724" s="253"/>
      <c r="C724" s="254"/>
      <c r="D724" s="255"/>
      <c r="E724" s="255"/>
      <c r="F724" s="255"/>
      <c r="G724" s="256"/>
      <c r="H724" s="257"/>
      <c r="I724" s="257"/>
      <c r="J724" s="258"/>
      <c r="K724" s="258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</row>
    <row r="725" ht="15.75" customHeight="1">
      <c r="A725" s="252"/>
      <c r="B725" s="253"/>
      <c r="C725" s="254"/>
      <c r="D725" s="255"/>
      <c r="E725" s="255"/>
      <c r="F725" s="255"/>
      <c r="G725" s="256"/>
      <c r="H725" s="257"/>
      <c r="I725" s="257"/>
      <c r="J725" s="258"/>
      <c r="K725" s="258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</row>
    <row r="726" ht="15.75" customHeight="1">
      <c r="A726" s="252"/>
      <c r="B726" s="253"/>
      <c r="C726" s="254"/>
      <c r="D726" s="255"/>
      <c r="E726" s="255"/>
      <c r="F726" s="255"/>
      <c r="G726" s="256"/>
      <c r="H726" s="257"/>
      <c r="I726" s="257"/>
      <c r="J726" s="258"/>
      <c r="K726" s="258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</row>
    <row r="727" ht="15.75" customHeight="1">
      <c r="A727" s="252"/>
      <c r="B727" s="253"/>
      <c r="C727" s="254"/>
      <c r="D727" s="255"/>
      <c r="E727" s="255"/>
      <c r="F727" s="255"/>
      <c r="G727" s="256"/>
      <c r="H727" s="257"/>
      <c r="I727" s="257"/>
      <c r="J727" s="258"/>
      <c r="K727" s="258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</row>
    <row r="728" ht="15.75" customHeight="1">
      <c r="A728" s="252"/>
      <c r="B728" s="253"/>
      <c r="C728" s="254"/>
      <c r="D728" s="255"/>
      <c r="E728" s="255"/>
      <c r="F728" s="255"/>
      <c r="G728" s="256"/>
      <c r="H728" s="257"/>
      <c r="I728" s="257"/>
      <c r="J728" s="258"/>
      <c r="K728" s="258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</row>
    <row r="729" ht="15.75" customHeight="1">
      <c r="A729" s="252"/>
      <c r="B729" s="253"/>
      <c r="C729" s="254"/>
      <c r="D729" s="255"/>
      <c r="E729" s="255"/>
      <c r="F729" s="255"/>
      <c r="G729" s="256"/>
      <c r="H729" s="257"/>
      <c r="I729" s="257"/>
      <c r="J729" s="258"/>
      <c r="K729" s="258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</row>
    <row r="730" ht="15.75" customHeight="1">
      <c r="A730" s="252"/>
      <c r="B730" s="253"/>
      <c r="C730" s="254"/>
      <c r="D730" s="255"/>
      <c r="E730" s="255"/>
      <c r="F730" s="255"/>
      <c r="G730" s="256"/>
      <c r="H730" s="257"/>
      <c r="I730" s="257"/>
      <c r="J730" s="258"/>
      <c r="K730" s="258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</row>
    <row r="731" ht="15.75" customHeight="1">
      <c r="A731" s="252"/>
      <c r="B731" s="253"/>
      <c r="C731" s="254"/>
      <c r="D731" s="255"/>
      <c r="E731" s="255"/>
      <c r="F731" s="255"/>
      <c r="G731" s="256"/>
      <c r="H731" s="257"/>
      <c r="I731" s="257"/>
      <c r="J731" s="258"/>
      <c r="K731" s="258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</row>
    <row r="732" ht="15.75" customHeight="1">
      <c r="A732" s="252"/>
      <c r="B732" s="253"/>
      <c r="C732" s="254"/>
      <c r="D732" s="255"/>
      <c r="E732" s="255"/>
      <c r="F732" s="255"/>
      <c r="G732" s="256"/>
      <c r="H732" s="257"/>
      <c r="I732" s="257"/>
      <c r="J732" s="258"/>
      <c r="K732" s="258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</row>
    <row r="733" ht="15.75" customHeight="1">
      <c r="A733" s="252"/>
      <c r="B733" s="253"/>
      <c r="C733" s="254"/>
      <c r="D733" s="255"/>
      <c r="E733" s="255"/>
      <c r="F733" s="255"/>
      <c r="G733" s="256"/>
      <c r="H733" s="257"/>
      <c r="I733" s="257"/>
      <c r="J733" s="258"/>
      <c r="K733" s="258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</row>
    <row r="734" ht="15.75" customHeight="1">
      <c r="A734" s="252"/>
      <c r="B734" s="253"/>
      <c r="C734" s="254"/>
      <c r="D734" s="255"/>
      <c r="E734" s="255"/>
      <c r="F734" s="255"/>
      <c r="G734" s="256"/>
      <c r="H734" s="257"/>
      <c r="I734" s="257"/>
      <c r="J734" s="258"/>
      <c r="K734" s="258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</row>
    <row r="735" ht="15.75" customHeight="1">
      <c r="A735" s="252"/>
      <c r="B735" s="253"/>
      <c r="C735" s="254"/>
      <c r="D735" s="255"/>
      <c r="E735" s="255"/>
      <c r="F735" s="255"/>
      <c r="G735" s="256"/>
      <c r="H735" s="257"/>
      <c r="I735" s="257"/>
      <c r="J735" s="258"/>
      <c r="K735" s="258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</row>
    <row r="736" ht="15.75" customHeight="1">
      <c r="A736" s="252"/>
      <c r="B736" s="253"/>
      <c r="C736" s="254"/>
      <c r="D736" s="255"/>
      <c r="E736" s="255"/>
      <c r="F736" s="255"/>
      <c r="G736" s="256"/>
      <c r="H736" s="257"/>
      <c r="I736" s="257"/>
      <c r="J736" s="258"/>
      <c r="K736" s="258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</row>
    <row r="737" ht="15.75" customHeight="1">
      <c r="A737" s="252"/>
      <c r="B737" s="253"/>
      <c r="C737" s="254"/>
      <c r="D737" s="255"/>
      <c r="E737" s="255"/>
      <c r="F737" s="255"/>
      <c r="G737" s="256"/>
      <c r="H737" s="257"/>
      <c r="I737" s="257"/>
      <c r="J737" s="258"/>
      <c r="K737" s="258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</row>
    <row r="738" ht="15.75" customHeight="1">
      <c r="A738" s="252"/>
      <c r="B738" s="253"/>
      <c r="C738" s="254"/>
      <c r="D738" s="255"/>
      <c r="E738" s="255"/>
      <c r="F738" s="255"/>
      <c r="G738" s="256"/>
      <c r="H738" s="257"/>
      <c r="I738" s="257"/>
      <c r="J738" s="258"/>
      <c r="K738" s="258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</row>
    <row r="739" ht="15.75" customHeight="1">
      <c r="A739" s="252"/>
      <c r="B739" s="253"/>
      <c r="C739" s="254"/>
      <c r="D739" s="255"/>
      <c r="E739" s="255"/>
      <c r="F739" s="255"/>
      <c r="G739" s="256"/>
      <c r="H739" s="257"/>
      <c r="I739" s="257"/>
      <c r="J739" s="258"/>
      <c r="K739" s="258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</row>
    <row r="740" ht="15.75" customHeight="1">
      <c r="A740" s="252"/>
      <c r="B740" s="253"/>
      <c r="C740" s="254"/>
      <c r="D740" s="255"/>
      <c r="E740" s="255"/>
      <c r="F740" s="255"/>
      <c r="G740" s="256"/>
      <c r="H740" s="257"/>
      <c r="I740" s="257"/>
      <c r="J740" s="258"/>
      <c r="K740" s="258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</row>
    <row r="741" ht="15.75" customHeight="1">
      <c r="A741" s="252"/>
      <c r="B741" s="253"/>
      <c r="C741" s="254"/>
      <c r="D741" s="255"/>
      <c r="E741" s="255"/>
      <c r="F741" s="255"/>
      <c r="G741" s="256"/>
      <c r="H741" s="257"/>
      <c r="I741" s="257"/>
      <c r="J741" s="258"/>
      <c r="K741" s="258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</row>
    <row r="742" ht="15.75" customHeight="1">
      <c r="A742" s="252"/>
      <c r="B742" s="253"/>
      <c r="C742" s="254"/>
      <c r="D742" s="255"/>
      <c r="E742" s="255"/>
      <c r="F742" s="255"/>
      <c r="G742" s="256"/>
      <c r="H742" s="257"/>
      <c r="I742" s="257"/>
      <c r="J742" s="258"/>
      <c r="K742" s="258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</row>
    <row r="743" ht="15.75" customHeight="1">
      <c r="A743" s="252"/>
      <c r="B743" s="253"/>
      <c r="C743" s="254"/>
      <c r="D743" s="255"/>
      <c r="E743" s="255"/>
      <c r="F743" s="255"/>
      <c r="G743" s="256"/>
      <c r="H743" s="257"/>
      <c r="I743" s="257"/>
      <c r="J743" s="258"/>
      <c r="K743" s="258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</row>
    <row r="744" ht="15.75" customHeight="1">
      <c r="A744" s="252"/>
      <c r="B744" s="253"/>
      <c r="C744" s="254"/>
      <c r="D744" s="255"/>
      <c r="E744" s="255"/>
      <c r="F744" s="255"/>
      <c r="G744" s="256"/>
      <c r="H744" s="257"/>
      <c r="I744" s="257"/>
      <c r="J744" s="258"/>
      <c r="K744" s="258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</row>
    <row r="745" ht="15.75" customHeight="1">
      <c r="A745" s="252"/>
      <c r="B745" s="253"/>
      <c r="C745" s="254"/>
      <c r="D745" s="255"/>
      <c r="E745" s="255"/>
      <c r="F745" s="255"/>
      <c r="G745" s="256"/>
      <c r="H745" s="257"/>
      <c r="I745" s="257"/>
      <c r="J745" s="258"/>
      <c r="K745" s="258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</row>
    <row r="746" ht="15.75" customHeight="1">
      <c r="A746" s="252"/>
      <c r="B746" s="253"/>
      <c r="C746" s="254"/>
      <c r="D746" s="255"/>
      <c r="E746" s="255"/>
      <c r="F746" s="255"/>
      <c r="G746" s="256"/>
      <c r="H746" s="257"/>
      <c r="I746" s="257"/>
      <c r="J746" s="258"/>
      <c r="K746" s="258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</row>
    <row r="747" ht="15.75" customHeight="1">
      <c r="A747" s="252"/>
      <c r="B747" s="253"/>
      <c r="C747" s="254"/>
      <c r="D747" s="255"/>
      <c r="E747" s="255"/>
      <c r="F747" s="255"/>
      <c r="G747" s="256"/>
      <c r="H747" s="257"/>
      <c r="I747" s="257"/>
      <c r="J747" s="258"/>
      <c r="K747" s="258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</row>
    <row r="748" ht="15.75" customHeight="1">
      <c r="A748" s="252"/>
      <c r="B748" s="253"/>
      <c r="C748" s="254"/>
      <c r="D748" s="255"/>
      <c r="E748" s="255"/>
      <c r="F748" s="255"/>
      <c r="G748" s="256"/>
      <c r="H748" s="257"/>
      <c r="I748" s="257"/>
      <c r="J748" s="258"/>
      <c r="K748" s="258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</row>
    <row r="749" ht="15.75" customHeight="1">
      <c r="A749" s="252"/>
      <c r="B749" s="253"/>
      <c r="C749" s="254"/>
      <c r="D749" s="255"/>
      <c r="E749" s="255"/>
      <c r="F749" s="255"/>
      <c r="G749" s="256"/>
      <c r="H749" s="257"/>
      <c r="I749" s="257"/>
      <c r="J749" s="258"/>
      <c r="K749" s="258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</row>
    <row r="750" ht="15.75" customHeight="1">
      <c r="A750" s="252"/>
      <c r="B750" s="253"/>
      <c r="C750" s="254"/>
      <c r="D750" s="255"/>
      <c r="E750" s="255"/>
      <c r="F750" s="255"/>
      <c r="G750" s="256"/>
      <c r="H750" s="257"/>
      <c r="I750" s="257"/>
      <c r="J750" s="258"/>
      <c r="K750" s="258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</row>
    <row r="751" ht="15.75" customHeight="1">
      <c r="A751" s="252"/>
      <c r="B751" s="253"/>
      <c r="C751" s="254"/>
      <c r="D751" s="255"/>
      <c r="E751" s="255"/>
      <c r="F751" s="255"/>
      <c r="G751" s="256"/>
      <c r="H751" s="257"/>
      <c r="I751" s="257"/>
      <c r="J751" s="258"/>
      <c r="K751" s="258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</row>
    <row r="752" ht="15.75" customHeight="1">
      <c r="A752" s="252"/>
      <c r="B752" s="253"/>
      <c r="C752" s="254"/>
      <c r="D752" s="255"/>
      <c r="E752" s="255"/>
      <c r="F752" s="255"/>
      <c r="G752" s="256"/>
      <c r="H752" s="257"/>
      <c r="I752" s="257"/>
      <c r="J752" s="258"/>
      <c r="K752" s="258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</row>
    <row r="753" ht="15.75" customHeight="1">
      <c r="A753" s="252"/>
      <c r="B753" s="253"/>
      <c r="C753" s="254"/>
      <c r="D753" s="255"/>
      <c r="E753" s="255"/>
      <c r="F753" s="255"/>
      <c r="G753" s="256"/>
      <c r="H753" s="257"/>
      <c r="I753" s="257"/>
      <c r="J753" s="258"/>
      <c r="K753" s="258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</row>
    <row r="754" ht="15.75" customHeight="1">
      <c r="A754" s="252"/>
      <c r="B754" s="253"/>
      <c r="C754" s="254"/>
      <c r="D754" s="255"/>
      <c r="E754" s="255"/>
      <c r="F754" s="255"/>
      <c r="G754" s="256"/>
      <c r="H754" s="257"/>
      <c r="I754" s="257"/>
      <c r="J754" s="258"/>
      <c r="K754" s="258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</row>
    <row r="755" ht="15.75" customHeight="1">
      <c r="A755" s="252"/>
      <c r="B755" s="253"/>
      <c r="C755" s="254"/>
      <c r="D755" s="255"/>
      <c r="E755" s="255"/>
      <c r="F755" s="255"/>
      <c r="G755" s="256"/>
      <c r="H755" s="257"/>
      <c r="I755" s="257"/>
      <c r="J755" s="258"/>
      <c r="K755" s="258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</row>
    <row r="756" ht="15.75" customHeight="1">
      <c r="A756" s="252"/>
      <c r="B756" s="253"/>
      <c r="C756" s="254"/>
      <c r="D756" s="255"/>
      <c r="E756" s="255"/>
      <c r="F756" s="255"/>
      <c r="G756" s="256"/>
      <c r="H756" s="257"/>
      <c r="I756" s="257"/>
      <c r="J756" s="258"/>
      <c r="K756" s="258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</row>
    <row r="757" ht="15.75" customHeight="1">
      <c r="A757" s="252"/>
      <c r="B757" s="253"/>
      <c r="C757" s="254"/>
      <c r="D757" s="255"/>
      <c r="E757" s="255"/>
      <c r="F757" s="255"/>
      <c r="G757" s="256"/>
      <c r="H757" s="257"/>
      <c r="I757" s="257"/>
      <c r="J757" s="258"/>
      <c r="K757" s="258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</row>
    <row r="758" ht="15.75" customHeight="1">
      <c r="A758" s="252"/>
      <c r="B758" s="253"/>
      <c r="C758" s="254"/>
      <c r="D758" s="255"/>
      <c r="E758" s="255"/>
      <c r="F758" s="255"/>
      <c r="G758" s="256"/>
      <c r="H758" s="257"/>
      <c r="I758" s="257"/>
      <c r="J758" s="258"/>
      <c r="K758" s="258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</row>
    <row r="759" ht="15.75" customHeight="1">
      <c r="A759" s="252"/>
      <c r="B759" s="253"/>
      <c r="C759" s="254"/>
      <c r="D759" s="255"/>
      <c r="E759" s="255"/>
      <c r="F759" s="255"/>
      <c r="G759" s="256"/>
      <c r="H759" s="257"/>
      <c r="I759" s="257"/>
      <c r="J759" s="258"/>
      <c r="K759" s="258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</row>
    <row r="760" ht="15.75" customHeight="1">
      <c r="A760" s="252"/>
      <c r="B760" s="253"/>
      <c r="C760" s="254"/>
      <c r="D760" s="255"/>
      <c r="E760" s="255"/>
      <c r="F760" s="255"/>
      <c r="G760" s="256"/>
      <c r="H760" s="257"/>
      <c r="I760" s="257"/>
      <c r="J760" s="258"/>
      <c r="K760" s="258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</row>
    <row r="761" ht="15.75" customHeight="1">
      <c r="A761" s="252"/>
      <c r="B761" s="253"/>
      <c r="C761" s="254"/>
      <c r="D761" s="255"/>
      <c r="E761" s="255"/>
      <c r="F761" s="255"/>
      <c r="G761" s="256"/>
      <c r="H761" s="257"/>
      <c r="I761" s="257"/>
      <c r="J761" s="258"/>
      <c r="K761" s="258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</row>
    <row r="762" ht="15.75" customHeight="1">
      <c r="A762" s="252"/>
      <c r="B762" s="253"/>
      <c r="C762" s="254"/>
      <c r="D762" s="255"/>
      <c r="E762" s="255"/>
      <c r="F762" s="255"/>
      <c r="G762" s="256"/>
      <c r="H762" s="257"/>
      <c r="I762" s="257"/>
      <c r="J762" s="258"/>
      <c r="K762" s="258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</row>
    <row r="763" ht="15.75" customHeight="1">
      <c r="A763" s="252"/>
      <c r="B763" s="253"/>
      <c r="C763" s="254"/>
      <c r="D763" s="255"/>
      <c r="E763" s="255"/>
      <c r="F763" s="255"/>
      <c r="G763" s="256"/>
      <c r="H763" s="257"/>
      <c r="I763" s="257"/>
      <c r="J763" s="258"/>
      <c r="K763" s="258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</row>
    <row r="764" ht="15.75" customHeight="1">
      <c r="A764" s="252"/>
      <c r="B764" s="253"/>
      <c r="C764" s="254"/>
      <c r="D764" s="255"/>
      <c r="E764" s="255"/>
      <c r="F764" s="255"/>
      <c r="G764" s="256"/>
      <c r="H764" s="257"/>
      <c r="I764" s="257"/>
      <c r="J764" s="258"/>
      <c r="K764" s="258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</row>
    <row r="765" ht="15.75" customHeight="1">
      <c r="A765" s="252"/>
      <c r="B765" s="253"/>
      <c r="C765" s="254"/>
      <c r="D765" s="255"/>
      <c r="E765" s="255"/>
      <c r="F765" s="255"/>
      <c r="G765" s="256"/>
      <c r="H765" s="257"/>
      <c r="I765" s="257"/>
      <c r="J765" s="258"/>
      <c r="K765" s="258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</row>
    <row r="766" ht="15.75" customHeight="1">
      <c r="A766" s="252"/>
      <c r="B766" s="253"/>
      <c r="C766" s="254"/>
      <c r="D766" s="255"/>
      <c r="E766" s="255"/>
      <c r="F766" s="255"/>
      <c r="G766" s="256"/>
      <c r="H766" s="257"/>
      <c r="I766" s="257"/>
      <c r="J766" s="258"/>
      <c r="K766" s="258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</row>
    <row r="767" ht="15.75" customHeight="1">
      <c r="A767" s="252"/>
      <c r="B767" s="253"/>
      <c r="C767" s="254"/>
      <c r="D767" s="255"/>
      <c r="E767" s="255"/>
      <c r="F767" s="255"/>
      <c r="G767" s="256"/>
      <c r="H767" s="257"/>
      <c r="I767" s="257"/>
      <c r="J767" s="258"/>
      <c r="K767" s="258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</row>
    <row r="768" ht="15.75" customHeight="1">
      <c r="A768" s="252"/>
      <c r="B768" s="253"/>
      <c r="C768" s="254"/>
      <c r="D768" s="255"/>
      <c r="E768" s="255"/>
      <c r="F768" s="255"/>
      <c r="G768" s="256"/>
      <c r="H768" s="257"/>
      <c r="I768" s="257"/>
      <c r="J768" s="258"/>
      <c r="K768" s="258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</row>
    <row r="769" ht="15.75" customHeight="1">
      <c r="A769" s="252"/>
      <c r="B769" s="253"/>
      <c r="C769" s="254"/>
      <c r="D769" s="255"/>
      <c r="E769" s="255"/>
      <c r="F769" s="255"/>
      <c r="G769" s="256"/>
      <c r="H769" s="257"/>
      <c r="I769" s="257"/>
      <c r="J769" s="258"/>
      <c r="K769" s="258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</row>
    <row r="770" ht="15.75" customHeight="1">
      <c r="A770" s="252"/>
      <c r="B770" s="253"/>
      <c r="C770" s="254"/>
      <c r="D770" s="255"/>
      <c r="E770" s="255"/>
      <c r="F770" s="255"/>
      <c r="G770" s="256"/>
      <c r="H770" s="257"/>
      <c r="I770" s="257"/>
      <c r="J770" s="258"/>
      <c r="K770" s="258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</row>
    <row r="771" ht="15.75" customHeight="1">
      <c r="A771" s="252"/>
      <c r="B771" s="253"/>
      <c r="C771" s="254"/>
      <c r="D771" s="255"/>
      <c r="E771" s="255"/>
      <c r="F771" s="255"/>
      <c r="G771" s="256"/>
      <c r="H771" s="257"/>
      <c r="I771" s="257"/>
      <c r="J771" s="258"/>
      <c r="K771" s="258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</row>
    <row r="772" ht="15.75" customHeight="1">
      <c r="A772" s="252"/>
      <c r="B772" s="253"/>
      <c r="C772" s="254"/>
      <c r="D772" s="255"/>
      <c r="E772" s="255"/>
      <c r="F772" s="255"/>
      <c r="G772" s="256"/>
      <c r="H772" s="257"/>
      <c r="I772" s="257"/>
      <c r="J772" s="258"/>
      <c r="K772" s="258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</row>
    <row r="773" ht="15.75" customHeight="1">
      <c r="A773" s="252"/>
      <c r="B773" s="253"/>
      <c r="C773" s="254"/>
      <c r="D773" s="255"/>
      <c r="E773" s="255"/>
      <c r="F773" s="255"/>
      <c r="G773" s="256"/>
      <c r="H773" s="257"/>
      <c r="I773" s="257"/>
      <c r="J773" s="258"/>
      <c r="K773" s="258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</row>
    <row r="774" ht="15.75" customHeight="1">
      <c r="A774" s="252"/>
      <c r="B774" s="253"/>
      <c r="C774" s="254"/>
      <c r="D774" s="255"/>
      <c r="E774" s="255"/>
      <c r="F774" s="255"/>
      <c r="G774" s="256"/>
      <c r="H774" s="257"/>
      <c r="I774" s="257"/>
      <c r="J774" s="258"/>
      <c r="K774" s="258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</row>
    <row r="775" ht="15.75" customHeight="1">
      <c r="A775" s="252"/>
      <c r="B775" s="253"/>
      <c r="C775" s="254"/>
      <c r="D775" s="255"/>
      <c r="E775" s="255"/>
      <c r="F775" s="255"/>
      <c r="G775" s="256"/>
      <c r="H775" s="257"/>
      <c r="I775" s="257"/>
      <c r="J775" s="258"/>
      <c r="K775" s="258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</row>
    <row r="776" ht="15.75" customHeight="1">
      <c r="A776" s="252"/>
      <c r="B776" s="253"/>
      <c r="C776" s="254"/>
      <c r="D776" s="255"/>
      <c r="E776" s="255"/>
      <c r="F776" s="255"/>
      <c r="G776" s="256"/>
      <c r="H776" s="257"/>
      <c r="I776" s="257"/>
      <c r="J776" s="258"/>
      <c r="K776" s="258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</row>
    <row r="777" ht="15.75" customHeight="1">
      <c r="A777" s="252"/>
      <c r="B777" s="253"/>
      <c r="C777" s="254"/>
      <c r="D777" s="255"/>
      <c r="E777" s="255"/>
      <c r="F777" s="255"/>
      <c r="G777" s="256"/>
      <c r="H777" s="257"/>
      <c r="I777" s="257"/>
      <c r="J777" s="258"/>
      <c r="K777" s="258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</row>
    <row r="778" ht="15.75" customHeight="1">
      <c r="A778" s="252"/>
      <c r="B778" s="253"/>
      <c r="C778" s="254"/>
      <c r="D778" s="255"/>
      <c r="E778" s="255"/>
      <c r="F778" s="255"/>
      <c r="G778" s="256"/>
      <c r="H778" s="257"/>
      <c r="I778" s="257"/>
      <c r="J778" s="258"/>
      <c r="K778" s="258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</row>
    <row r="779" ht="15.75" customHeight="1">
      <c r="A779" s="252"/>
      <c r="B779" s="253"/>
      <c r="C779" s="254"/>
      <c r="D779" s="255"/>
      <c r="E779" s="255"/>
      <c r="F779" s="255"/>
      <c r="G779" s="256"/>
      <c r="H779" s="257"/>
      <c r="I779" s="257"/>
      <c r="J779" s="258"/>
      <c r="K779" s="258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</row>
    <row r="780" ht="15.75" customHeight="1">
      <c r="A780" s="252"/>
      <c r="B780" s="253"/>
      <c r="C780" s="254"/>
      <c r="D780" s="255"/>
      <c r="E780" s="255"/>
      <c r="F780" s="255"/>
      <c r="G780" s="256"/>
      <c r="H780" s="257"/>
      <c r="I780" s="257"/>
      <c r="J780" s="258"/>
      <c r="K780" s="258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</row>
    <row r="781" ht="15.75" customHeight="1">
      <c r="A781" s="252"/>
      <c r="B781" s="253"/>
      <c r="C781" s="254"/>
      <c r="D781" s="255"/>
      <c r="E781" s="255"/>
      <c r="F781" s="255"/>
      <c r="G781" s="256"/>
      <c r="H781" s="257"/>
      <c r="I781" s="257"/>
      <c r="J781" s="258"/>
      <c r="K781" s="258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</row>
    <row r="782" ht="15.75" customHeight="1">
      <c r="A782" s="252"/>
      <c r="B782" s="253"/>
      <c r="C782" s="254"/>
      <c r="D782" s="255"/>
      <c r="E782" s="255"/>
      <c r="F782" s="255"/>
      <c r="G782" s="256"/>
      <c r="H782" s="257"/>
      <c r="I782" s="257"/>
      <c r="J782" s="258"/>
      <c r="K782" s="258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</row>
    <row r="783" ht="15.75" customHeight="1">
      <c r="A783" s="252"/>
      <c r="B783" s="253"/>
      <c r="C783" s="254"/>
      <c r="D783" s="255"/>
      <c r="E783" s="255"/>
      <c r="F783" s="255"/>
      <c r="G783" s="256"/>
      <c r="H783" s="257"/>
      <c r="I783" s="257"/>
      <c r="J783" s="258"/>
      <c r="K783" s="258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</row>
    <row r="784" ht="15.75" customHeight="1">
      <c r="A784" s="252"/>
      <c r="B784" s="253"/>
      <c r="C784" s="254"/>
      <c r="D784" s="255"/>
      <c r="E784" s="255"/>
      <c r="F784" s="255"/>
      <c r="G784" s="256"/>
      <c r="H784" s="257"/>
      <c r="I784" s="257"/>
      <c r="J784" s="258"/>
      <c r="K784" s="258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</row>
    <row r="785" ht="15.75" customHeight="1">
      <c r="A785" s="252"/>
      <c r="B785" s="253"/>
      <c r="C785" s="254"/>
      <c r="D785" s="255"/>
      <c r="E785" s="255"/>
      <c r="F785" s="255"/>
      <c r="G785" s="256"/>
      <c r="H785" s="257"/>
      <c r="I785" s="257"/>
      <c r="J785" s="258"/>
      <c r="K785" s="258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</row>
    <row r="786" ht="15.75" customHeight="1">
      <c r="A786" s="252"/>
      <c r="B786" s="253"/>
      <c r="C786" s="254"/>
      <c r="D786" s="255"/>
      <c r="E786" s="255"/>
      <c r="F786" s="255"/>
      <c r="G786" s="256"/>
      <c r="H786" s="257"/>
      <c r="I786" s="257"/>
      <c r="J786" s="258"/>
      <c r="K786" s="258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</row>
    <row r="787" ht="15.75" customHeight="1">
      <c r="A787" s="252"/>
      <c r="B787" s="253"/>
      <c r="C787" s="254"/>
      <c r="D787" s="255"/>
      <c r="E787" s="255"/>
      <c r="F787" s="255"/>
      <c r="G787" s="256"/>
      <c r="H787" s="257"/>
      <c r="I787" s="257"/>
      <c r="J787" s="258"/>
      <c r="K787" s="258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</row>
    <row r="788" ht="15.75" customHeight="1">
      <c r="A788" s="252"/>
      <c r="B788" s="253"/>
      <c r="C788" s="254"/>
      <c r="D788" s="255"/>
      <c r="E788" s="255"/>
      <c r="F788" s="255"/>
      <c r="G788" s="256"/>
      <c r="H788" s="257"/>
      <c r="I788" s="257"/>
      <c r="J788" s="258"/>
      <c r="K788" s="258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</row>
    <row r="789" ht="15.75" customHeight="1">
      <c r="A789" s="252"/>
      <c r="B789" s="253"/>
      <c r="C789" s="254"/>
      <c r="D789" s="255"/>
      <c r="E789" s="255"/>
      <c r="F789" s="255"/>
      <c r="G789" s="256"/>
      <c r="H789" s="257"/>
      <c r="I789" s="257"/>
      <c r="J789" s="258"/>
      <c r="K789" s="258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</row>
    <row r="790" ht="15.75" customHeight="1">
      <c r="A790" s="252"/>
      <c r="B790" s="253"/>
      <c r="C790" s="254"/>
      <c r="D790" s="255"/>
      <c r="E790" s="255"/>
      <c r="F790" s="255"/>
      <c r="G790" s="256"/>
      <c r="H790" s="257"/>
      <c r="I790" s="257"/>
      <c r="J790" s="258"/>
      <c r="K790" s="258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</row>
    <row r="791" ht="15.75" customHeight="1">
      <c r="A791" s="252"/>
      <c r="B791" s="253"/>
      <c r="C791" s="254"/>
      <c r="D791" s="255"/>
      <c r="E791" s="255"/>
      <c r="F791" s="255"/>
      <c r="G791" s="256"/>
      <c r="H791" s="257"/>
      <c r="I791" s="257"/>
      <c r="J791" s="258"/>
      <c r="K791" s="258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</row>
    <row r="792" ht="15.75" customHeight="1">
      <c r="A792" s="252"/>
      <c r="B792" s="253"/>
      <c r="C792" s="254"/>
      <c r="D792" s="255"/>
      <c r="E792" s="255"/>
      <c r="F792" s="255"/>
      <c r="G792" s="256"/>
      <c r="H792" s="257"/>
      <c r="I792" s="257"/>
      <c r="J792" s="258"/>
      <c r="K792" s="258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</row>
    <row r="793" ht="15.75" customHeight="1">
      <c r="A793" s="252"/>
      <c r="B793" s="253"/>
      <c r="C793" s="254"/>
      <c r="D793" s="255"/>
      <c r="E793" s="255"/>
      <c r="F793" s="255"/>
      <c r="G793" s="256"/>
      <c r="H793" s="257"/>
      <c r="I793" s="257"/>
      <c r="J793" s="258"/>
      <c r="K793" s="258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</row>
    <row r="794" ht="15.75" customHeight="1">
      <c r="A794" s="252"/>
      <c r="B794" s="253"/>
      <c r="C794" s="254"/>
      <c r="D794" s="255"/>
      <c r="E794" s="255"/>
      <c r="F794" s="255"/>
      <c r="G794" s="256"/>
      <c r="H794" s="257"/>
      <c r="I794" s="257"/>
      <c r="J794" s="258"/>
      <c r="K794" s="258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</row>
    <row r="795" ht="15.75" customHeight="1">
      <c r="A795" s="252"/>
      <c r="B795" s="253"/>
      <c r="C795" s="254"/>
      <c r="D795" s="255"/>
      <c r="E795" s="255"/>
      <c r="F795" s="255"/>
      <c r="G795" s="256"/>
      <c r="H795" s="257"/>
      <c r="I795" s="257"/>
      <c r="J795" s="258"/>
      <c r="K795" s="258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</row>
    <row r="796" ht="15.75" customHeight="1">
      <c r="A796" s="252"/>
      <c r="B796" s="253"/>
      <c r="C796" s="254"/>
      <c r="D796" s="255"/>
      <c r="E796" s="255"/>
      <c r="F796" s="255"/>
      <c r="G796" s="256"/>
      <c r="H796" s="257"/>
      <c r="I796" s="257"/>
      <c r="J796" s="258"/>
      <c r="K796" s="258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</row>
    <row r="797" ht="15.75" customHeight="1">
      <c r="A797" s="252"/>
      <c r="B797" s="253"/>
      <c r="C797" s="254"/>
      <c r="D797" s="255"/>
      <c r="E797" s="255"/>
      <c r="F797" s="255"/>
      <c r="G797" s="256"/>
      <c r="H797" s="257"/>
      <c r="I797" s="257"/>
      <c r="J797" s="258"/>
      <c r="K797" s="258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</row>
    <row r="798" ht="15.75" customHeight="1">
      <c r="A798" s="252"/>
      <c r="B798" s="253"/>
      <c r="C798" s="254"/>
      <c r="D798" s="255"/>
      <c r="E798" s="255"/>
      <c r="F798" s="255"/>
      <c r="G798" s="256"/>
      <c r="H798" s="257"/>
      <c r="I798" s="257"/>
      <c r="J798" s="258"/>
      <c r="K798" s="258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</row>
    <row r="799" ht="15.75" customHeight="1">
      <c r="A799" s="252"/>
      <c r="B799" s="253"/>
      <c r="C799" s="254"/>
      <c r="D799" s="255"/>
      <c r="E799" s="255"/>
      <c r="F799" s="255"/>
      <c r="G799" s="256"/>
      <c r="H799" s="257"/>
      <c r="I799" s="257"/>
      <c r="J799" s="258"/>
      <c r="K799" s="258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</row>
    <row r="800" ht="15.75" customHeight="1">
      <c r="A800" s="252"/>
      <c r="B800" s="253"/>
      <c r="C800" s="254"/>
      <c r="D800" s="255"/>
      <c r="E800" s="255"/>
      <c r="F800" s="255"/>
      <c r="G800" s="256"/>
      <c r="H800" s="257"/>
      <c r="I800" s="257"/>
      <c r="J800" s="258"/>
      <c r="K800" s="258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</row>
    <row r="801" ht="15.75" customHeight="1">
      <c r="A801" s="252"/>
      <c r="B801" s="253"/>
      <c r="C801" s="254"/>
      <c r="D801" s="255"/>
      <c r="E801" s="255"/>
      <c r="F801" s="255"/>
      <c r="G801" s="256"/>
      <c r="H801" s="257"/>
      <c r="I801" s="257"/>
      <c r="J801" s="258"/>
      <c r="K801" s="258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</row>
    <row r="802" ht="15.75" customHeight="1">
      <c r="A802" s="252"/>
      <c r="B802" s="253"/>
      <c r="C802" s="254"/>
      <c r="D802" s="255"/>
      <c r="E802" s="255"/>
      <c r="F802" s="255"/>
      <c r="G802" s="256"/>
      <c r="H802" s="257"/>
      <c r="I802" s="257"/>
      <c r="J802" s="258"/>
      <c r="K802" s="258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</row>
    <row r="803" ht="15.75" customHeight="1">
      <c r="A803" s="252"/>
      <c r="B803" s="253"/>
      <c r="C803" s="254"/>
      <c r="D803" s="255"/>
      <c r="E803" s="255"/>
      <c r="F803" s="255"/>
      <c r="G803" s="256"/>
      <c r="H803" s="257"/>
      <c r="I803" s="257"/>
      <c r="J803" s="258"/>
      <c r="K803" s="258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</row>
    <row r="804" ht="15.75" customHeight="1">
      <c r="A804" s="252"/>
      <c r="B804" s="253"/>
      <c r="C804" s="254"/>
      <c r="D804" s="255"/>
      <c r="E804" s="255"/>
      <c r="F804" s="255"/>
      <c r="G804" s="256"/>
      <c r="H804" s="257"/>
      <c r="I804" s="257"/>
      <c r="J804" s="258"/>
      <c r="K804" s="258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</row>
    <row r="805" ht="15.75" customHeight="1">
      <c r="A805" s="252"/>
      <c r="B805" s="253"/>
      <c r="C805" s="254"/>
      <c r="D805" s="255"/>
      <c r="E805" s="255"/>
      <c r="F805" s="255"/>
      <c r="G805" s="256"/>
      <c r="H805" s="257"/>
      <c r="I805" s="257"/>
      <c r="J805" s="258"/>
      <c r="K805" s="258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</row>
    <row r="806" ht="15.75" customHeight="1">
      <c r="A806" s="252"/>
      <c r="B806" s="253"/>
      <c r="C806" s="254"/>
      <c r="D806" s="255"/>
      <c r="E806" s="255"/>
      <c r="F806" s="255"/>
      <c r="G806" s="256"/>
      <c r="H806" s="257"/>
      <c r="I806" s="257"/>
      <c r="J806" s="258"/>
      <c r="K806" s="258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</row>
    <row r="807" ht="15.75" customHeight="1">
      <c r="A807" s="252"/>
      <c r="B807" s="253"/>
      <c r="C807" s="254"/>
      <c r="D807" s="255"/>
      <c r="E807" s="255"/>
      <c r="F807" s="255"/>
      <c r="G807" s="256"/>
      <c r="H807" s="257"/>
      <c r="I807" s="257"/>
      <c r="J807" s="258"/>
      <c r="K807" s="258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</row>
    <row r="808" ht="15.75" customHeight="1">
      <c r="A808" s="252"/>
      <c r="B808" s="253"/>
      <c r="C808" s="254"/>
      <c r="D808" s="255"/>
      <c r="E808" s="255"/>
      <c r="F808" s="255"/>
      <c r="G808" s="256"/>
      <c r="H808" s="257"/>
      <c r="I808" s="257"/>
      <c r="J808" s="258"/>
      <c r="K808" s="258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</row>
    <row r="809" ht="15.75" customHeight="1">
      <c r="A809" s="252"/>
      <c r="B809" s="253"/>
      <c r="C809" s="254"/>
      <c r="D809" s="255"/>
      <c r="E809" s="255"/>
      <c r="F809" s="255"/>
      <c r="G809" s="256"/>
      <c r="H809" s="257"/>
      <c r="I809" s="257"/>
      <c r="J809" s="258"/>
      <c r="K809" s="258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</row>
    <row r="810" ht="15.75" customHeight="1">
      <c r="A810" s="252"/>
      <c r="B810" s="253"/>
      <c r="C810" s="254"/>
      <c r="D810" s="255"/>
      <c r="E810" s="255"/>
      <c r="F810" s="255"/>
      <c r="G810" s="256"/>
      <c r="H810" s="257"/>
      <c r="I810" s="257"/>
      <c r="J810" s="258"/>
      <c r="K810" s="258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</row>
    <row r="811" ht="15.75" customHeight="1">
      <c r="A811" s="252"/>
      <c r="B811" s="253"/>
      <c r="C811" s="254"/>
      <c r="D811" s="255"/>
      <c r="E811" s="255"/>
      <c r="F811" s="255"/>
      <c r="G811" s="256"/>
      <c r="H811" s="257"/>
      <c r="I811" s="257"/>
      <c r="J811" s="258"/>
      <c r="K811" s="258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</row>
    <row r="812" ht="15.75" customHeight="1">
      <c r="A812" s="252"/>
      <c r="B812" s="253"/>
      <c r="C812" s="254"/>
      <c r="D812" s="255"/>
      <c r="E812" s="255"/>
      <c r="F812" s="255"/>
      <c r="G812" s="256"/>
      <c r="H812" s="257"/>
      <c r="I812" s="257"/>
      <c r="J812" s="258"/>
      <c r="K812" s="258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</row>
    <row r="813" ht="15.75" customHeight="1">
      <c r="A813" s="252"/>
      <c r="B813" s="253"/>
      <c r="C813" s="254"/>
      <c r="D813" s="255"/>
      <c r="E813" s="255"/>
      <c r="F813" s="255"/>
      <c r="G813" s="256"/>
      <c r="H813" s="257"/>
      <c r="I813" s="257"/>
      <c r="J813" s="258"/>
      <c r="K813" s="258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</row>
    <row r="814" ht="15.75" customHeight="1">
      <c r="A814" s="252"/>
      <c r="B814" s="253"/>
      <c r="C814" s="254"/>
      <c r="D814" s="255"/>
      <c r="E814" s="255"/>
      <c r="F814" s="255"/>
      <c r="G814" s="256"/>
      <c r="H814" s="257"/>
      <c r="I814" s="257"/>
      <c r="J814" s="258"/>
      <c r="K814" s="258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</row>
    <row r="815" ht="15.75" customHeight="1">
      <c r="A815" s="252"/>
      <c r="B815" s="253"/>
      <c r="C815" s="254"/>
      <c r="D815" s="255"/>
      <c r="E815" s="255"/>
      <c r="F815" s="255"/>
      <c r="G815" s="256"/>
      <c r="H815" s="257"/>
      <c r="I815" s="257"/>
      <c r="J815" s="258"/>
      <c r="K815" s="258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</row>
    <row r="816" ht="15.75" customHeight="1">
      <c r="A816" s="252"/>
      <c r="B816" s="253"/>
      <c r="C816" s="254"/>
      <c r="D816" s="255"/>
      <c r="E816" s="255"/>
      <c r="F816" s="255"/>
      <c r="G816" s="256"/>
      <c r="H816" s="257"/>
      <c r="I816" s="257"/>
      <c r="J816" s="258"/>
      <c r="K816" s="258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</row>
    <row r="817" ht="15.75" customHeight="1">
      <c r="A817" s="252"/>
      <c r="B817" s="253"/>
      <c r="C817" s="254"/>
      <c r="D817" s="255"/>
      <c r="E817" s="255"/>
      <c r="F817" s="255"/>
      <c r="G817" s="256"/>
      <c r="H817" s="257"/>
      <c r="I817" s="257"/>
      <c r="J817" s="258"/>
      <c r="K817" s="258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</row>
    <row r="818" ht="15.75" customHeight="1">
      <c r="A818" s="252"/>
      <c r="B818" s="253"/>
      <c r="C818" s="254"/>
      <c r="D818" s="255"/>
      <c r="E818" s="255"/>
      <c r="F818" s="255"/>
      <c r="G818" s="256"/>
      <c r="H818" s="257"/>
      <c r="I818" s="257"/>
      <c r="J818" s="258"/>
      <c r="K818" s="258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</row>
    <row r="819" ht="15.75" customHeight="1">
      <c r="A819" s="252"/>
      <c r="B819" s="253"/>
      <c r="C819" s="254"/>
      <c r="D819" s="255"/>
      <c r="E819" s="255"/>
      <c r="F819" s="255"/>
      <c r="G819" s="256"/>
      <c r="H819" s="257"/>
      <c r="I819" s="257"/>
      <c r="J819" s="258"/>
      <c r="K819" s="258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</row>
    <row r="820" ht="15.75" customHeight="1">
      <c r="A820" s="252"/>
      <c r="B820" s="253"/>
      <c r="C820" s="254"/>
      <c r="D820" s="255"/>
      <c r="E820" s="255"/>
      <c r="F820" s="255"/>
      <c r="G820" s="256"/>
      <c r="H820" s="257"/>
      <c r="I820" s="257"/>
      <c r="J820" s="258"/>
      <c r="K820" s="258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</row>
    <row r="821" ht="15.75" customHeight="1">
      <c r="A821" s="252"/>
      <c r="B821" s="253"/>
      <c r="C821" s="254"/>
      <c r="D821" s="255"/>
      <c r="E821" s="255"/>
      <c r="F821" s="255"/>
      <c r="G821" s="256"/>
      <c r="H821" s="257"/>
      <c r="I821" s="257"/>
      <c r="J821" s="258"/>
      <c r="K821" s="258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</row>
    <row r="822" ht="15.75" customHeight="1">
      <c r="A822" s="252"/>
      <c r="B822" s="253"/>
      <c r="C822" s="254"/>
      <c r="D822" s="255"/>
      <c r="E822" s="255"/>
      <c r="F822" s="255"/>
      <c r="G822" s="256"/>
      <c r="H822" s="257"/>
      <c r="I822" s="257"/>
      <c r="J822" s="258"/>
      <c r="K822" s="258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</row>
    <row r="823" ht="15.75" customHeight="1">
      <c r="A823" s="252"/>
      <c r="B823" s="253"/>
      <c r="C823" s="254"/>
      <c r="D823" s="255"/>
      <c r="E823" s="255"/>
      <c r="F823" s="255"/>
      <c r="G823" s="256"/>
      <c r="H823" s="257"/>
      <c r="I823" s="257"/>
      <c r="J823" s="258"/>
      <c r="K823" s="258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</row>
    <row r="824" ht="15.75" customHeight="1">
      <c r="A824" s="252"/>
      <c r="B824" s="253"/>
      <c r="C824" s="254"/>
      <c r="D824" s="255"/>
      <c r="E824" s="255"/>
      <c r="F824" s="255"/>
      <c r="G824" s="256"/>
      <c r="H824" s="257"/>
      <c r="I824" s="257"/>
      <c r="J824" s="258"/>
      <c r="K824" s="258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</row>
    <row r="825" ht="15.75" customHeight="1">
      <c r="A825" s="252"/>
      <c r="B825" s="253"/>
      <c r="C825" s="254"/>
      <c r="D825" s="255"/>
      <c r="E825" s="255"/>
      <c r="F825" s="255"/>
      <c r="G825" s="256"/>
      <c r="H825" s="257"/>
      <c r="I825" s="257"/>
      <c r="J825" s="258"/>
      <c r="K825" s="258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</row>
    <row r="826" ht="15.75" customHeight="1">
      <c r="A826" s="252"/>
      <c r="B826" s="253"/>
      <c r="C826" s="254"/>
      <c r="D826" s="255"/>
      <c r="E826" s="255"/>
      <c r="F826" s="255"/>
      <c r="G826" s="256"/>
      <c r="H826" s="257"/>
      <c r="I826" s="257"/>
      <c r="J826" s="258"/>
      <c r="K826" s="258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</row>
    <row r="827" ht="15.75" customHeight="1">
      <c r="A827" s="252"/>
      <c r="B827" s="253"/>
      <c r="C827" s="254"/>
      <c r="D827" s="255"/>
      <c r="E827" s="255"/>
      <c r="F827" s="255"/>
      <c r="G827" s="256"/>
      <c r="H827" s="257"/>
      <c r="I827" s="257"/>
      <c r="J827" s="258"/>
      <c r="K827" s="258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</row>
    <row r="828" ht="15.75" customHeight="1">
      <c r="A828" s="252"/>
      <c r="B828" s="253"/>
      <c r="C828" s="254"/>
      <c r="D828" s="255"/>
      <c r="E828" s="255"/>
      <c r="F828" s="255"/>
      <c r="G828" s="256"/>
      <c r="H828" s="257"/>
      <c r="I828" s="257"/>
      <c r="J828" s="258"/>
      <c r="K828" s="258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</row>
    <row r="829" ht="15.75" customHeight="1">
      <c r="A829" s="252"/>
      <c r="B829" s="253"/>
      <c r="C829" s="254"/>
      <c r="D829" s="255"/>
      <c r="E829" s="255"/>
      <c r="F829" s="255"/>
      <c r="G829" s="256"/>
      <c r="H829" s="257"/>
      <c r="I829" s="257"/>
      <c r="J829" s="258"/>
      <c r="K829" s="258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</row>
    <row r="830" ht="15.75" customHeight="1">
      <c r="A830" s="252"/>
      <c r="B830" s="253"/>
      <c r="C830" s="254"/>
      <c r="D830" s="255"/>
      <c r="E830" s="255"/>
      <c r="F830" s="255"/>
      <c r="G830" s="256"/>
      <c r="H830" s="257"/>
      <c r="I830" s="257"/>
      <c r="J830" s="258"/>
      <c r="K830" s="258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</row>
    <row r="831" ht="15.75" customHeight="1">
      <c r="A831" s="252"/>
      <c r="B831" s="253"/>
      <c r="C831" s="254"/>
      <c r="D831" s="255"/>
      <c r="E831" s="255"/>
      <c r="F831" s="255"/>
      <c r="G831" s="256"/>
      <c r="H831" s="257"/>
      <c r="I831" s="257"/>
      <c r="J831" s="258"/>
      <c r="K831" s="258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</row>
    <row r="832" ht="15.75" customHeight="1">
      <c r="A832" s="252"/>
      <c r="B832" s="253"/>
      <c r="C832" s="254"/>
      <c r="D832" s="255"/>
      <c r="E832" s="255"/>
      <c r="F832" s="255"/>
      <c r="G832" s="256"/>
      <c r="H832" s="257"/>
      <c r="I832" s="257"/>
      <c r="J832" s="258"/>
      <c r="K832" s="258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</row>
    <row r="833" ht="15.75" customHeight="1">
      <c r="A833" s="252"/>
      <c r="B833" s="253"/>
      <c r="C833" s="254"/>
      <c r="D833" s="255"/>
      <c r="E833" s="255"/>
      <c r="F833" s="255"/>
      <c r="G833" s="256"/>
      <c r="H833" s="257"/>
      <c r="I833" s="257"/>
      <c r="J833" s="258"/>
      <c r="K833" s="258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</row>
    <row r="834" ht="15.75" customHeight="1">
      <c r="A834" s="252"/>
      <c r="B834" s="253"/>
      <c r="C834" s="254"/>
      <c r="D834" s="255"/>
      <c r="E834" s="255"/>
      <c r="F834" s="255"/>
      <c r="G834" s="256"/>
      <c r="H834" s="257"/>
      <c r="I834" s="257"/>
      <c r="J834" s="258"/>
      <c r="K834" s="258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</row>
    <row r="835" ht="15.75" customHeight="1">
      <c r="A835" s="252"/>
      <c r="B835" s="253"/>
      <c r="C835" s="254"/>
      <c r="D835" s="255"/>
      <c r="E835" s="255"/>
      <c r="F835" s="255"/>
      <c r="G835" s="256"/>
      <c r="H835" s="257"/>
      <c r="I835" s="257"/>
      <c r="J835" s="258"/>
      <c r="K835" s="258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</row>
    <row r="836" ht="15.75" customHeight="1">
      <c r="A836" s="252"/>
      <c r="B836" s="253"/>
      <c r="C836" s="254"/>
      <c r="D836" s="255"/>
      <c r="E836" s="255"/>
      <c r="F836" s="255"/>
      <c r="G836" s="256"/>
      <c r="H836" s="257"/>
      <c r="I836" s="257"/>
      <c r="J836" s="258"/>
      <c r="K836" s="258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</row>
    <row r="837" ht="15.75" customHeight="1">
      <c r="A837" s="252"/>
      <c r="B837" s="253"/>
      <c r="C837" s="254"/>
      <c r="D837" s="255"/>
      <c r="E837" s="255"/>
      <c r="F837" s="255"/>
      <c r="G837" s="256"/>
      <c r="H837" s="257"/>
      <c r="I837" s="257"/>
      <c r="J837" s="258"/>
      <c r="K837" s="258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</row>
    <row r="838" ht="15.75" customHeight="1">
      <c r="A838" s="252"/>
      <c r="B838" s="253"/>
      <c r="C838" s="254"/>
      <c r="D838" s="255"/>
      <c r="E838" s="255"/>
      <c r="F838" s="255"/>
      <c r="G838" s="256"/>
      <c r="H838" s="257"/>
      <c r="I838" s="257"/>
      <c r="J838" s="258"/>
      <c r="K838" s="258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</row>
    <row r="839" ht="15.75" customHeight="1">
      <c r="A839" s="252"/>
      <c r="B839" s="253"/>
      <c r="C839" s="254"/>
      <c r="D839" s="255"/>
      <c r="E839" s="255"/>
      <c r="F839" s="255"/>
      <c r="G839" s="256"/>
      <c r="H839" s="257"/>
      <c r="I839" s="257"/>
      <c r="J839" s="258"/>
      <c r="K839" s="258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</row>
    <row r="840" ht="15.75" customHeight="1">
      <c r="A840" s="252"/>
      <c r="B840" s="253"/>
      <c r="C840" s="254"/>
      <c r="D840" s="255"/>
      <c r="E840" s="255"/>
      <c r="F840" s="255"/>
      <c r="G840" s="256"/>
      <c r="H840" s="257"/>
      <c r="I840" s="257"/>
      <c r="J840" s="258"/>
      <c r="K840" s="258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</row>
    <row r="841" ht="15.75" customHeight="1">
      <c r="A841" s="252"/>
      <c r="B841" s="253"/>
      <c r="C841" s="254"/>
      <c r="D841" s="255"/>
      <c r="E841" s="255"/>
      <c r="F841" s="255"/>
      <c r="G841" s="256"/>
      <c r="H841" s="257"/>
      <c r="I841" s="257"/>
      <c r="J841" s="258"/>
      <c r="K841" s="258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</row>
    <row r="842" ht="15.75" customHeight="1">
      <c r="A842" s="252"/>
      <c r="B842" s="253"/>
      <c r="C842" s="254"/>
      <c r="D842" s="255"/>
      <c r="E842" s="255"/>
      <c r="F842" s="255"/>
      <c r="G842" s="256"/>
      <c r="H842" s="257"/>
      <c r="I842" s="257"/>
      <c r="J842" s="258"/>
      <c r="K842" s="258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</row>
    <row r="843" ht="15.75" customHeight="1">
      <c r="A843" s="252"/>
      <c r="B843" s="253"/>
      <c r="C843" s="254"/>
      <c r="D843" s="255"/>
      <c r="E843" s="255"/>
      <c r="F843" s="255"/>
      <c r="G843" s="256"/>
      <c r="H843" s="257"/>
      <c r="I843" s="257"/>
      <c r="J843" s="258"/>
      <c r="K843" s="258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</row>
    <row r="844" ht="15.75" customHeight="1">
      <c r="A844" s="252"/>
      <c r="B844" s="253"/>
      <c r="C844" s="254"/>
      <c r="D844" s="255"/>
      <c r="E844" s="255"/>
      <c r="F844" s="255"/>
      <c r="G844" s="256"/>
      <c r="H844" s="257"/>
      <c r="I844" s="257"/>
      <c r="J844" s="258"/>
      <c r="K844" s="258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</row>
    <row r="845" ht="15.75" customHeight="1">
      <c r="A845" s="252"/>
      <c r="B845" s="253"/>
      <c r="C845" s="254"/>
      <c r="D845" s="255"/>
      <c r="E845" s="255"/>
      <c r="F845" s="255"/>
      <c r="G845" s="256"/>
      <c r="H845" s="257"/>
      <c r="I845" s="257"/>
      <c r="J845" s="258"/>
      <c r="K845" s="258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</row>
    <row r="846" ht="15.75" customHeight="1">
      <c r="A846" s="252"/>
      <c r="B846" s="253"/>
      <c r="C846" s="254"/>
      <c r="D846" s="255"/>
      <c r="E846" s="255"/>
      <c r="F846" s="255"/>
      <c r="G846" s="256"/>
      <c r="H846" s="257"/>
      <c r="I846" s="257"/>
      <c r="J846" s="258"/>
      <c r="K846" s="258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</row>
    <row r="847" ht="15.75" customHeight="1">
      <c r="A847" s="252"/>
      <c r="B847" s="253"/>
      <c r="C847" s="254"/>
      <c r="D847" s="255"/>
      <c r="E847" s="255"/>
      <c r="F847" s="255"/>
      <c r="G847" s="256"/>
      <c r="H847" s="257"/>
      <c r="I847" s="257"/>
      <c r="J847" s="258"/>
      <c r="K847" s="258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</row>
    <row r="848" ht="15.75" customHeight="1">
      <c r="A848" s="252"/>
      <c r="B848" s="253"/>
      <c r="C848" s="254"/>
      <c r="D848" s="255"/>
      <c r="E848" s="255"/>
      <c r="F848" s="255"/>
      <c r="G848" s="256"/>
      <c r="H848" s="257"/>
      <c r="I848" s="257"/>
      <c r="J848" s="258"/>
      <c r="K848" s="258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</row>
    <row r="849" ht="15.75" customHeight="1">
      <c r="A849" s="252"/>
      <c r="B849" s="253"/>
      <c r="C849" s="254"/>
      <c r="D849" s="255"/>
      <c r="E849" s="255"/>
      <c r="F849" s="255"/>
      <c r="G849" s="256"/>
      <c r="H849" s="257"/>
      <c r="I849" s="257"/>
      <c r="J849" s="258"/>
      <c r="K849" s="258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</row>
    <row r="850" ht="15.75" customHeight="1">
      <c r="A850" s="252"/>
      <c r="B850" s="253"/>
      <c r="C850" s="254"/>
      <c r="D850" s="255"/>
      <c r="E850" s="255"/>
      <c r="F850" s="255"/>
      <c r="G850" s="256"/>
      <c r="H850" s="257"/>
      <c r="I850" s="257"/>
      <c r="J850" s="258"/>
      <c r="K850" s="258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</row>
    <row r="851" ht="15.75" customHeight="1">
      <c r="A851" s="252"/>
      <c r="B851" s="253"/>
      <c r="C851" s="254"/>
      <c r="D851" s="255"/>
      <c r="E851" s="255"/>
      <c r="F851" s="255"/>
      <c r="G851" s="256"/>
      <c r="H851" s="257"/>
      <c r="I851" s="257"/>
      <c r="J851" s="258"/>
      <c r="K851" s="258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</row>
    <row r="852" ht="15.75" customHeight="1">
      <c r="A852" s="252"/>
      <c r="B852" s="253"/>
      <c r="C852" s="254"/>
      <c r="D852" s="255"/>
      <c r="E852" s="255"/>
      <c r="F852" s="255"/>
      <c r="G852" s="256"/>
      <c r="H852" s="257"/>
      <c r="I852" s="257"/>
      <c r="J852" s="258"/>
      <c r="K852" s="258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</row>
    <row r="853" ht="15.75" customHeight="1">
      <c r="A853" s="252"/>
      <c r="B853" s="253"/>
      <c r="C853" s="254"/>
      <c r="D853" s="255"/>
      <c r="E853" s="255"/>
      <c r="F853" s="255"/>
      <c r="G853" s="256"/>
      <c r="H853" s="257"/>
      <c r="I853" s="257"/>
      <c r="J853" s="258"/>
      <c r="K853" s="258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</row>
    <row r="854" ht="15.75" customHeight="1">
      <c r="A854" s="252"/>
      <c r="B854" s="253"/>
      <c r="C854" s="254"/>
      <c r="D854" s="255"/>
      <c r="E854" s="255"/>
      <c r="F854" s="255"/>
      <c r="G854" s="256"/>
      <c r="H854" s="257"/>
      <c r="I854" s="257"/>
      <c r="J854" s="258"/>
      <c r="K854" s="258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</row>
    <row r="855" ht="15.75" customHeight="1">
      <c r="A855" s="252"/>
      <c r="B855" s="253"/>
      <c r="C855" s="254"/>
      <c r="D855" s="255"/>
      <c r="E855" s="255"/>
      <c r="F855" s="255"/>
      <c r="G855" s="256"/>
      <c r="H855" s="257"/>
      <c r="I855" s="257"/>
      <c r="J855" s="258"/>
      <c r="K855" s="258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</row>
    <row r="856" ht="15.75" customHeight="1">
      <c r="A856" s="252"/>
      <c r="B856" s="253"/>
      <c r="C856" s="254"/>
      <c r="D856" s="255"/>
      <c r="E856" s="255"/>
      <c r="F856" s="255"/>
      <c r="G856" s="256"/>
      <c r="H856" s="257"/>
      <c r="I856" s="257"/>
      <c r="J856" s="258"/>
      <c r="K856" s="258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</row>
    <row r="857" ht="15.75" customHeight="1">
      <c r="A857" s="252"/>
      <c r="B857" s="253"/>
      <c r="C857" s="254"/>
      <c r="D857" s="255"/>
      <c r="E857" s="255"/>
      <c r="F857" s="255"/>
      <c r="G857" s="256"/>
      <c r="H857" s="257"/>
      <c r="I857" s="257"/>
      <c r="J857" s="258"/>
      <c r="K857" s="258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</row>
    <row r="858" ht="15.75" customHeight="1">
      <c r="A858" s="252"/>
      <c r="B858" s="253"/>
      <c r="C858" s="254"/>
      <c r="D858" s="255"/>
      <c r="E858" s="255"/>
      <c r="F858" s="255"/>
      <c r="G858" s="256"/>
      <c r="H858" s="257"/>
      <c r="I858" s="257"/>
      <c r="J858" s="258"/>
      <c r="K858" s="258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</row>
    <row r="859" ht="15.75" customHeight="1">
      <c r="A859" s="252"/>
      <c r="B859" s="253"/>
      <c r="C859" s="254"/>
      <c r="D859" s="255"/>
      <c r="E859" s="255"/>
      <c r="F859" s="255"/>
      <c r="G859" s="256"/>
      <c r="H859" s="257"/>
      <c r="I859" s="257"/>
      <c r="J859" s="258"/>
      <c r="K859" s="258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</row>
    <row r="860" ht="15.75" customHeight="1">
      <c r="A860" s="252"/>
      <c r="B860" s="253"/>
      <c r="C860" s="254"/>
      <c r="D860" s="255"/>
      <c r="E860" s="255"/>
      <c r="F860" s="255"/>
      <c r="G860" s="256"/>
      <c r="H860" s="257"/>
      <c r="I860" s="257"/>
      <c r="J860" s="258"/>
      <c r="K860" s="258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</row>
    <row r="861" ht="15.75" customHeight="1">
      <c r="A861" s="252"/>
      <c r="B861" s="253"/>
      <c r="C861" s="254"/>
      <c r="D861" s="255"/>
      <c r="E861" s="255"/>
      <c r="F861" s="255"/>
      <c r="G861" s="256"/>
      <c r="H861" s="257"/>
      <c r="I861" s="257"/>
      <c r="J861" s="258"/>
      <c r="K861" s="258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</row>
    <row r="862" ht="15.75" customHeight="1">
      <c r="A862" s="252"/>
      <c r="B862" s="253"/>
      <c r="C862" s="254"/>
      <c r="D862" s="255"/>
      <c r="E862" s="255"/>
      <c r="F862" s="255"/>
      <c r="G862" s="256"/>
      <c r="H862" s="257"/>
      <c r="I862" s="257"/>
      <c r="J862" s="258"/>
      <c r="K862" s="258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</row>
    <row r="863" ht="15.75" customHeight="1">
      <c r="A863" s="252"/>
      <c r="B863" s="253"/>
      <c r="C863" s="254"/>
      <c r="D863" s="255"/>
      <c r="E863" s="255"/>
      <c r="F863" s="255"/>
      <c r="G863" s="256"/>
      <c r="H863" s="257"/>
      <c r="I863" s="257"/>
      <c r="J863" s="258"/>
      <c r="K863" s="258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</row>
    <row r="864" ht="15.75" customHeight="1">
      <c r="A864" s="252"/>
      <c r="B864" s="253"/>
      <c r="C864" s="254"/>
      <c r="D864" s="255"/>
      <c r="E864" s="255"/>
      <c r="F864" s="255"/>
      <c r="G864" s="256"/>
      <c r="H864" s="257"/>
      <c r="I864" s="257"/>
      <c r="J864" s="258"/>
      <c r="K864" s="258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</row>
    <row r="865" ht="15.75" customHeight="1">
      <c r="A865" s="252"/>
      <c r="B865" s="253"/>
      <c r="C865" s="254"/>
      <c r="D865" s="255"/>
      <c r="E865" s="255"/>
      <c r="F865" s="255"/>
      <c r="G865" s="256"/>
      <c r="H865" s="257"/>
      <c r="I865" s="257"/>
      <c r="J865" s="258"/>
      <c r="K865" s="258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</row>
    <row r="866" ht="15.75" customHeight="1">
      <c r="A866" s="252"/>
      <c r="B866" s="253"/>
      <c r="C866" s="254"/>
      <c r="D866" s="255"/>
      <c r="E866" s="255"/>
      <c r="F866" s="255"/>
      <c r="G866" s="256"/>
      <c r="H866" s="257"/>
      <c r="I866" s="257"/>
      <c r="J866" s="258"/>
      <c r="K866" s="258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</row>
    <row r="867" ht="15.75" customHeight="1">
      <c r="A867" s="252"/>
      <c r="B867" s="253"/>
      <c r="C867" s="254"/>
      <c r="D867" s="255"/>
      <c r="E867" s="255"/>
      <c r="F867" s="255"/>
      <c r="G867" s="256"/>
      <c r="H867" s="257"/>
      <c r="I867" s="257"/>
      <c r="J867" s="258"/>
      <c r="K867" s="258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</row>
    <row r="868" ht="15.75" customHeight="1">
      <c r="A868" s="252"/>
      <c r="B868" s="253"/>
      <c r="C868" s="254"/>
      <c r="D868" s="255"/>
      <c r="E868" s="255"/>
      <c r="F868" s="255"/>
      <c r="G868" s="256"/>
      <c r="H868" s="257"/>
      <c r="I868" s="257"/>
      <c r="J868" s="258"/>
      <c r="K868" s="258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</row>
    <row r="869" ht="15.75" customHeight="1">
      <c r="A869" s="252"/>
      <c r="B869" s="253"/>
      <c r="C869" s="254"/>
      <c r="D869" s="255"/>
      <c r="E869" s="255"/>
      <c r="F869" s="255"/>
      <c r="G869" s="256"/>
      <c r="H869" s="257"/>
      <c r="I869" s="257"/>
      <c r="J869" s="258"/>
      <c r="K869" s="258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</row>
    <row r="870" ht="15.75" customHeight="1">
      <c r="A870" s="252"/>
      <c r="B870" s="253"/>
      <c r="C870" s="254"/>
      <c r="D870" s="255"/>
      <c r="E870" s="255"/>
      <c r="F870" s="255"/>
      <c r="G870" s="256"/>
      <c r="H870" s="257"/>
      <c r="I870" s="257"/>
      <c r="J870" s="258"/>
      <c r="K870" s="258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</row>
    <row r="871" ht="15.75" customHeight="1">
      <c r="A871" s="252"/>
      <c r="B871" s="253"/>
      <c r="C871" s="254"/>
      <c r="D871" s="255"/>
      <c r="E871" s="255"/>
      <c r="F871" s="255"/>
      <c r="G871" s="256"/>
      <c r="H871" s="257"/>
      <c r="I871" s="257"/>
      <c r="J871" s="258"/>
      <c r="K871" s="258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</row>
    <row r="872" ht="15.75" customHeight="1">
      <c r="A872" s="252"/>
      <c r="B872" s="253"/>
      <c r="C872" s="254"/>
      <c r="D872" s="255"/>
      <c r="E872" s="255"/>
      <c r="F872" s="255"/>
      <c r="G872" s="256"/>
      <c r="H872" s="257"/>
      <c r="I872" s="257"/>
      <c r="J872" s="258"/>
      <c r="K872" s="258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</row>
    <row r="873" ht="15.75" customHeight="1">
      <c r="A873" s="252"/>
      <c r="B873" s="253"/>
      <c r="C873" s="254"/>
      <c r="D873" s="255"/>
      <c r="E873" s="255"/>
      <c r="F873" s="255"/>
      <c r="G873" s="256"/>
      <c r="H873" s="257"/>
      <c r="I873" s="257"/>
      <c r="J873" s="258"/>
      <c r="K873" s="258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</row>
    <row r="874" ht="15.75" customHeight="1">
      <c r="A874" s="252"/>
      <c r="B874" s="253"/>
      <c r="C874" s="254"/>
      <c r="D874" s="255"/>
      <c r="E874" s="255"/>
      <c r="F874" s="255"/>
      <c r="G874" s="256"/>
      <c r="H874" s="257"/>
      <c r="I874" s="257"/>
      <c r="J874" s="258"/>
      <c r="K874" s="258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</row>
    <row r="875" ht="15.75" customHeight="1">
      <c r="A875" s="252"/>
      <c r="B875" s="253"/>
      <c r="C875" s="254"/>
      <c r="D875" s="255"/>
      <c r="E875" s="255"/>
      <c r="F875" s="255"/>
      <c r="G875" s="256"/>
      <c r="H875" s="257"/>
      <c r="I875" s="257"/>
      <c r="J875" s="258"/>
      <c r="K875" s="258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</row>
    <row r="876" ht="15.75" customHeight="1">
      <c r="A876" s="252"/>
      <c r="B876" s="253"/>
      <c r="C876" s="254"/>
      <c r="D876" s="255"/>
      <c r="E876" s="255"/>
      <c r="F876" s="255"/>
      <c r="G876" s="256"/>
      <c r="H876" s="257"/>
      <c r="I876" s="257"/>
      <c r="J876" s="258"/>
      <c r="K876" s="258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</row>
    <row r="877" ht="15.75" customHeight="1">
      <c r="A877" s="252"/>
      <c r="B877" s="253"/>
      <c r="C877" s="254"/>
      <c r="D877" s="255"/>
      <c r="E877" s="255"/>
      <c r="F877" s="255"/>
      <c r="G877" s="256"/>
      <c r="H877" s="257"/>
      <c r="I877" s="257"/>
      <c r="J877" s="258"/>
      <c r="K877" s="258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</row>
    <row r="878" ht="15.75" customHeight="1">
      <c r="A878" s="252"/>
      <c r="B878" s="253"/>
      <c r="C878" s="254"/>
      <c r="D878" s="255"/>
      <c r="E878" s="255"/>
      <c r="F878" s="255"/>
      <c r="G878" s="256"/>
      <c r="H878" s="257"/>
      <c r="I878" s="257"/>
      <c r="J878" s="258"/>
      <c r="K878" s="258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</row>
    <row r="879" ht="15.75" customHeight="1">
      <c r="A879" s="252"/>
      <c r="B879" s="253"/>
      <c r="C879" s="254"/>
      <c r="D879" s="255"/>
      <c r="E879" s="255"/>
      <c r="F879" s="255"/>
      <c r="G879" s="256"/>
      <c r="H879" s="257"/>
      <c r="I879" s="257"/>
      <c r="J879" s="258"/>
      <c r="K879" s="258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</row>
    <row r="880" ht="15.75" customHeight="1">
      <c r="A880" s="252"/>
      <c r="B880" s="253"/>
      <c r="C880" s="254"/>
      <c r="D880" s="255"/>
      <c r="E880" s="255"/>
      <c r="F880" s="255"/>
      <c r="G880" s="256"/>
      <c r="H880" s="257"/>
      <c r="I880" s="257"/>
      <c r="J880" s="258"/>
      <c r="K880" s="258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</row>
    <row r="881" ht="15.75" customHeight="1">
      <c r="A881" s="252"/>
      <c r="B881" s="253"/>
      <c r="C881" s="254"/>
      <c r="D881" s="255"/>
      <c r="E881" s="255"/>
      <c r="F881" s="255"/>
      <c r="G881" s="256"/>
      <c r="H881" s="257"/>
      <c r="I881" s="257"/>
      <c r="J881" s="258"/>
      <c r="K881" s="258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</row>
    <row r="882" ht="15.75" customHeight="1">
      <c r="A882" s="252"/>
      <c r="B882" s="253"/>
      <c r="C882" s="254"/>
      <c r="D882" s="255"/>
      <c r="E882" s="255"/>
      <c r="F882" s="255"/>
      <c r="G882" s="256"/>
      <c r="H882" s="257"/>
      <c r="I882" s="257"/>
      <c r="J882" s="258"/>
      <c r="K882" s="258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</row>
    <row r="883" ht="15.75" customHeight="1">
      <c r="A883" s="252"/>
      <c r="B883" s="253"/>
      <c r="C883" s="254"/>
      <c r="D883" s="255"/>
      <c r="E883" s="255"/>
      <c r="F883" s="255"/>
      <c r="G883" s="256"/>
      <c r="H883" s="257"/>
      <c r="I883" s="257"/>
      <c r="J883" s="258"/>
      <c r="K883" s="258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</row>
    <row r="884" ht="15.75" customHeight="1">
      <c r="A884" s="252"/>
      <c r="B884" s="253"/>
      <c r="C884" s="254"/>
      <c r="D884" s="255"/>
      <c r="E884" s="255"/>
      <c r="F884" s="255"/>
      <c r="G884" s="256"/>
      <c r="H884" s="257"/>
      <c r="I884" s="257"/>
      <c r="J884" s="258"/>
      <c r="K884" s="258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</row>
    <row r="885" ht="15.75" customHeight="1">
      <c r="A885" s="252"/>
      <c r="B885" s="253"/>
      <c r="C885" s="254"/>
      <c r="D885" s="255"/>
      <c r="E885" s="255"/>
      <c r="F885" s="255"/>
      <c r="G885" s="256"/>
      <c r="H885" s="257"/>
      <c r="I885" s="257"/>
      <c r="J885" s="258"/>
      <c r="K885" s="258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</row>
    <row r="886" ht="15.75" customHeight="1">
      <c r="A886" s="252"/>
      <c r="B886" s="253"/>
      <c r="C886" s="254"/>
      <c r="D886" s="255"/>
      <c r="E886" s="255"/>
      <c r="F886" s="255"/>
      <c r="G886" s="256"/>
      <c r="H886" s="257"/>
      <c r="I886" s="257"/>
      <c r="J886" s="258"/>
      <c r="K886" s="258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</row>
    <row r="887" ht="15.75" customHeight="1">
      <c r="A887" s="252"/>
      <c r="B887" s="253"/>
      <c r="C887" s="254"/>
      <c r="D887" s="255"/>
      <c r="E887" s="255"/>
      <c r="F887" s="255"/>
      <c r="G887" s="256"/>
      <c r="H887" s="257"/>
      <c r="I887" s="257"/>
      <c r="J887" s="258"/>
      <c r="K887" s="258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</row>
    <row r="888" ht="15.75" customHeight="1">
      <c r="A888" s="252"/>
      <c r="B888" s="253"/>
      <c r="C888" s="254"/>
      <c r="D888" s="255"/>
      <c r="E888" s="255"/>
      <c r="F888" s="255"/>
      <c r="G888" s="256"/>
      <c r="H888" s="257"/>
      <c r="I888" s="257"/>
      <c r="J888" s="258"/>
      <c r="K888" s="258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</row>
    <row r="889" ht="15.75" customHeight="1">
      <c r="A889" s="252"/>
      <c r="B889" s="253"/>
      <c r="C889" s="254"/>
      <c r="D889" s="255"/>
      <c r="E889" s="255"/>
      <c r="F889" s="255"/>
      <c r="G889" s="256"/>
      <c r="H889" s="257"/>
      <c r="I889" s="257"/>
      <c r="J889" s="258"/>
      <c r="K889" s="258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</row>
    <row r="890" ht="15.75" customHeight="1">
      <c r="A890" s="252"/>
      <c r="B890" s="253"/>
      <c r="C890" s="254"/>
      <c r="D890" s="255"/>
      <c r="E890" s="255"/>
      <c r="F890" s="255"/>
      <c r="G890" s="256"/>
      <c r="H890" s="257"/>
      <c r="I890" s="257"/>
      <c r="J890" s="258"/>
      <c r="K890" s="258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</row>
    <row r="891" ht="15.75" customHeight="1">
      <c r="A891" s="252"/>
      <c r="B891" s="253"/>
      <c r="C891" s="254"/>
      <c r="D891" s="255"/>
      <c r="E891" s="255"/>
      <c r="F891" s="255"/>
      <c r="G891" s="256"/>
      <c r="H891" s="257"/>
      <c r="I891" s="257"/>
      <c r="J891" s="258"/>
      <c r="K891" s="258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</row>
    <row r="892" ht="15.75" customHeight="1">
      <c r="A892" s="252"/>
      <c r="B892" s="253"/>
      <c r="C892" s="254"/>
      <c r="D892" s="255"/>
      <c r="E892" s="255"/>
      <c r="F892" s="255"/>
      <c r="G892" s="256"/>
      <c r="H892" s="257"/>
      <c r="I892" s="257"/>
      <c r="J892" s="258"/>
      <c r="K892" s="258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</row>
    <row r="893" ht="15.75" customHeight="1">
      <c r="A893" s="252"/>
      <c r="B893" s="253"/>
      <c r="C893" s="254"/>
      <c r="D893" s="255"/>
      <c r="E893" s="255"/>
      <c r="F893" s="255"/>
      <c r="G893" s="256"/>
      <c r="H893" s="257"/>
      <c r="I893" s="257"/>
      <c r="J893" s="258"/>
      <c r="K893" s="258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</row>
    <row r="894" ht="15.75" customHeight="1">
      <c r="A894" s="252"/>
      <c r="B894" s="253"/>
      <c r="C894" s="254"/>
      <c r="D894" s="255"/>
      <c r="E894" s="255"/>
      <c r="F894" s="255"/>
      <c r="G894" s="256"/>
      <c r="H894" s="257"/>
      <c r="I894" s="257"/>
      <c r="J894" s="258"/>
      <c r="K894" s="258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</row>
    <row r="895" ht="15.75" customHeight="1">
      <c r="A895" s="252"/>
      <c r="B895" s="253"/>
      <c r="C895" s="254"/>
      <c r="D895" s="255"/>
      <c r="E895" s="255"/>
      <c r="F895" s="255"/>
      <c r="G895" s="256"/>
      <c r="H895" s="257"/>
      <c r="I895" s="257"/>
      <c r="J895" s="258"/>
      <c r="K895" s="258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</row>
    <row r="896" ht="15.75" customHeight="1">
      <c r="A896" s="252"/>
      <c r="B896" s="253"/>
      <c r="C896" s="254"/>
      <c r="D896" s="255"/>
      <c r="E896" s="255"/>
      <c r="F896" s="255"/>
      <c r="G896" s="256"/>
      <c r="H896" s="257"/>
      <c r="I896" s="257"/>
      <c r="J896" s="258"/>
      <c r="K896" s="258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</row>
    <row r="897" ht="15.75" customHeight="1">
      <c r="A897" s="252"/>
      <c r="B897" s="253"/>
      <c r="C897" s="254"/>
      <c r="D897" s="255"/>
      <c r="E897" s="255"/>
      <c r="F897" s="255"/>
      <c r="G897" s="256"/>
      <c r="H897" s="257"/>
      <c r="I897" s="257"/>
      <c r="J897" s="258"/>
      <c r="K897" s="258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</row>
    <row r="898" ht="15.75" customHeight="1">
      <c r="A898" s="252"/>
      <c r="B898" s="253"/>
      <c r="C898" s="254"/>
      <c r="D898" s="255"/>
      <c r="E898" s="255"/>
      <c r="F898" s="255"/>
      <c r="G898" s="256"/>
      <c r="H898" s="257"/>
      <c r="I898" s="257"/>
      <c r="J898" s="258"/>
      <c r="K898" s="258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</row>
    <row r="899" ht="15.75" customHeight="1">
      <c r="A899" s="252"/>
      <c r="B899" s="253"/>
      <c r="C899" s="254"/>
      <c r="D899" s="255"/>
      <c r="E899" s="255"/>
      <c r="F899" s="255"/>
      <c r="G899" s="256"/>
      <c r="H899" s="257"/>
      <c r="I899" s="257"/>
      <c r="J899" s="258"/>
      <c r="K899" s="258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</row>
    <row r="900" ht="15.75" customHeight="1">
      <c r="A900" s="252"/>
      <c r="B900" s="253"/>
      <c r="C900" s="254"/>
      <c r="D900" s="255"/>
      <c r="E900" s="255"/>
      <c r="F900" s="255"/>
      <c r="G900" s="256"/>
      <c r="H900" s="257"/>
      <c r="I900" s="257"/>
      <c r="J900" s="258"/>
      <c r="K900" s="258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</row>
    <row r="901" ht="15.75" customHeight="1">
      <c r="A901" s="252"/>
      <c r="B901" s="253"/>
      <c r="C901" s="254"/>
      <c r="D901" s="255"/>
      <c r="E901" s="255"/>
      <c r="F901" s="255"/>
      <c r="G901" s="256"/>
      <c r="H901" s="257"/>
      <c r="I901" s="257"/>
      <c r="J901" s="258"/>
      <c r="K901" s="258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</row>
    <row r="902" ht="15.75" customHeight="1">
      <c r="A902" s="252"/>
      <c r="B902" s="253"/>
      <c r="C902" s="254"/>
      <c r="D902" s="255"/>
      <c r="E902" s="255"/>
      <c r="F902" s="255"/>
      <c r="G902" s="256"/>
      <c r="H902" s="257"/>
      <c r="I902" s="257"/>
      <c r="J902" s="258"/>
      <c r="K902" s="258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</row>
    <row r="903" ht="15.75" customHeight="1">
      <c r="A903" s="252"/>
      <c r="B903" s="253"/>
      <c r="C903" s="254"/>
      <c r="D903" s="255"/>
      <c r="E903" s="255"/>
      <c r="F903" s="255"/>
      <c r="G903" s="256"/>
      <c r="H903" s="257"/>
      <c r="I903" s="257"/>
      <c r="J903" s="258"/>
      <c r="K903" s="258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</row>
    <row r="904" ht="15.75" customHeight="1">
      <c r="A904" s="252"/>
      <c r="B904" s="253"/>
      <c r="C904" s="254"/>
      <c r="D904" s="255"/>
      <c r="E904" s="255"/>
      <c r="F904" s="255"/>
      <c r="G904" s="256"/>
      <c r="H904" s="257"/>
      <c r="I904" s="257"/>
      <c r="J904" s="258"/>
      <c r="K904" s="258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</row>
    <row r="905" ht="15.75" customHeight="1">
      <c r="A905" s="252"/>
      <c r="B905" s="253"/>
      <c r="C905" s="254"/>
      <c r="D905" s="255"/>
      <c r="E905" s="255"/>
      <c r="F905" s="255"/>
      <c r="G905" s="256"/>
      <c r="H905" s="257"/>
      <c r="I905" s="257"/>
      <c r="J905" s="258"/>
      <c r="K905" s="258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</row>
    <row r="906" ht="15.75" customHeight="1">
      <c r="A906" s="252"/>
      <c r="B906" s="253"/>
      <c r="C906" s="254"/>
      <c r="D906" s="255"/>
      <c r="E906" s="255"/>
      <c r="F906" s="255"/>
      <c r="G906" s="256"/>
      <c r="H906" s="257"/>
      <c r="I906" s="257"/>
      <c r="J906" s="258"/>
      <c r="K906" s="258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</row>
    <row r="907" ht="15.75" customHeight="1">
      <c r="A907" s="252"/>
      <c r="B907" s="253"/>
      <c r="C907" s="254"/>
      <c r="D907" s="255"/>
      <c r="E907" s="255"/>
      <c r="F907" s="255"/>
      <c r="G907" s="256"/>
      <c r="H907" s="257"/>
      <c r="I907" s="257"/>
      <c r="J907" s="258"/>
      <c r="K907" s="258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</row>
    <row r="908" ht="15.75" customHeight="1">
      <c r="A908" s="252"/>
      <c r="B908" s="253"/>
      <c r="C908" s="254"/>
      <c r="D908" s="255"/>
      <c r="E908" s="255"/>
      <c r="F908" s="255"/>
      <c r="G908" s="256"/>
      <c r="H908" s="257"/>
      <c r="I908" s="257"/>
      <c r="J908" s="258"/>
      <c r="K908" s="258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</row>
    <row r="909" ht="15.75" customHeight="1">
      <c r="A909" s="252"/>
      <c r="B909" s="253"/>
      <c r="C909" s="254"/>
      <c r="D909" s="255"/>
      <c r="E909" s="255"/>
      <c r="F909" s="255"/>
      <c r="G909" s="256"/>
      <c r="H909" s="257"/>
      <c r="I909" s="257"/>
      <c r="J909" s="258"/>
      <c r="K909" s="258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</row>
    <row r="910" ht="15.75" customHeight="1">
      <c r="A910" s="252"/>
      <c r="B910" s="253"/>
      <c r="C910" s="254"/>
      <c r="D910" s="255"/>
      <c r="E910" s="255"/>
      <c r="F910" s="255"/>
      <c r="G910" s="256"/>
      <c r="H910" s="257"/>
      <c r="I910" s="257"/>
      <c r="J910" s="258"/>
      <c r="K910" s="258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</row>
    <row r="911" ht="15.75" customHeight="1">
      <c r="A911" s="252"/>
      <c r="B911" s="253"/>
      <c r="C911" s="254"/>
      <c r="D911" s="255"/>
      <c r="E911" s="255"/>
      <c r="F911" s="255"/>
      <c r="G911" s="256"/>
      <c r="H911" s="257"/>
      <c r="I911" s="257"/>
      <c r="J911" s="258"/>
      <c r="K911" s="258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</row>
    <row r="912" ht="15.75" customHeight="1">
      <c r="A912" s="252"/>
      <c r="B912" s="253"/>
      <c r="C912" s="254"/>
      <c r="D912" s="255"/>
      <c r="E912" s="255"/>
      <c r="F912" s="255"/>
      <c r="G912" s="256"/>
      <c r="H912" s="257"/>
      <c r="I912" s="257"/>
      <c r="J912" s="258"/>
      <c r="K912" s="258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</row>
    <row r="913" ht="15.75" customHeight="1">
      <c r="A913" s="252"/>
      <c r="B913" s="253"/>
      <c r="C913" s="254"/>
      <c r="D913" s="255"/>
      <c r="E913" s="255"/>
      <c r="F913" s="255"/>
      <c r="G913" s="256"/>
      <c r="H913" s="257"/>
      <c r="I913" s="257"/>
      <c r="J913" s="258"/>
      <c r="K913" s="258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</row>
    <row r="914" ht="15.75" customHeight="1">
      <c r="A914" s="252"/>
      <c r="B914" s="253"/>
      <c r="C914" s="254"/>
      <c r="D914" s="255"/>
      <c r="E914" s="255"/>
      <c r="F914" s="255"/>
      <c r="G914" s="256"/>
      <c r="H914" s="257"/>
      <c r="I914" s="257"/>
      <c r="J914" s="258"/>
      <c r="K914" s="258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</row>
    <row r="915" ht="15.75" customHeight="1">
      <c r="A915" s="252"/>
      <c r="B915" s="253"/>
      <c r="C915" s="254"/>
      <c r="D915" s="255"/>
      <c r="E915" s="255"/>
      <c r="F915" s="255"/>
      <c r="G915" s="256"/>
      <c r="H915" s="257"/>
      <c r="I915" s="257"/>
      <c r="J915" s="258"/>
      <c r="K915" s="258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</row>
    <row r="916" ht="15.75" customHeight="1">
      <c r="A916" s="252"/>
      <c r="B916" s="253"/>
      <c r="C916" s="254"/>
      <c r="D916" s="255"/>
      <c r="E916" s="255"/>
      <c r="F916" s="255"/>
      <c r="G916" s="256"/>
      <c r="H916" s="257"/>
      <c r="I916" s="257"/>
      <c r="J916" s="258"/>
      <c r="K916" s="258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</row>
    <row r="917" ht="15.75" customHeight="1">
      <c r="A917" s="252"/>
      <c r="B917" s="253"/>
      <c r="C917" s="254"/>
      <c r="D917" s="255"/>
      <c r="E917" s="255"/>
      <c r="F917" s="255"/>
      <c r="G917" s="256"/>
      <c r="H917" s="257"/>
      <c r="I917" s="257"/>
      <c r="J917" s="258"/>
      <c r="K917" s="258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</row>
    <row r="918" ht="15.75" customHeight="1">
      <c r="A918" s="252"/>
      <c r="B918" s="253"/>
      <c r="C918" s="254"/>
      <c r="D918" s="255"/>
      <c r="E918" s="255"/>
      <c r="F918" s="255"/>
      <c r="G918" s="256"/>
      <c r="H918" s="257"/>
      <c r="I918" s="257"/>
      <c r="J918" s="258"/>
      <c r="K918" s="258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</row>
    <row r="919" ht="15.75" customHeight="1">
      <c r="A919" s="252"/>
      <c r="B919" s="253"/>
      <c r="C919" s="254"/>
      <c r="D919" s="255"/>
      <c r="E919" s="255"/>
      <c r="F919" s="255"/>
      <c r="G919" s="256"/>
      <c r="H919" s="257"/>
      <c r="I919" s="257"/>
      <c r="J919" s="258"/>
      <c r="K919" s="258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</row>
    <row r="920" ht="15.75" customHeight="1">
      <c r="A920" s="252"/>
      <c r="B920" s="253"/>
      <c r="C920" s="254"/>
      <c r="D920" s="255"/>
      <c r="E920" s="255"/>
      <c r="F920" s="255"/>
      <c r="G920" s="256"/>
      <c r="H920" s="257"/>
      <c r="I920" s="257"/>
      <c r="J920" s="258"/>
      <c r="K920" s="258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</row>
    <row r="921" ht="15.75" customHeight="1">
      <c r="A921" s="252"/>
      <c r="B921" s="253"/>
      <c r="C921" s="254"/>
      <c r="D921" s="255"/>
      <c r="E921" s="255"/>
      <c r="F921" s="255"/>
      <c r="G921" s="256"/>
      <c r="H921" s="257"/>
      <c r="I921" s="257"/>
      <c r="J921" s="258"/>
      <c r="K921" s="258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</row>
    <row r="922" ht="15.75" customHeight="1">
      <c r="A922" s="252"/>
      <c r="B922" s="253"/>
      <c r="C922" s="254"/>
      <c r="D922" s="255"/>
      <c r="E922" s="255"/>
      <c r="F922" s="255"/>
      <c r="G922" s="256"/>
      <c r="H922" s="257"/>
      <c r="I922" s="257"/>
      <c r="J922" s="258"/>
      <c r="K922" s="258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</row>
    <row r="923" ht="15.75" customHeight="1">
      <c r="A923" s="252"/>
      <c r="B923" s="253"/>
      <c r="C923" s="254"/>
      <c r="D923" s="255"/>
      <c r="E923" s="255"/>
      <c r="F923" s="255"/>
      <c r="G923" s="256"/>
      <c r="H923" s="257"/>
      <c r="I923" s="257"/>
      <c r="J923" s="258"/>
      <c r="K923" s="258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</row>
    <row r="924" ht="15.75" customHeight="1">
      <c r="A924" s="252"/>
      <c r="B924" s="253"/>
      <c r="C924" s="254"/>
      <c r="D924" s="255"/>
      <c r="E924" s="255"/>
      <c r="F924" s="255"/>
      <c r="G924" s="256"/>
      <c r="H924" s="257"/>
      <c r="I924" s="257"/>
      <c r="J924" s="258"/>
      <c r="K924" s="258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</row>
    <row r="925" ht="15.75" customHeight="1">
      <c r="A925" s="252"/>
      <c r="B925" s="253"/>
      <c r="C925" s="254"/>
      <c r="D925" s="255"/>
      <c r="E925" s="255"/>
      <c r="F925" s="255"/>
      <c r="G925" s="256"/>
      <c r="H925" s="257"/>
      <c r="I925" s="257"/>
      <c r="J925" s="258"/>
      <c r="K925" s="258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</row>
    <row r="926" ht="15.75" customHeight="1">
      <c r="A926" s="252"/>
      <c r="B926" s="253"/>
      <c r="C926" s="254"/>
      <c r="D926" s="255"/>
      <c r="E926" s="255"/>
      <c r="F926" s="255"/>
      <c r="G926" s="256"/>
      <c r="H926" s="257"/>
      <c r="I926" s="257"/>
      <c r="J926" s="258"/>
      <c r="K926" s="258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</row>
    <row r="927" ht="15.75" customHeight="1">
      <c r="A927" s="252"/>
      <c r="B927" s="253"/>
      <c r="C927" s="254"/>
      <c r="D927" s="255"/>
      <c r="E927" s="255"/>
      <c r="F927" s="255"/>
      <c r="G927" s="256"/>
      <c r="H927" s="257"/>
      <c r="I927" s="257"/>
      <c r="J927" s="258"/>
      <c r="K927" s="258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</row>
    <row r="928" ht="15.75" customHeight="1">
      <c r="A928" s="252"/>
      <c r="B928" s="253"/>
      <c r="C928" s="254"/>
      <c r="D928" s="255"/>
      <c r="E928" s="255"/>
      <c r="F928" s="255"/>
      <c r="G928" s="256"/>
      <c r="H928" s="257"/>
      <c r="I928" s="257"/>
      <c r="J928" s="258"/>
      <c r="K928" s="258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</row>
    <row r="929" ht="15.75" customHeight="1">
      <c r="A929" s="252"/>
      <c r="B929" s="253"/>
      <c r="C929" s="254"/>
      <c r="D929" s="255"/>
      <c r="E929" s="255"/>
      <c r="F929" s="255"/>
      <c r="G929" s="256"/>
      <c r="H929" s="257"/>
      <c r="I929" s="257"/>
      <c r="J929" s="258"/>
      <c r="K929" s="258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</row>
    <row r="930" ht="15.75" customHeight="1">
      <c r="A930" s="252"/>
      <c r="B930" s="253"/>
      <c r="C930" s="254"/>
      <c r="D930" s="255"/>
      <c r="E930" s="255"/>
      <c r="F930" s="255"/>
      <c r="G930" s="256"/>
      <c r="H930" s="257"/>
      <c r="I930" s="257"/>
      <c r="J930" s="258"/>
      <c r="K930" s="258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</row>
    <row r="931" ht="15.75" customHeight="1">
      <c r="A931" s="252"/>
      <c r="B931" s="253"/>
      <c r="C931" s="254"/>
      <c r="D931" s="255"/>
      <c r="E931" s="255"/>
      <c r="F931" s="255"/>
      <c r="G931" s="256"/>
      <c r="H931" s="257"/>
      <c r="I931" s="257"/>
      <c r="J931" s="258"/>
      <c r="K931" s="258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</row>
    <row r="932" ht="15.75" customHeight="1">
      <c r="A932" s="252"/>
      <c r="B932" s="253"/>
      <c r="C932" s="254"/>
      <c r="D932" s="255"/>
      <c r="E932" s="255"/>
      <c r="F932" s="255"/>
      <c r="G932" s="256"/>
      <c r="H932" s="257"/>
      <c r="I932" s="257"/>
      <c r="J932" s="258"/>
      <c r="K932" s="258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</row>
    <row r="933" ht="15.75" customHeight="1">
      <c r="A933" s="252"/>
      <c r="B933" s="253"/>
      <c r="C933" s="254"/>
      <c r="D933" s="255"/>
      <c r="E933" s="255"/>
      <c r="F933" s="255"/>
      <c r="G933" s="256"/>
      <c r="H933" s="257"/>
      <c r="I933" s="257"/>
      <c r="J933" s="258"/>
      <c r="K933" s="258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</row>
    <row r="934" ht="15.75" customHeight="1">
      <c r="A934" s="252"/>
      <c r="B934" s="253"/>
      <c r="C934" s="254"/>
      <c r="D934" s="255"/>
      <c r="E934" s="255"/>
      <c r="F934" s="255"/>
      <c r="G934" s="256"/>
      <c r="H934" s="257"/>
      <c r="I934" s="257"/>
      <c r="J934" s="258"/>
      <c r="K934" s="258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</row>
    <row r="935" ht="15.75" customHeight="1">
      <c r="A935" s="252"/>
      <c r="B935" s="253"/>
      <c r="C935" s="254"/>
      <c r="D935" s="255"/>
      <c r="E935" s="255"/>
      <c r="F935" s="255"/>
      <c r="G935" s="256"/>
      <c r="H935" s="257"/>
      <c r="I935" s="257"/>
      <c r="J935" s="258"/>
      <c r="K935" s="258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</row>
    <row r="936" ht="15.75" customHeight="1">
      <c r="A936" s="252"/>
      <c r="B936" s="253"/>
      <c r="C936" s="254"/>
      <c r="D936" s="255"/>
      <c r="E936" s="255"/>
      <c r="F936" s="255"/>
      <c r="G936" s="256"/>
      <c r="H936" s="257"/>
      <c r="I936" s="257"/>
      <c r="J936" s="258"/>
      <c r="K936" s="258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</row>
    <row r="937" ht="15.75" customHeight="1">
      <c r="A937" s="252"/>
      <c r="B937" s="253"/>
      <c r="C937" s="254"/>
      <c r="D937" s="255"/>
      <c r="E937" s="255"/>
      <c r="F937" s="255"/>
      <c r="G937" s="256"/>
      <c r="H937" s="257"/>
      <c r="I937" s="257"/>
      <c r="J937" s="258"/>
      <c r="K937" s="258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</row>
    <row r="938" ht="15.75" customHeight="1">
      <c r="A938" s="252"/>
      <c r="B938" s="253"/>
      <c r="C938" s="254"/>
      <c r="D938" s="255"/>
      <c r="E938" s="255"/>
      <c r="F938" s="255"/>
      <c r="G938" s="256"/>
      <c r="H938" s="257"/>
      <c r="I938" s="257"/>
      <c r="J938" s="258"/>
      <c r="K938" s="258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</row>
    <row r="939" ht="15.75" customHeight="1">
      <c r="A939" s="252"/>
      <c r="B939" s="253"/>
      <c r="C939" s="254"/>
      <c r="D939" s="255"/>
      <c r="E939" s="255"/>
      <c r="F939" s="255"/>
      <c r="G939" s="256"/>
      <c r="H939" s="257"/>
      <c r="I939" s="257"/>
      <c r="J939" s="258"/>
      <c r="K939" s="258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</row>
    <row r="940" ht="15.75" customHeight="1">
      <c r="A940" s="252"/>
      <c r="B940" s="253"/>
      <c r="C940" s="254"/>
      <c r="D940" s="255"/>
      <c r="E940" s="255"/>
      <c r="F940" s="255"/>
      <c r="G940" s="256"/>
      <c r="H940" s="257"/>
      <c r="I940" s="257"/>
      <c r="J940" s="258"/>
      <c r="K940" s="258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</row>
    <row r="941" ht="15.75" customHeight="1">
      <c r="A941" s="252"/>
      <c r="B941" s="253"/>
      <c r="C941" s="254"/>
      <c r="D941" s="255"/>
      <c r="E941" s="255"/>
      <c r="F941" s="255"/>
      <c r="G941" s="256"/>
      <c r="H941" s="257"/>
      <c r="I941" s="257"/>
      <c r="J941" s="258"/>
      <c r="K941" s="258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</row>
    <row r="942" ht="15.75" customHeight="1">
      <c r="A942" s="252"/>
      <c r="B942" s="253"/>
      <c r="C942" s="254"/>
      <c r="D942" s="255"/>
      <c r="E942" s="255"/>
      <c r="F942" s="255"/>
      <c r="G942" s="256"/>
      <c r="H942" s="257"/>
      <c r="I942" s="257"/>
      <c r="J942" s="258"/>
      <c r="K942" s="258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</row>
    <row r="943" ht="15.75" customHeight="1">
      <c r="A943" s="252"/>
      <c r="B943" s="253"/>
      <c r="C943" s="254"/>
      <c r="D943" s="255"/>
      <c r="E943" s="255"/>
      <c r="F943" s="255"/>
      <c r="G943" s="256"/>
      <c r="H943" s="257"/>
      <c r="I943" s="257"/>
      <c r="J943" s="258"/>
      <c r="K943" s="258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</row>
    <row r="944" ht="15.75" customHeight="1">
      <c r="A944" s="252"/>
      <c r="B944" s="253"/>
      <c r="C944" s="254"/>
      <c r="D944" s="255"/>
      <c r="E944" s="255"/>
      <c r="F944" s="255"/>
      <c r="G944" s="256"/>
      <c r="H944" s="257"/>
      <c r="I944" s="257"/>
      <c r="J944" s="258"/>
      <c r="K944" s="258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</row>
    <row r="945" ht="15.75" customHeight="1">
      <c r="A945" s="252"/>
      <c r="B945" s="253"/>
      <c r="C945" s="254"/>
      <c r="D945" s="255"/>
      <c r="E945" s="255"/>
      <c r="F945" s="255"/>
      <c r="G945" s="256"/>
      <c r="H945" s="257"/>
      <c r="I945" s="257"/>
      <c r="J945" s="258"/>
      <c r="K945" s="258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</row>
    <row r="946" ht="15.75" customHeight="1">
      <c r="A946" s="252"/>
      <c r="B946" s="253"/>
      <c r="C946" s="254"/>
      <c r="D946" s="255"/>
      <c r="E946" s="255"/>
      <c r="F946" s="255"/>
      <c r="G946" s="256"/>
      <c r="H946" s="257"/>
      <c r="I946" s="257"/>
      <c r="J946" s="258"/>
      <c r="K946" s="258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</row>
    <row r="947" ht="15.75" customHeight="1">
      <c r="A947" s="252"/>
      <c r="B947" s="253"/>
      <c r="C947" s="254"/>
      <c r="D947" s="255"/>
      <c r="E947" s="255"/>
      <c r="F947" s="255"/>
      <c r="G947" s="256"/>
      <c r="H947" s="257"/>
      <c r="I947" s="257"/>
      <c r="J947" s="258"/>
      <c r="K947" s="258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</row>
    <row r="948" ht="15.75" customHeight="1">
      <c r="A948" s="252"/>
      <c r="B948" s="253"/>
      <c r="C948" s="254"/>
      <c r="D948" s="255"/>
      <c r="E948" s="255"/>
      <c r="F948" s="255"/>
      <c r="G948" s="256"/>
      <c r="H948" s="257"/>
      <c r="I948" s="257"/>
      <c r="J948" s="258"/>
      <c r="K948" s="258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</row>
    <row r="949" ht="15.75" customHeight="1">
      <c r="A949" s="252"/>
      <c r="B949" s="253"/>
      <c r="C949" s="254"/>
      <c r="D949" s="255"/>
      <c r="E949" s="255"/>
      <c r="F949" s="255"/>
      <c r="G949" s="256"/>
      <c r="H949" s="257"/>
      <c r="I949" s="257"/>
      <c r="J949" s="258"/>
      <c r="K949" s="258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</row>
    <row r="950" ht="15.75" customHeight="1">
      <c r="A950" s="252"/>
      <c r="B950" s="253"/>
      <c r="C950" s="254"/>
      <c r="D950" s="255"/>
      <c r="E950" s="255"/>
      <c r="F950" s="255"/>
      <c r="G950" s="256"/>
      <c r="H950" s="257"/>
      <c r="I950" s="257"/>
      <c r="J950" s="258"/>
      <c r="K950" s="258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</row>
    <row r="951" ht="15.75" customHeight="1">
      <c r="A951" s="252"/>
      <c r="B951" s="253"/>
      <c r="C951" s="254"/>
      <c r="D951" s="255"/>
      <c r="E951" s="255"/>
      <c r="F951" s="255"/>
      <c r="G951" s="256"/>
      <c r="H951" s="257"/>
      <c r="I951" s="257"/>
      <c r="J951" s="258"/>
      <c r="K951" s="258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</row>
    <row r="952" ht="15.75" customHeight="1">
      <c r="A952" s="252"/>
      <c r="B952" s="253"/>
      <c r="C952" s="254"/>
      <c r="D952" s="255"/>
      <c r="E952" s="255"/>
      <c r="F952" s="255"/>
      <c r="G952" s="256"/>
      <c r="H952" s="257"/>
      <c r="I952" s="257"/>
      <c r="J952" s="258"/>
      <c r="K952" s="258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</row>
    <row r="953" ht="15.75" customHeight="1">
      <c r="A953" s="252"/>
      <c r="B953" s="253"/>
      <c r="C953" s="254"/>
      <c r="D953" s="255"/>
      <c r="E953" s="255"/>
      <c r="F953" s="255"/>
      <c r="G953" s="256"/>
      <c r="H953" s="257"/>
      <c r="I953" s="257"/>
      <c r="J953" s="258"/>
      <c r="K953" s="258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</row>
    <row r="954" ht="15.75" customHeight="1">
      <c r="A954" s="252"/>
      <c r="B954" s="253"/>
      <c r="C954" s="254"/>
      <c r="D954" s="255"/>
      <c r="E954" s="255"/>
      <c r="F954" s="255"/>
      <c r="G954" s="256"/>
      <c r="H954" s="257"/>
      <c r="I954" s="257"/>
      <c r="J954" s="258"/>
      <c r="K954" s="258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</row>
    <row r="955" ht="15.75" customHeight="1">
      <c r="A955" s="252"/>
      <c r="B955" s="253"/>
      <c r="C955" s="254"/>
      <c r="D955" s="255"/>
      <c r="E955" s="255"/>
      <c r="F955" s="255"/>
      <c r="G955" s="256"/>
      <c r="H955" s="257"/>
      <c r="I955" s="257"/>
      <c r="J955" s="258"/>
      <c r="K955" s="258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</row>
    <row r="956" ht="15.75" customHeight="1">
      <c r="A956" s="252"/>
      <c r="B956" s="253"/>
      <c r="C956" s="254"/>
      <c r="D956" s="255"/>
      <c r="E956" s="255"/>
      <c r="F956" s="255"/>
      <c r="G956" s="256"/>
      <c r="H956" s="257"/>
      <c r="I956" s="257"/>
      <c r="J956" s="258"/>
      <c r="K956" s="258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</row>
    <row r="957" ht="15.75" customHeight="1">
      <c r="A957" s="252"/>
      <c r="B957" s="253"/>
      <c r="C957" s="254"/>
      <c r="D957" s="255"/>
      <c r="E957" s="255"/>
      <c r="F957" s="255"/>
      <c r="G957" s="256"/>
      <c r="H957" s="257"/>
      <c r="I957" s="257"/>
      <c r="J957" s="258"/>
      <c r="K957" s="258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</row>
    <row r="958" ht="15.75" customHeight="1">
      <c r="A958" s="252"/>
      <c r="B958" s="253"/>
      <c r="C958" s="254"/>
      <c r="D958" s="255"/>
      <c r="E958" s="255"/>
      <c r="F958" s="255"/>
      <c r="G958" s="256"/>
      <c r="H958" s="257"/>
      <c r="I958" s="257"/>
      <c r="J958" s="258"/>
      <c r="K958" s="258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</row>
    <row r="959" ht="15.75" customHeight="1">
      <c r="A959" s="252"/>
      <c r="B959" s="253"/>
      <c r="C959" s="254"/>
      <c r="D959" s="255"/>
      <c r="E959" s="255"/>
      <c r="F959" s="255"/>
      <c r="G959" s="256"/>
      <c r="H959" s="257"/>
      <c r="I959" s="257"/>
      <c r="J959" s="258"/>
      <c r="K959" s="258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</row>
    <row r="960" ht="15.75" customHeight="1">
      <c r="A960" s="252"/>
      <c r="B960" s="253"/>
      <c r="C960" s="254"/>
      <c r="D960" s="255"/>
      <c r="E960" s="255"/>
      <c r="F960" s="255"/>
      <c r="G960" s="256"/>
      <c r="H960" s="257"/>
      <c r="I960" s="257"/>
      <c r="J960" s="258"/>
      <c r="K960" s="258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</row>
    <row r="961" ht="15.75" customHeight="1">
      <c r="A961" s="252"/>
      <c r="B961" s="253"/>
      <c r="C961" s="254"/>
      <c r="D961" s="255"/>
      <c r="E961" s="255"/>
      <c r="F961" s="255"/>
      <c r="G961" s="256"/>
      <c r="H961" s="257"/>
      <c r="I961" s="257"/>
      <c r="J961" s="258"/>
      <c r="K961" s="258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</row>
    <row r="962" ht="15.75" customHeight="1">
      <c r="A962" s="252"/>
      <c r="B962" s="253"/>
      <c r="C962" s="254"/>
      <c r="D962" s="255"/>
      <c r="E962" s="255"/>
      <c r="F962" s="255"/>
      <c r="G962" s="256"/>
      <c r="H962" s="257"/>
      <c r="I962" s="257"/>
      <c r="J962" s="258"/>
      <c r="K962" s="258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</row>
    <row r="963" ht="15.75" customHeight="1">
      <c r="A963" s="252"/>
      <c r="B963" s="253"/>
      <c r="C963" s="254"/>
      <c r="D963" s="255"/>
      <c r="E963" s="255"/>
      <c r="F963" s="255"/>
      <c r="G963" s="256"/>
      <c r="H963" s="257"/>
      <c r="I963" s="257"/>
      <c r="J963" s="258"/>
      <c r="K963" s="258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</row>
    <row r="964" ht="15.75" customHeight="1">
      <c r="A964" s="252"/>
      <c r="B964" s="253"/>
      <c r="C964" s="254"/>
      <c r="D964" s="255"/>
      <c r="E964" s="255"/>
      <c r="F964" s="255"/>
      <c r="G964" s="256"/>
      <c r="H964" s="257"/>
      <c r="I964" s="257"/>
      <c r="J964" s="258"/>
      <c r="K964" s="258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</row>
    <row r="965" ht="15.75" customHeight="1">
      <c r="A965" s="252"/>
      <c r="B965" s="253"/>
      <c r="C965" s="254"/>
      <c r="D965" s="255"/>
      <c r="E965" s="255"/>
      <c r="F965" s="255"/>
      <c r="G965" s="256"/>
      <c r="H965" s="257"/>
      <c r="I965" s="257"/>
      <c r="J965" s="258"/>
      <c r="K965" s="258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</row>
    <row r="966" ht="15.75" customHeight="1">
      <c r="A966" s="252"/>
      <c r="B966" s="253"/>
      <c r="C966" s="254"/>
      <c r="D966" s="255"/>
      <c r="E966" s="255"/>
      <c r="F966" s="255"/>
      <c r="G966" s="256"/>
      <c r="H966" s="257"/>
      <c r="I966" s="257"/>
      <c r="J966" s="258"/>
      <c r="K966" s="258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</row>
    <row r="967" ht="15.75" customHeight="1">
      <c r="A967" s="252"/>
      <c r="B967" s="253"/>
      <c r="C967" s="254"/>
      <c r="D967" s="255"/>
      <c r="E967" s="255"/>
      <c r="F967" s="255"/>
      <c r="G967" s="256"/>
      <c r="H967" s="257"/>
      <c r="I967" s="257"/>
      <c r="J967" s="258"/>
      <c r="K967" s="258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</row>
    <row r="968" ht="15.75" customHeight="1">
      <c r="A968" s="252"/>
      <c r="B968" s="253"/>
      <c r="C968" s="254"/>
      <c r="D968" s="255"/>
      <c r="E968" s="255"/>
      <c r="F968" s="255"/>
      <c r="G968" s="256"/>
      <c r="H968" s="257"/>
      <c r="I968" s="257"/>
      <c r="J968" s="258"/>
      <c r="K968" s="258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</row>
    <row r="969" ht="15.75" customHeight="1">
      <c r="A969" s="252"/>
      <c r="B969" s="253"/>
      <c r="C969" s="254"/>
      <c r="D969" s="255"/>
      <c r="E969" s="255"/>
      <c r="F969" s="255"/>
      <c r="G969" s="256"/>
      <c r="H969" s="257"/>
      <c r="I969" s="257"/>
      <c r="J969" s="258"/>
      <c r="K969" s="258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</row>
    <row r="970" ht="15.75" customHeight="1">
      <c r="A970" s="252"/>
      <c r="B970" s="253"/>
      <c r="C970" s="254"/>
      <c r="D970" s="255"/>
      <c r="E970" s="255"/>
      <c r="F970" s="255"/>
      <c r="G970" s="256"/>
      <c r="H970" s="257"/>
      <c r="I970" s="257"/>
      <c r="J970" s="258"/>
      <c r="K970" s="258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</row>
    <row r="971" ht="15.75" customHeight="1">
      <c r="A971" s="252"/>
      <c r="B971" s="253"/>
      <c r="C971" s="254"/>
      <c r="D971" s="255"/>
      <c r="E971" s="255"/>
      <c r="F971" s="255"/>
      <c r="G971" s="256"/>
      <c r="H971" s="257"/>
      <c r="I971" s="257"/>
      <c r="J971" s="258"/>
      <c r="K971" s="258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</row>
    <row r="972" ht="15.75" customHeight="1">
      <c r="A972" s="252"/>
      <c r="B972" s="253"/>
      <c r="C972" s="254"/>
      <c r="D972" s="255"/>
      <c r="E972" s="255"/>
      <c r="F972" s="255"/>
      <c r="G972" s="256"/>
      <c r="H972" s="257"/>
      <c r="I972" s="257"/>
      <c r="J972" s="258"/>
      <c r="K972" s="258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</row>
    <row r="973" ht="15.75" customHeight="1">
      <c r="A973" s="252"/>
      <c r="B973" s="253"/>
      <c r="C973" s="254"/>
      <c r="D973" s="255"/>
      <c r="E973" s="255"/>
      <c r="F973" s="255"/>
      <c r="G973" s="256"/>
      <c r="H973" s="257"/>
      <c r="I973" s="257"/>
      <c r="J973" s="258"/>
      <c r="K973" s="258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</row>
    <row r="974" ht="15.75" customHeight="1">
      <c r="A974" s="252"/>
      <c r="B974" s="253"/>
      <c r="C974" s="254"/>
      <c r="D974" s="255"/>
      <c r="E974" s="255"/>
      <c r="F974" s="255"/>
      <c r="G974" s="256"/>
      <c r="H974" s="257"/>
      <c r="I974" s="257"/>
      <c r="J974" s="258"/>
      <c r="K974" s="258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</row>
    <row r="975" ht="15.75" customHeight="1">
      <c r="A975" s="252"/>
      <c r="B975" s="253"/>
      <c r="C975" s="254"/>
      <c r="D975" s="255"/>
      <c r="E975" s="255"/>
      <c r="F975" s="255"/>
      <c r="G975" s="256"/>
      <c r="H975" s="257"/>
      <c r="I975" s="257"/>
      <c r="J975" s="258"/>
      <c r="K975" s="258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</row>
    <row r="976" ht="15.75" customHeight="1">
      <c r="A976" s="252"/>
      <c r="B976" s="253"/>
      <c r="C976" s="254"/>
      <c r="D976" s="255"/>
      <c r="E976" s="255"/>
      <c r="F976" s="255"/>
      <c r="G976" s="256"/>
      <c r="H976" s="257"/>
      <c r="I976" s="257"/>
      <c r="J976" s="258"/>
      <c r="K976" s="258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</row>
    <row r="977" ht="15.75" customHeight="1">
      <c r="A977" s="252"/>
      <c r="B977" s="253"/>
      <c r="C977" s="254"/>
      <c r="D977" s="255"/>
      <c r="E977" s="255"/>
      <c r="F977" s="255"/>
      <c r="G977" s="256"/>
      <c r="H977" s="257"/>
      <c r="I977" s="257"/>
      <c r="J977" s="258"/>
      <c r="K977" s="258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</row>
    <row r="978" ht="15.75" customHeight="1">
      <c r="A978" s="252"/>
      <c r="B978" s="253"/>
      <c r="C978" s="254"/>
      <c r="D978" s="255"/>
      <c r="E978" s="255"/>
      <c r="F978" s="255"/>
      <c r="G978" s="256"/>
      <c r="H978" s="257"/>
      <c r="I978" s="257"/>
      <c r="J978" s="258"/>
      <c r="K978" s="258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</row>
    <row r="979" ht="15.75" customHeight="1">
      <c r="A979" s="252"/>
      <c r="B979" s="253"/>
      <c r="C979" s="254"/>
      <c r="D979" s="255"/>
      <c r="E979" s="255"/>
      <c r="F979" s="255"/>
      <c r="G979" s="256"/>
      <c r="H979" s="257"/>
      <c r="I979" s="257"/>
      <c r="J979" s="258"/>
      <c r="K979" s="258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</row>
    <row r="980" ht="15.75" customHeight="1">
      <c r="A980" s="252"/>
      <c r="B980" s="253"/>
      <c r="C980" s="254"/>
      <c r="D980" s="255"/>
      <c r="E980" s="255"/>
      <c r="F980" s="255"/>
      <c r="G980" s="256"/>
      <c r="H980" s="257"/>
      <c r="I980" s="257"/>
      <c r="J980" s="258"/>
      <c r="K980" s="258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</row>
    <row r="981" ht="15.75" customHeight="1">
      <c r="A981" s="252"/>
      <c r="B981" s="253"/>
      <c r="C981" s="254"/>
      <c r="D981" s="255"/>
      <c r="E981" s="255"/>
      <c r="F981" s="255"/>
      <c r="G981" s="256"/>
      <c r="H981" s="257"/>
      <c r="I981" s="257"/>
      <c r="J981" s="258"/>
      <c r="K981" s="258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</row>
    <row r="982" ht="15.75" customHeight="1">
      <c r="A982" s="252"/>
      <c r="B982" s="253"/>
      <c r="C982" s="254"/>
      <c r="D982" s="255"/>
      <c r="E982" s="255"/>
      <c r="F982" s="255"/>
      <c r="G982" s="256"/>
      <c r="H982" s="257"/>
      <c r="I982" s="257"/>
      <c r="J982" s="258"/>
      <c r="K982" s="258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</row>
    <row r="983" ht="15.75" customHeight="1">
      <c r="A983" s="252"/>
      <c r="B983" s="253"/>
      <c r="C983" s="254"/>
      <c r="D983" s="255"/>
      <c r="E983" s="255"/>
      <c r="F983" s="255"/>
      <c r="G983" s="256"/>
      <c r="H983" s="257"/>
      <c r="I983" s="257"/>
      <c r="J983" s="258"/>
      <c r="K983" s="258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</row>
    <row r="984" ht="15.75" customHeight="1">
      <c r="A984" s="252"/>
      <c r="B984" s="253"/>
      <c r="C984" s="254"/>
      <c r="D984" s="255"/>
      <c r="E984" s="255"/>
      <c r="F984" s="255"/>
      <c r="G984" s="256"/>
      <c r="H984" s="257"/>
      <c r="I984" s="257"/>
      <c r="J984" s="258"/>
      <c r="K984" s="258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</row>
    <row r="985" ht="15.75" customHeight="1">
      <c r="A985" s="252"/>
      <c r="B985" s="253"/>
      <c r="C985" s="254"/>
      <c r="D985" s="255"/>
      <c r="E985" s="255"/>
      <c r="F985" s="255"/>
      <c r="G985" s="256"/>
      <c r="H985" s="257"/>
      <c r="I985" s="257"/>
      <c r="J985" s="258"/>
      <c r="K985" s="258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</row>
    <row r="986" ht="15.75" customHeight="1">
      <c r="A986" s="252"/>
      <c r="B986" s="253"/>
      <c r="C986" s="254"/>
      <c r="D986" s="255"/>
      <c r="E986" s="255"/>
      <c r="F986" s="255"/>
      <c r="G986" s="256"/>
      <c r="H986" s="257"/>
      <c r="I986" s="257"/>
      <c r="J986" s="258"/>
      <c r="K986" s="258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</row>
    <row r="987" ht="15.75" customHeight="1">
      <c r="A987" s="252"/>
      <c r="B987" s="253"/>
      <c r="C987" s="254"/>
      <c r="D987" s="255"/>
      <c r="E987" s="255"/>
      <c r="F987" s="255"/>
      <c r="G987" s="256"/>
      <c r="H987" s="257"/>
      <c r="I987" s="257"/>
      <c r="J987" s="258"/>
      <c r="K987" s="258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</row>
    <row r="988" ht="15.75" customHeight="1">
      <c r="A988" s="252"/>
      <c r="B988" s="253"/>
      <c r="C988" s="254"/>
      <c r="D988" s="255"/>
      <c r="E988" s="255"/>
      <c r="F988" s="255"/>
      <c r="G988" s="256"/>
      <c r="H988" s="257"/>
      <c r="I988" s="257"/>
      <c r="J988" s="258"/>
      <c r="K988" s="258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</row>
    <row r="989" ht="15.75" customHeight="1">
      <c r="A989" s="252"/>
      <c r="B989" s="253"/>
      <c r="C989" s="254"/>
      <c r="D989" s="255"/>
      <c r="E989" s="255"/>
      <c r="F989" s="255"/>
      <c r="G989" s="256"/>
      <c r="H989" s="257"/>
      <c r="I989" s="257"/>
      <c r="J989" s="258"/>
      <c r="K989" s="258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</row>
    <row r="990" ht="15.75" customHeight="1">
      <c r="A990" s="252"/>
      <c r="B990" s="253"/>
      <c r="C990" s="254"/>
      <c r="D990" s="255"/>
      <c r="E990" s="255"/>
      <c r="F990" s="255"/>
      <c r="G990" s="256"/>
      <c r="H990" s="257"/>
      <c r="I990" s="257"/>
      <c r="J990" s="258"/>
      <c r="K990" s="258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</row>
    <row r="991" ht="15.75" customHeight="1">
      <c r="A991" s="252"/>
      <c r="B991" s="253"/>
      <c r="C991" s="254"/>
      <c r="D991" s="255"/>
      <c r="E991" s="255"/>
      <c r="F991" s="255"/>
      <c r="G991" s="256"/>
      <c r="H991" s="257"/>
      <c r="I991" s="257"/>
      <c r="J991" s="258"/>
      <c r="K991" s="258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</row>
    <row r="992" ht="15.75" customHeight="1">
      <c r="A992" s="252"/>
      <c r="B992" s="253"/>
      <c r="C992" s="254"/>
      <c r="D992" s="255"/>
      <c r="E992" s="255"/>
      <c r="F992" s="255"/>
      <c r="G992" s="256"/>
      <c r="H992" s="257"/>
      <c r="I992" s="257"/>
      <c r="J992" s="258"/>
      <c r="K992" s="258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</row>
    <row r="993" ht="15.75" customHeight="1">
      <c r="A993" s="252"/>
      <c r="B993" s="253"/>
      <c r="C993" s="254"/>
      <c r="D993" s="255"/>
      <c r="E993" s="255"/>
      <c r="F993" s="255"/>
      <c r="G993" s="256"/>
      <c r="H993" s="257"/>
      <c r="I993" s="257"/>
      <c r="J993" s="258"/>
      <c r="K993" s="258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</row>
    <row r="994" ht="15.75" customHeight="1">
      <c r="A994" s="252"/>
      <c r="B994" s="253"/>
      <c r="C994" s="254"/>
      <c r="D994" s="255"/>
      <c r="E994" s="255"/>
      <c r="F994" s="255"/>
      <c r="G994" s="256"/>
      <c r="H994" s="257"/>
      <c r="I994" s="257"/>
      <c r="J994" s="258"/>
      <c r="K994" s="258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</row>
    <row r="995" ht="15.75" customHeight="1">
      <c r="A995" s="252"/>
      <c r="B995" s="253"/>
      <c r="C995" s="254"/>
      <c r="D995" s="255"/>
      <c r="E995" s="255"/>
      <c r="F995" s="255"/>
      <c r="G995" s="256"/>
      <c r="H995" s="257"/>
      <c r="I995" s="257"/>
      <c r="J995" s="258"/>
      <c r="K995" s="258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</row>
    <row r="996" ht="15.75" customHeight="1">
      <c r="A996" s="252"/>
      <c r="B996" s="253"/>
      <c r="C996" s="254"/>
      <c r="D996" s="255"/>
      <c r="E996" s="255"/>
      <c r="F996" s="255"/>
      <c r="G996" s="256"/>
      <c r="H996" s="257"/>
      <c r="I996" s="257"/>
      <c r="J996" s="258"/>
      <c r="K996" s="258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</row>
    <row r="997" ht="15.75" customHeight="1">
      <c r="A997" s="252"/>
      <c r="B997" s="253"/>
      <c r="C997" s="254"/>
      <c r="D997" s="255"/>
      <c r="E997" s="255"/>
      <c r="F997" s="255"/>
      <c r="G997" s="256"/>
      <c r="H997" s="257"/>
      <c r="I997" s="257"/>
      <c r="J997" s="258"/>
      <c r="K997" s="258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</row>
    <row r="998" ht="15.75" customHeight="1">
      <c r="A998" s="252"/>
      <c r="B998" s="253"/>
      <c r="C998" s="254"/>
      <c r="D998" s="255"/>
      <c r="E998" s="255"/>
      <c r="F998" s="255"/>
      <c r="G998" s="256"/>
      <c r="H998" s="257"/>
      <c r="I998" s="257"/>
      <c r="J998" s="258"/>
      <c r="K998" s="258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</row>
    <row r="999" ht="15.75" customHeight="1">
      <c r="A999" s="252"/>
      <c r="B999" s="253"/>
      <c r="C999" s="254"/>
      <c r="D999" s="255"/>
      <c r="E999" s="255"/>
      <c r="F999" s="255"/>
      <c r="G999" s="256"/>
      <c r="H999" s="257"/>
      <c r="I999" s="257"/>
      <c r="J999" s="258"/>
      <c r="K999" s="258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</row>
    <row r="1000" ht="15.75" customHeight="1">
      <c r="A1000" s="252"/>
      <c r="B1000" s="253"/>
      <c r="C1000" s="254"/>
      <c r="D1000" s="255"/>
      <c r="E1000" s="255"/>
      <c r="F1000" s="255"/>
      <c r="G1000" s="256"/>
      <c r="H1000" s="257"/>
      <c r="I1000" s="257"/>
      <c r="J1000" s="258"/>
      <c r="K1000" s="258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</row>
    <row r="1001" ht="15.75" customHeight="1">
      <c r="A1001" s="252"/>
      <c r="B1001" s="253"/>
      <c r="C1001" s="254"/>
      <c r="D1001" s="255"/>
      <c r="E1001" s="255"/>
      <c r="F1001" s="255"/>
      <c r="G1001" s="256"/>
      <c r="H1001" s="257"/>
      <c r="I1001" s="257"/>
      <c r="J1001" s="258"/>
      <c r="K1001" s="258"/>
      <c r="L1001" s="9"/>
      <c r="M1001" s="9"/>
      <c r="N1001" s="9"/>
      <c r="O1001" s="9"/>
      <c r="P1001" s="9"/>
      <c r="Q1001" s="9"/>
      <c r="R1001" s="9"/>
      <c r="S1001" s="9"/>
      <c r="T1001" s="9"/>
      <c r="U1001" s="9"/>
      <c r="V1001" s="9"/>
      <c r="W1001" s="9"/>
      <c r="X1001" s="9"/>
    </row>
    <row r="1002" ht="15.75" customHeight="1">
      <c r="A1002" s="252"/>
      <c r="B1002" s="253"/>
      <c r="C1002" s="254"/>
      <c r="D1002" s="255"/>
      <c r="E1002" s="255"/>
      <c r="F1002" s="255"/>
      <c r="G1002" s="256"/>
      <c r="H1002" s="257"/>
      <c r="I1002" s="257"/>
      <c r="J1002" s="258"/>
      <c r="K1002" s="258"/>
      <c r="L1002" s="9"/>
      <c r="M1002" s="9"/>
      <c r="N1002" s="9"/>
      <c r="O1002" s="9"/>
      <c r="P1002" s="9"/>
      <c r="Q1002" s="9"/>
      <c r="R1002" s="9"/>
      <c r="S1002" s="9"/>
      <c r="T1002" s="9"/>
      <c r="U1002" s="9"/>
      <c r="V1002" s="9"/>
      <c r="W1002" s="9"/>
      <c r="X1002" s="9"/>
    </row>
    <row r="1003" ht="15.75" customHeight="1">
      <c r="A1003" s="252"/>
      <c r="B1003" s="253"/>
      <c r="C1003" s="254"/>
      <c r="D1003" s="255"/>
      <c r="E1003" s="255"/>
      <c r="F1003" s="255"/>
      <c r="G1003" s="256"/>
      <c r="H1003" s="257"/>
      <c r="I1003" s="257"/>
      <c r="J1003" s="258"/>
      <c r="K1003" s="258"/>
      <c r="L1003" s="9"/>
      <c r="M1003" s="9"/>
      <c r="N1003" s="9"/>
      <c r="O1003" s="9"/>
      <c r="P1003" s="9"/>
      <c r="Q1003" s="9"/>
      <c r="R1003" s="9"/>
      <c r="S1003" s="9"/>
      <c r="T1003" s="9"/>
      <c r="U1003" s="9"/>
      <c r="V1003" s="9"/>
      <c r="W1003" s="9"/>
      <c r="X1003" s="9"/>
    </row>
    <row r="1004" ht="15.75" customHeight="1">
      <c r="A1004" s="252"/>
      <c r="B1004" s="253"/>
      <c r="C1004" s="254"/>
      <c r="D1004" s="255"/>
      <c r="E1004" s="255"/>
      <c r="F1004" s="255"/>
      <c r="G1004" s="256"/>
      <c r="H1004" s="257"/>
      <c r="I1004" s="257"/>
      <c r="J1004" s="258"/>
      <c r="K1004" s="258"/>
      <c r="L1004" s="9"/>
      <c r="M1004" s="9"/>
      <c r="N1004" s="9"/>
      <c r="O1004" s="9"/>
      <c r="P1004" s="9"/>
      <c r="Q1004" s="9"/>
      <c r="R1004" s="9"/>
      <c r="S1004" s="9"/>
      <c r="T1004" s="9"/>
      <c r="U1004" s="9"/>
      <c r="V1004" s="9"/>
      <c r="W1004" s="9"/>
      <c r="X1004" s="9"/>
    </row>
    <row r="1005" ht="15.75" customHeight="1">
      <c r="A1005" s="252"/>
      <c r="B1005" s="253"/>
      <c r="C1005" s="254"/>
      <c r="D1005" s="255"/>
      <c r="E1005" s="255"/>
      <c r="F1005" s="255"/>
      <c r="G1005" s="256"/>
      <c r="H1005" s="257"/>
      <c r="I1005" s="257"/>
      <c r="J1005" s="258"/>
      <c r="K1005" s="258"/>
      <c r="L1005" s="9"/>
      <c r="M1005" s="9"/>
      <c r="N1005" s="9"/>
      <c r="O1005" s="9"/>
      <c r="P1005" s="9"/>
      <c r="Q1005" s="9"/>
      <c r="R1005" s="9"/>
      <c r="S1005" s="9"/>
      <c r="T1005" s="9"/>
      <c r="U1005" s="9"/>
      <c r="V1005" s="9"/>
      <c r="W1005" s="9"/>
      <c r="X1005" s="9"/>
    </row>
    <row r="1006" ht="15.75" customHeight="1">
      <c r="A1006" s="252"/>
      <c r="B1006" s="253"/>
      <c r="C1006" s="254"/>
      <c r="D1006" s="255"/>
      <c r="E1006" s="255"/>
      <c r="F1006" s="255"/>
      <c r="G1006" s="256"/>
      <c r="H1006" s="257"/>
      <c r="I1006" s="257"/>
      <c r="J1006" s="258"/>
      <c r="K1006" s="258"/>
      <c r="L1006" s="9"/>
      <c r="M1006" s="9"/>
      <c r="N1006" s="9"/>
      <c r="O1006" s="9"/>
      <c r="P1006" s="9"/>
      <c r="Q1006" s="9"/>
      <c r="R1006" s="9"/>
      <c r="S1006" s="9"/>
      <c r="T1006" s="9"/>
      <c r="U1006" s="9"/>
      <c r="V1006" s="9"/>
      <c r="W1006" s="9"/>
      <c r="X1006" s="9"/>
    </row>
    <row r="1007" ht="15.75" customHeight="1">
      <c r="A1007" s="252"/>
      <c r="B1007" s="253"/>
      <c r="C1007" s="254"/>
      <c r="D1007" s="255"/>
      <c r="E1007" s="255"/>
      <c r="F1007" s="255"/>
      <c r="G1007" s="256"/>
      <c r="H1007" s="257"/>
      <c r="I1007" s="257"/>
      <c r="J1007" s="258"/>
      <c r="K1007" s="258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</row>
    <row r="1008" ht="15.75" customHeight="1">
      <c r="A1008" s="252"/>
      <c r="B1008" s="253"/>
      <c r="C1008" s="254"/>
      <c r="D1008" s="255"/>
      <c r="E1008" s="255"/>
      <c r="F1008" s="255"/>
      <c r="G1008" s="256"/>
      <c r="H1008" s="257"/>
      <c r="I1008" s="257"/>
      <c r="J1008" s="258"/>
      <c r="K1008" s="258"/>
      <c r="L1008" s="9"/>
      <c r="M1008" s="9"/>
      <c r="N1008" s="9"/>
      <c r="O1008" s="9"/>
      <c r="P1008" s="9"/>
      <c r="Q1008" s="9"/>
      <c r="R1008" s="9"/>
      <c r="S1008" s="9"/>
      <c r="T1008" s="9"/>
      <c r="U1008" s="9"/>
      <c r="V1008" s="9"/>
      <c r="W1008" s="9"/>
      <c r="X1008" s="9"/>
    </row>
    <row r="1009" ht="15.75" customHeight="1">
      <c r="A1009" s="252"/>
      <c r="B1009" s="253"/>
      <c r="C1009" s="254"/>
      <c r="D1009" s="255"/>
      <c r="E1009" s="255"/>
      <c r="F1009" s="255"/>
      <c r="G1009" s="256"/>
      <c r="H1009" s="257"/>
      <c r="I1009" s="257"/>
      <c r="J1009" s="258"/>
      <c r="K1009" s="258"/>
      <c r="L1009" s="9"/>
      <c r="M1009" s="9"/>
      <c r="N1009" s="9"/>
      <c r="O1009" s="9"/>
      <c r="P1009" s="9"/>
      <c r="Q1009" s="9"/>
      <c r="R1009" s="9"/>
      <c r="S1009" s="9"/>
      <c r="T1009" s="9"/>
      <c r="U1009" s="9"/>
      <c r="V1009" s="9"/>
      <c r="W1009" s="9"/>
      <c r="X1009" s="9"/>
    </row>
    <row r="1010" ht="15.75" customHeight="1">
      <c r="A1010" s="252"/>
      <c r="B1010" s="253"/>
      <c r="C1010" s="254"/>
      <c r="D1010" s="255"/>
      <c r="E1010" s="255"/>
      <c r="F1010" s="255"/>
      <c r="G1010" s="256"/>
      <c r="H1010" s="257"/>
      <c r="I1010" s="257"/>
      <c r="J1010" s="258"/>
      <c r="K1010" s="258"/>
      <c r="L1010" s="9"/>
      <c r="M1010" s="9"/>
      <c r="N1010" s="9"/>
      <c r="O1010" s="9"/>
      <c r="P1010" s="9"/>
      <c r="Q1010" s="9"/>
      <c r="R1010" s="9"/>
      <c r="S1010" s="9"/>
      <c r="T1010" s="9"/>
      <c r="U1010" s="9"/>
      <c r="V1010" s="9"/>
      <c r="W1010" s="9"/>
      <c r="X1010" s="9"/>
    </row>
    <row r="1011" ht="15.75" customHeight="1">
      <c r="A1011" s="252"/>
      <c r="B1011" s="253"/>
      <c r="C1011" s="254"/>
      <c r="D1011" s="255"/>
      <c r="E1011" s="255"/>
      <c r="F1011" s="255"/>
      <c r="G1011" s="256"/>
      <c r="H1011" s="257"/>
      <c r="I1011" s="257"/>
      <c r="J1011" s="258"/>
      <c r="K1011" s="258"/>
      <c r="L1011" s="9"/>
      <c r="M1011" s="9"/>
      <c r="N1011" s="9"/>
      <c r="O1011" s="9"/>
      <c r="P1011" s="9"/>
      <c r="Q1011" s="9"/>
      <c r="R1011" s="9"/>
      <c r="S1011" s="9"/>
      <c r="T1011" s="9"/>
      <c r="U1011" s="9"/>
      <c r="V1011" s="9"/>
      <c r="W1011" s="9"/>
      <c r="X1011" s="9"/>
    </row>
    <row r="1012" ht="15.75" customHeight="1">
      <c r="A1012" s="252"/>
      <c r="B1012" s="253"/>
      <c r="C1012" s="254"/>
      <c r="D1012" s="255"/>
      <c r="E1012" s="255"/>
      <c r="F1012" s="255"/>
      <c r="G1012" s="256"/>
      <c r="H1012" s="257"/>
      <c r="I1012" s="257"/>
      <c r="J1012" s="258"/>
      <c r="K1012" s="258"/>
      <c r="L1012" s="9"/>
      <c r="M1012" s="9"/>
      <c r="N1012" s="9"/>
      <c r="O1012" s="9"/>
      <c r="P1012" s="9"/>
      <c r="Q1012" s="9"/>
      <c r="R1012" s="9"/>
      <c r="S1012" s="9"/>
      <c r="T1012" s="9"/>
      <c r="U1012" s="9"/>
      <c r="V1012" s="9"/>
      <c r="W1012" s="9"/>
      <c r="X1012" s="9"/>
    </row>
    <row r="1013" ht="15.75" customHeight="1">
      <c r="A1013" s="252"/>
      <c r="B1013" s="253"/>
      <c r="C1013" s="254"/>
      <c r="D1013" s="255"/>
      <c r="E1013" s="255"/>
      <c r="F1013" s="255"/>
      <c r="G1013" s="256"/>
      <c r="H1013" s="257"/>
      <c r="I1013" s="257"/>
      <c r="J1013" s="258"/>
      <c r="K1013" s="258"/>
      <c r="L1013" s="9"/>
      <c r="M1013" s="9"/>
      <c r="N1013" s="9"/>
      <c r="O1013" s="9"/>
      <c r="P1013" s="9"/>
      <c r="Q1013" s="9"/>
      <c r="R1013" s="9"/>
      <c r="S1013" s="9"/>
      <c r="T1013" s="9"/>
      <c r="U1013" s="9"/>
      <c r="V1013" s="9"/>
      <c r="W1013" s="9"/>
      <c r="X1013" s="9"/>
    </row>
    <row r="1014" ht="15.75" customHeight="1">
      <c r="A1014" s="252"/>
      <c r="B1014" s="253"/>
      <c r="C1014" s="254"/>
      <c r="D1014" s="255"/>
      <c r="E1014" s="255"/>
      <c r="F1014" s="255"/>
      <c r="G1014" s="256"/>
      <c r="H1014" s="257"/>
      <c r="I1014" s="257"/>
      <c r="J1014" s="258"/>
      <c r="K1014" s="258"/>
      <c r="L1014" s="9"/>
      <c r="M1014" s="9"/>
      <c r="N1014" s="9"/>
      <c r="O1014" s="9"/>
      <c r="P1014" s="9"/>
      <c r="Q1014" s="9"/>
      <c r="R1014" s="9"/>
      <c r="S1014" s="9"/>
      <c r="T1014" s="9"/>
      <c r="U1014" s="9"/>
      <c r="V1014" s="9"/>
      <c r="W1014" s="9"/>
      <c r="X1014" s="9"/>
    </row>
    <row r="1015" ht="15.75" customHeight="1">
      <c r="A1015" s="252"/>
      <c r="B1015" s="253"/>
      <c r="C1015" s="254"/>
      <c r="D1015" s="255"/>
      <c r="E1015" s="255"/>
      <c r="F1015" s="255"/>
      <c r="G1015" s="256"/>
      <c r="H1015" s="257"/>
      <c r="I1015" s="257"/>
      <c r="J1015" s="258"/>
      <c r="K1015" s="258"/>
      <c r="L1015" s="9"/>
      <c r="M1015" s="9"/>
      <c r="N1015" s="9"/>
      <c r="O1015" s="9"/>
      <c r="P1015" s="9"/>
      <c r="Q1015" s="9"/>
      <c r="R1015" s="9"/>
      <c r="S1015" s="9"/>
      <c r="T1015" s="9"/>
      <c r="U1015" s="9"/>
      <c r="V1015" s="9"/>
      <c r="W1015" s="9"/>
      <c r="X1015" s="9"/>
    </row>
    <row r="1016" ht="15.75" customHeight="1">
      <c r="A1016" s="252"/>
      <c r="B1016" s="253"/>
      <c r="C1016" s="254"/>
      <c r="D1016" s="255"/>
      <c r="E1016" s="255"/>
      <c r="F1016" s="255"/>
      <c r="G1016" s="256"/>
      <c r="H1016" s="257"/>
      <c r="I1016" s="257"/>
      <c r="J1016" s="258"/>
      <c r="K1016" s="258"/>
      <c r="L1016" s="9"/>
      <c r="M1016" s="9"/>
      <c r="N1016" s="9"/>
      <c r="O1016" s="9"/>
      <c r="P1016" s="9"/>
      <c r="Q1016" s="9"/>
      <c r="R1016" s="9"/>
      <c r="S1016" s="9"/>
      <c r="T1016" s="9"/>
      <c r="U1016" s="9"/>
      <c r="V1016" s="9"/>
      <c r="W1016" s="9"/>
      <c r="X1016" s="9"/>
    </row>
    <row r="1017" ht="15.75" customHeight="1">
      <c r="A1017" s="252"/>
      <c r="B1017" s="253"/>
      <c r="C1017" s="254"/>
      <c r="D1017" s="255"/>
      <c r="E1017" s="255"/>
      <c r="F1017" s="255"/>
      <c r="G1017" s="256"/>
      <c r="H1017" s="257"/>
      <c r="I1017" s="257"/>
      <c r="J1017" s="258"/>
      <c r="K1017" s="258"/>
      <c r="L1017" s="9"/>
      <c r="M1017" s="9"/>
      <c r="N1017" s="9"/>
      <c r="O1017" s="9"/>
      <c r="P1017" s="9"/>
      <c r="Q1017" s="9"/>
      <c r="R1017" s="9"/>
      <c r="S1017" s="9"/>
      <c r="T1017" s="9"/>
      <c r="U1017" s="9"/>
      <c r="V1017" s="9"/>
      <c r="W1017" s="9"/>
      <c r="X1017" s="9"/>
    </row>
    <row r="1018" ht="15.75" customHeight="1">
      <c r="A1018" s="252"/>
      <c r="B1018" s="253"/>
      <c r="C1018" s="254"/>
      <c r="D1018" s="255"/>
      <c r="E1018" s="255"/>
      <c r="F1018" s="255"/>
      <c r="G1018" s="256"/>
      <c r="H1018" s="257"/>
      <c r="I1018" s="257"/>
      <c r="J1018" s="258"/>
      <c r="K1018" s="258"/>
      <c r="L1018" s="9"/>
      <c r="M1018" s="9"/>
      <c r="N1018" s="9"/>
      <c r="O1018" s="9"/>
      <c r="P1018" s="9"/>
      <c r="Q1018" s="9"/>
      <c r="R1018" s="9"/>
      <c r="S1018" s="9"/>
      <c r="T1018" s="9"/>
      <c r="U1018" s="9"/>
      <c r="V1018" s="9"/>
      <c r="W1018" s="9"/>
      <c r="X1018" s="9"/>
    </row>
    <row r="1019" ht="15.75" customHeight="1">
      <c r="A1019" s="252"/>
      <c r="B1019" s="253"/>
      <c r="C1019" s="254"/>
      <c r="D1019" s="255"/>
      <c r="E1019" s="255"/>
      <c r="F1019" s="255"/>
      <c r="G1019" s="256"/>
      <c r="H1019" s="257"/>
      <c r="I1019" s="257"/>
      <c r="J1019" s="258"/>
      <c r="K1019" s="258"/>
      <c r="L1019" s="9"/>
      <c r="M1019" s="9"/>
      <c r="N1019" s="9"/>
      <c r="O1019" s="9"/>
      <c r="P1019" s="9"/>
      <c r="Q1019" s="9"/>
      <c r="R1019" s="9"/>
      <c r="S1019" s="9"/>
      <c r="T1019" s="9"/>
      <c r="U1019" s="9"/>
      <c r="V1019" s="9"/>
      <c r="W1019" s="9"/>
      <c r="X1019" s="9"/>
    </row>
    <row r="1020" ht="15.75" customHeight="1">
      <c r="A1020" s="252"/>
      <c r="B1020" s="253"/>
      <c r="C1020" s="254"/>
      <c r="D1020" s="255"/>
      <c r="E1020" s="255"/>
      <c r="F1020" s="255"/>
      <c r="G1020" s="256"/>
      <c r="H1020" s="257"/>
      <c r="I1020" s="257"/>
      <c r="J1020" s="258"/>
      <c r="K1020" s="258"/>
      <c r="L1020" s="9"/>
      <c r="M1020" s="9"/>
      <c r="N1020" s="9"/>
      <c r="O1020" s="9"/>
      <c r="P1020" s="9"/>
      <c r="Q1020" s="9"/>
      <c r="R1020" s="9"/>
      <c r="S1020" s="9"/>
      <c r="T1020" s="9"/>
      <c r="U1020" s="9"/>
      <c r="V1020" s="9"/>
      <c r="W1020" s="9"/>
      <c r="X1020" s="9"/>
    </row>
    <row r="1021" ht="15.75" customHeight="1">
      <c r="A1021" s="252"/>
      <c r="B1021" s="253"/>
      <c r="C1021" s="254"/>
      <c r="D1021" s="255"/>
      <c r="E1021" s="255"/>
      <c r="F1021" s="255"/>
      <c r="G1021" s="256"/>
      <c r="H1021" s="257"/>
      <c r="I1021" s="257"/>
      <c r="J1021" s="258"/>
      <c r="K1021" s="258"/>
      <c r="L1021" s="9"/>
      <c r="M1021" s="9"/>
      <c r="N1021" s="9"/>
      <c r="O1021" s="9"/>
      <c r="P1021" s="9"/>
      <c r="Q1021" s="9"/>
      <c r="R1021" s="9"/>
      <c r="S1021" s="9"/>
      <c r="T1021" s="9"/>
      <c r="U1021" s="9"/>
      <c r="V1021" s="9"/>
      <c r="W1021" s="9"/>
      <c r="X1021" s="9"/>
    </row>
    <row r="1022" ht="15.75" customHeight="1">
      <c r="A1022" s="252"/>
      <c r="B1022" s="253"/>
      <c r="C1022" s="254"/>
      <c r="D1022" s="255"/>
      <c r="E1022" s="255"/>
      <c r="F1022" s="255"/>
      <c r="G1022" s="256"/>
      <c r="H1022" s="257"/>
      <c r="I1022" s="257"/>
      <c r="J1022" s="258"/>
      <c r="K1022" s="258"/>
      <c r="L1022" s="9"/>
      <c r="M1022" s="9"/>
      <c r="N1022" s="9"/>
      <c r="O1022" s="9"/>
      <c r="P1022" s="9"/>
      <c r="Q1022" s="9"/>
      <c r="R1022" s="9"/>
      <c r="S1022" s="9"/>
      <c r="T1022" s="9"/>
      <c r="U1022" s="9"/>
      <c r="V1022" s="9"/>
      <c r="W1022" s="9"/>
      <c r="X1022" s="9"/>
    </row>
    <row r="1023" ht="15.75" customHeight="1">
      <c r="A1023" s="252"/>
      <c r="B1023" s="253"/>
      <c r="C1023" s="254"/>
      <c r="D1023" s="255"/>
      <c r="E1023" s="255"/>
      <c r="F1023" s="255"/>
      <c r="G1023" s="256"/>
      <c r="H1023" s="257"/>
      <c r="I1023" s="257"/>
      <c r="J1023" s="258"/>
      <c r="K1023" s="258"/>
      <c r="L1023" s="9"/>
      <c r="M1023" s="9"/>
      <c r="N1023" s="9"/>
      <c r="O1023" s="9"/>
      <c r="P1023" s="9"/>
      <c r="Q1023" s="9"/>
      <c r="R1023" s="9"/>
      <c r="S1023" s="9"/>
      <c r="T1023" s="9"/>
      <c r="U1023" s="9"/>
      <c r="V1023" s="9"/>
      <c r="W1023" s="9"/>
      <c r="X1023" s="9"/>
    </row>
    <row r="1024" ht="15.75" customHeight="1">
      <c r="A1024" s="252"/>
      <c r="B1024" s="253"/>
      <c r="C1024" s="254"/>
      <c r="D1024" s="255"/>
      <c r="E1024" s="255"/>
      <c r="F1024" s="255"/>
      <c r="G1024" s="256"/>
      <c r="H1024" s="257"/>
      <c r="I1024" s="257"/>
      <c r="J1024" s="258"/>
      <c r="K1024" s="258"/>
      <c r="L1024" s="9"/>
      <c r="M1024" s="9"/>
      <c r="N1024" s="9"/>
      <c r="O1024" s="9"/>
      <c r="P1024" s="9"/>
      <c r="Q1024" s="9"/>
      <c r="R1024" s="9"/>
      <c r="S1024" s="9"/>
      <c r="T1024" s="9"/>
      <c r="U1024" s="9"/>
      <c r="V1024" s="9"/>
      <c r="W1024" s="9"/>
      <c r="X1024" s="9"/>
    </row>
    <row r="1025" ht="15.75" customHeight="1">
      <c r="A1025" s="252"/>
      <c r="B1025" s="253"/>
      <c r="C1025" s="254"/>
      <c r="D1025" s="255"/>
      <c r="E1025" s="255"/>
      <c r="F1025" s="255"/>
      <c r="G1025" s="256"/>
      <c r="H1025" s="257"/>
      <c r="I1025" s="257"/>
      <c r="J1025" s="258"/>
      <c r="K1025" s="258"/>
      <c r="L1025" s="9"/>
      <c r="M1025" s="9"/>
      <c r="N1025" s="9"/>
      <c r="O1025" s="9"/>
      <c r="P1025" s="9"/>
      <c r="Q1025" s="9"/>
      <c r="R1025" s="9"/>
      <c r="S1025" s="9"/>
      <c r="T1025" s="9"/>
      <c r="U1025" s="9"/>
      <c r="V1025" s="9"/>
      <c r="W1025" s="9"/>
      <c r="X1025" s="9"/>
    </row>
    <row r="1026" ht="15.75" customHeight="1">
      <c r="A1026" s="252"/>
      <c r="B1026" s="253"/>
      <c r="C1026" s="254"/>
      <c r="D1026" s="255"/>
      <c r="E1026" s="255"/>
      <c r="F1026" s="255"/>
      <c r="G1026" s="256"/>
      <c r="H1026" s="257"/>
      <c r="I1026" s="257"/>
      <c r="J1026" s="258"/>
      <c r="K1026" s="258"/>
      <c r="L1026" s="9"/>
      <c r="M1026" s="9"/>
      <c r="N1026" s="9"/>
      <c r="O1026" s="9"/>
      <c r="P1026" s="9"/>
      <c r="Q1026" s="9"/>
      <c r="R1026" s="9"/>
      <c r="S1026" s="9"/>
      <c r="T1026" s="9"/>
      <c r="U1026" s="9"/>
      <c r="V1026" s="9"/>
      <c r="W1026" s="9"/>
      <c r="X1026" s="9"/>
    </row>
    <row r="1027" ht="15.75" customHeight="1">
      <c r="A1027" s="252"/>
      <c r="B1027" s="253"/>
      <c r="C1027" s="254"/>
      <c r="D1027" s="255"/>
      <c r="E1027" s="255"/>
      <c r="F1027" s="255"/>
      <c r="G1027" s="256"/>
      <c r="H1027" s="257"/>
      <c r="I1027" s="257"/>
      <c r="J1027" s="258"/>
      <c r="K1027" s="258"/>
      <c r="L1027" s="9"/>
      <c r="M1027" s="9"/>
      <c r="N1027" s="9"/>
      <c r="O1027" s="9"/>
      <c r="P1027" s="9"/>
      <c r="Q1027" s="9"/>
      <c r="R1027" s="9"/>
      <c r="S1027" s="9"/>
      <c r="T1027" s="9"/>
      <c r="U1027" s="9"/>
      <c r="V1027" s="9"/>
      <c r="W1027" s="9"/>
      <c r="X1027" s="9"/>
    </row>
    <row r="1028" ht="15.75" customHeight="1">
      <c r="A1028" s="252"/>
      <c r="B1028" s="253"/>
      <c r="C1028" s="254"/>
      <c r="D1028" s="255"/>
      <c r="E1028" s="255"/>
      <c r="F1028" s="255"/>
      <c r="G1028" s="256"/>
      <c r="H1028" s="257"/>
      <c r="I1028" s="257"/>
      <c r="J1028" s="258"/>
      <c r="K1028" s="258"/>
      <c r="L1028" s="9"/>
      <c r="M1028" s="9"/>
      <c r="N1028" s="9"/>
      <c r="O1028" s="9"/>
      <c r="P1028" s="9"/>
      <c r="Q1028" s="9"/>
      <c r="R1028" s="9"/>
      <c r="S1028" s="9"/>
      <c r="T1028" s="9"/>
      <c r="U1028" s="9"/>
      <c r="V1028" s="9"/>
      <c r="W1028" s="9"/>
      <c r="X1028" s="9"/>
    </row>
    <row r="1029" ht="15.75" customHeight="1">
      <c r="A1029" s="252"/>
      <c r="B1029" s="253"/>
      <c r="C1029" s="254"/>
      <c r="D1029" s="255"/>
      <c r="E1029" s="255"/>
      <c r="F1029" s="255"/>
      <c r="G1029" s="256"/>
      <c r="H1029" s="257"/>
      <c r="I1029" s="257"/>
      <c r="J1029" s="258"/>
      <c r="K1029" s="258"/>
      <c r="L1029" s="9"/>
      <c r="M1029" s="9"/>
      <c r="N1029" s="9"/>
      <c r="O1029" s="9"/>
      <c r="P1029" s="9"/>
      <c r="Q1029" s="9"/>
      <c r="R1029" s="9"/>
      <c r="S1029" s="9"/>
      <c r="T1029" s="9"/>
      <c r="U1029" s="9"/>
      <c r="V1029" s="9"/>
      <c r="W1029" s="9"/>
      <c r="X1029" s="9"/>
    </row>
    <row r="1030" ht="15.75" customHeight="1">
      <c r="A1030" s="252"/>
      <c r="B1030" s="253"/>
      <c r="C1030" s="254"/>
      <c r="D1030" s="255"/>
      <c r="E1030" s="255"/>
      <c r="F1030" s="255"/>
      <c r="G1030" s="256"/>
      <c r="H1030" s="257"/>
      <c r="I1030" s="257"/>
      <c r="J1030" s="258"/>
      <c r="K1030" s="258"/>
      <c r="L1030" s="9"/>
      <c r="M1030" s="9"/>
      <c r="N1030" s="9"/>
      <c r="O1030" s="9"/>
      <c r="P1030" s="9"/>
      <c r="Q1030" s="9"/>
      <c r="R1030" s="9"/>
      <c r="S1030" s="9"/>
      <c r="T1030" s="9"/>
      <c r="U1030" s="9"/>
      <c r="V1030" s="9"/>
      <c r="W1030" s="9"/>
      <c r="X1030" s="9"/>
    </row>
    <row r="1031" ht="15.75" customHeight="1">
      <c r="A1031" s="252"/>
      <c r="B1031" s="253"/>
      <c r="C1031" s="254"/>
      <c r="D1031" s="255"/>
      <c r="E1031" s="255"/>
      <c r="F1031" s="255"/>
      <c r="G1031" s="256"/>
      <c r="H1031" s="257"/>
      <c r="I1031" s="257"/>
      <c r="J1031" s="258"/>
      <c r="K1031" s="258"/>
      <c r="L1031" s="9"/>
      <c r="M1031" s="9"/>
      <c r="N1031" s="9"/>
      <c r="O1031" s="9"/>
      <c r="P1031" s="9"/>
      <c r="Q1031" s="9"/>
      <c r="R1031" s="9"/>
      <c r="S1031" s="9"/>
      <c r="T1031" s="9"/>
      <c r="U1031" s="9"/>
      <c r="V1031" s="9"/>
      <c r="W1031" s="9"/>
      <c r="X1031" s="9"/>
    </row>
    <row r="1032" ht="15.75" customHeight="1">
      <c r="A1032" s="252"/>
      <c r="B1032" s="253"/>
      <c r="C1032" s="254"/>
      <c r="D1032" s="255"/>
      <c r="E1032" s="255"/>
      <c r="F1032" s="255"/>
      <c r="G1032" s="256"/>
      <c r="H1032" s="257"/>
      <c r="I1032" s="257"/>
      <c r="J1032" s="258"/>
      <c r="K1032" s="258"/>
      <c r="L1032" s="9"/>
      <c r="M1032" s="9"/>
      <c r="N1032" s="9"/>
      <c r="O1032" s="9"/>
      <c r="P1032" s="9"/>
      <c r="Q1032" s="9"/>
      <c r="R1032" s="9"/>
      <c r="S1032" s="9"/>
      <c r="T1032" s="9"/>
      <c r="U1032" s="9"/>
      <c r="V1032" s="9"/>
      <c r="W1032" s="9"/>
      <c r="X1032" s="9"/>
    </row>
    <row r="1033" ht="15.75" customHeight="1">
      <c r="A1033" s="252"/>
      <c r="B1033" s="253"/>
      <c r="C1033" s="254"/>
      <c r="D1033" s="255"/>
      <c r="E1033" s="255"/>
      <c r="F1033" s="255"/>
      <c r="G1033" s="256"/>
      <c r="H1033" s="257"/>
      <c r="I1033" s="257"/>
      <c r="J1033" s="258"/>
      <c r="K1033" s="258"/>
      <c r="L1033" s="9"/>
      <c r="M1033" s="9"/>
      <c r="N1033" s="9"/>
      <c r="O1033" s="9"/>
      <c r="P1033" s="9"/>
      <c r="Q1033" s="9"/>
      <c r="R1033" s="9"/>
      <c r="S1033" s="9"/>
      <c r="T1033" s="9"/>
      <c r="U1033" s="9"/>
      <c r="V1033" s="9"/>
      <c r="W1033" s="9"/>
      <c r="X1033" s="9"/>
    </row>
    <row r="1034" ht="15.75" customHeight="1">
      <c r="A1034" s="252"/>
      <c r="B1034" s="253"/>
      <c r="C1034" s="254"/>
      <c r="D1034" s="255"/>
      <c r="E1034" s="255"/>
      <c r="F1034" s="255"/>
      <c r="G1034" s="256"/>
      <c r="H1034" s="257"/>
      <c r="I1034" s="257"/>
      <c r="J1034" s="258"/>
      <c r="K1034" s="258"/>
      <c r="L1034" s="9"/>
      <c r="M1034" s="9"/>
      <c r="N1034" s="9"/>
      <c r="O1034" s="9"/>
      <c r="P1034" s="9"/>
      <c r="Q1034" s="9"/>
      <c r="R1034" s="9"/>
      <c r="S1034" s="9"/>
      <c r="T1034" s="9"/>
      <c r="U1034" s="9"/>
      <c r="V1034" s="9"/>
      <c r="W1034" s="9"/>
      <c r="X1034" s="9"/>
    </row>
    <row r="1035" ht="15.75" customHeight="1">
      <c r="A1035" s="252"/>
      <c r="B1035" s="253"/>
      <c r="C1035" s="254"/>
      <c r="D1035" s="255"/>
      <c r="E1035" s="255"/>
      <c r="F1035" s="255"/>
      <c r="G1035" s="256"/>
      <c r="H1035" s="257"/>
      <c r="I1035" s="257"/>
      <c r="J1035" s="258"/>
      <c r="K1035" s="258"/>
      <c r="L1035" s="9"/>
      <c r="M1035" s="9"/>
      <c r="N1035" s="9"/>
      <c r="O1035" s="9"/>
      <c r="P1035" s="9"/>
      <c r="Q1035" s="9"/>
      <c r="R1035" s="9"/>
      <c r="S1035" s="9"/>
      <c r="T1035" s="9"/>
      <c r="U1035" s="9"/>
      <c r="V1035" s="9"/>
      <c r="W1035" s="9"/>
      <c r="X1035" s="9"/>
    </row>
    <row r="1036" ht="15.75" customHeight="1">
      <c r="A1036" s="252"/>
      <c r="B1036" s="253"/>
      <c r="C1036" s="254"/>
      <c r="D1036" s="255"/>
      <c r="E1036" s="255"/>
      <c r="F1036" s="255"/>
      <c r="G1036" s="256"/>
      <c r="H1036" s="257"/>
      <c r="I1036" s="257"/>
      <c r="J1036" s="258"/>
      <c r="K1036" s="258"/>
      <c r="L1036" s="9"/>
      <c r="M1036" s="9"/>
      <c r="N1036" s="9"/>
      <c r="O1036" s="9"/>
      <c r="P1036" s="9"/>
      <c r="Q1036" s="9"/>
      <c r="R1036" s="9"/>
      <c r="S1036" s="9"/>
      <c r="T1036" s="9"/>
      <c r="U1036" s="9"/>
      <c r="V1036" s="9"/>
      <c r="W1036" s="9"/>
      <c r="X1036" s="9"/>
    </row>
  </sheetData>
  <conditionalFormatting sqref="H37:H1036">
    <cfRule type="cellIs" dxfId="0" priority="1" operator="greaterThanOrEqual">
      <formula>0.3</formula>
    </cfRule>
  </conditionalFormatting>
  <conditionalFormatting sqref="H37:H1036">
    <cfRule type="cellIs" dxfId="1" priority="2" operator="greaterThan">
      <formula>0.3</formula>
    </cfRule>
  </conditionalFormatting>
  <conditionalFormatting sqref="H37:H1036">
    <cfRule type="cellIs" dxfId="2" priority="3" operator="greaterThanOrEqual">
      <formula>0.3</formula>
    </cfRule>
  </conditionalFormatting>
  <conditionalFormatting sqref="I37:I1036">
    <cfRule type="cellIs" dxfId="3" priority="4" operator="between">
      <formula>35</formula>
      <formula>1000</formula>
    </cfRule>
  </conditionalFormatting>
  <conditionalFormatting sqref="I37:I1036">
    <cfRule type="cellIs" dxfId="3" priority="5" operator="between">
      <formula>0.35</formula>
      <formula>10</formula>
    </cfRule>
  </conditionalFormatting>
  <conditionalFormatting sqref="H35:H36">
    <cfRule type="cellIs" dxfId="0" priority="6" operator="greaterThanOrEqual">
      <formula>0.3</formula>
    </cfRule>
  </conditionalFormatting>
  <conditionalFormatting sqref="H35:H36">
    <cfRule type="cellIs" dxfId="1" priority="7" operator="greaterThan">
      <formula>0.3</formula>
    </cfRule>
  </conditionalFormatting>
  <conditionalFormatting sqref="H35:H36">
    <cfRule type="cellIs" dxfId="2" priority="8" operator="greaterThanOrEqual">
      <formula>0.3</formula>
    </cfRule>
  </conditionalFormatting>
  <conditionalFormatting sqref="I35:I36">
    <cfRule type="cellIs" dxfId="3" priority="9" operator="between">
      <formula>35</formula>
      <formula>1000</formula>
    </cfRule>
  </conditionalFormatting>
  <conditionalFormatting sqref="I35:I36">
    <cfRule type="cellIs" dxfId="3" priority="10" operator="between">
      <formula>0.35</formula>
      <formula>10</formula>
    </cfRule>
  </conditionalFormatting>
  <conditionalFormatting sqref="H29:H34">
    <cfRule type="cellIs" dxfId="0" priority="11" operator="greaterThanOrEqual">
      <formula>0.3</formula>
    </cfRule>
  </conditionalFormatting>
  <conditionalFormatting sqref="H29:H34">
    <cfRule type="cellIs" dxfId="1" priority="12" operator="greaterThan">
      <formula>0.3</formula>
    </cfRule>
  </conditionalFormatting>
  <conditionalFormatting sqref="H29:H34">
    <cfRule type="cellIs" dxfId="2" priority="13" operator="greaterThanOrEqual">
      <formula>0.3</formula>
    </cfRule>
  </conditionalFormatting>
  <conditionalFormatting sqref="I29:I34">
    <cfRule type="cellIs" dxfId="3" priority="14" operator="between">
      <formula>35</formula>
      <formula>1000</formula>
    </cfRule>
  </conditionalFormatting>
  <conditionalFormatting sqref="I29:I34">
    <cfRule type="cellIs" dxfId="3" priority="15" operator="between">
      <formula>0.35</formula>
      <formula>10</formula>
    </cfRule>
  </conditionalFormatting>
  <conditionalFormatting sqref="H23:H28">
    <cfRule type="cellIs" dxfId="0" priority="16" operator="greaterThanOrEqual">
      <formula>0.3</formula>
    </cfRule>
  </conditionalFormatting>
  <conditionalFormatting sqref="H23:H28">
    <cfRule type="cellIs" dxfId="1" priority="17" operator="greaterThan">
      <formula>0.3</formula>
    </cfRule>
  </conditionalFormatting>
  <conditionalFormatting sqref="H23:H28">
    <cfRule type="cellIs" dxfId="2" priority="18" operator="greaterThanOrEqual">
      <formula>0.3</formula>
    </cfRule>
  </conditionalFormatting>
  <conditionalFormatting sqref="I23:I28">
    <cfRule type="cellIs" dxfId="3" priority="19" operator="between">
      <formula>35</formula>
      <formula>1000</formula>
    </cfRule>
  </conditionalFormatting>
  <conditionalFormatting sqref="I23:I28">
    <cfRule type="cellIs" dxfId="3" priority="20" operator="between">
      <formula>0.35</formula>
      <formula>10</formula>
    </cfRule>
  </conditionalFormatting>
  <conditionalFormatting sqref="H21:H22">
    <cfRule type="cellIs" dxfId="0" priority="21" operator="greaterThanOrEqual">
      <formula>0.3</formula>
    </cfRule>
  </conditionalFormatting>
  <conditionalFormatting sqref="H21:H22">
    <cfRule type="cellIs" dxfId="1" priority="22" operator="greaterThan">
      <formula>0.3</formula>
    </cfRule>
  </conditionalFormatting>
  <conditionalFormatting sqref="H21:H22">
    <cfRule type="cellIs" dxfId="2" priority="23" operator="greaterThanOrEqual">
      <formula>0.3</formula>
    </cfRule>
  </conditionalFormatting>
  <conditionalFormatting sqref="I21:I22">
    <cfRule type="cellIs" dxfId="3" priority="24" operator="between">
      <formula>35</formula>
      <formula>1000</formula>
    </cfRule>
  </conditionalFormatting>
  <conditionalFormatting sqref="I21:I22">
    <cfRule type="cellIs" dxfId="3" priority="25" operator="between">
      <formula>0.35</formula>
      <formula>10</formula>
    </cfRule>
  </conditionalFormatting>
  <conditionalFormatting sqref="H18:H20">
    <cfRule type="cellIs" dxfId="0" priority="26" operator="greaterThanOrEqual">
      <formula>0.3</formula>
    </cfRule>
  </conditionalFormatting>
  <conditionalFormatting sqref="H18:H20">
    <cfRule type="cellIs" dxfId="1" priority="27" operator="greaterThan">
      <formula>0.3</formula>
    </cfRule>
  </conditionalFormatting>
  <conditionalFormatting sqref="H18:H20">
    <cfRule type="cellIs" dxfId="2" priority="28" operator="greaterThanOrEqual">
      <formula>0.3</formula>
    </cfRule>
  </conditionalFormatting>
  <conditionalFormatting sqref="I18:I20">
    <cfRule type="cellIs" dxfId="3" priority="29" operator="between">
      <formula>35</formula>
      <formula>1000</formula>
    </cfRule>
  </conditionalFormatting>
  <conditionalFormatting sqref="I18:I20">
    <cfRule type="cellIs" dxfId="3" priority="30" operator="between">
      <formula>0.35</formula>
      <formula>10</formula>
    </cfRule>
  </conditionalFormatting>
  <conditionalFormatting sqref="H12:H17">
    <cfRule type="cellIs" dxfId="0" priority="31" operator="greaterThanOrEqual">
      <formula>0.3</formula>
    </cfRule>
  </conditionalFormatting>
  <conditionalFormatting sqref="H12:H17">
    <cfRule type="cellIs" dxfId="1" priority="32" operator="greaterThan">
      <formula>0.3</formula>
    </cfRule>
  </conditionalFormatting>
  <conditionalFormatting sqref="H12:H17">
    <cfRule type="cellIs" dxfId="2" priority="33" operator="greaterThanOrEqual">
      <formula>0.3</formula>
    </cfRule>
  </conditionalFormatting>
  <conditionalFormatting sqref="I12:I17">
    <cfRule type="cellIs" dxfId="3" priority="34" operator="between">
      <formula>35</formula>
      <formula>1000</formula>
    </cfRule>
  </conditionalFormatting>
  <conditionalFormatting sqref="I12:I17">
    <cfRule type="cellIs" dxfId="3" priority="35" operator="between">
      <formula>0.35</formula>
      <formula>10</formula>
    </cfRule>
  </conditionalFormatting>
  <conditionalFormatting sqref="H11">
    <cfRule type="cellIs" dxfId="0" priority="36" operator="greaterThanOrEqual">
      <formula>0.3</formula>
    </cfRule>
  </conditionalFormatting>
  <conditionalFormatting sqref="H11">
    <cfRule type="cellIs" dxfId="1" priority="37" operator="greaterThan">
      <formula>0.3</formula>
    </cfRule>
  </conditionalFormatting>
  <conditionalFormatting sqref="H11">
    <cfRule type="cellIs" dxfId="2" priority="38" operator="greaterThanOrEqual">
      <formula>0.3</formula>
    </cfRule>
  </conditionalFormatting>
  <conditionalFormatting sqref="I11">
    <cfRule type="cellIs" dxfId="3" priority="39" operator="between">
      <formula>35</formula>
      <formula>1000</formula>
    </cfRule>
  </conditionalFormatting>
  <conditionalFormatting sqref="I11">
    <cfRule type="cellIs" dxfId="3" priority="40" operator="between">
      <formula>0.35</formula>
      <formula>10</formula>
    </cfRule>
  </conditionalFormatting>
  <conditionalFormatting sqref="H10">
    <cfRule type="cellIs" dxfId="0" priority="41" operator="greaterThanOrEqual">
      <formula>0.3</formula>
    </cfRule>
  </conditionalFormatting>
  <conditionalFormatting sqref="H10">
    <cfRule type="cellIs" dxfId="1" priority="42" operator="greaterThan">
      <formula>0.3</formula>
    </cfRule>
  </conditionalFormatting>
  <conditionalFormatting sqref="H10">
    <cfRule type="cellIs" dxfId="2" priority="43" operator="greaterThanOrEqual">
      <formula>0.3</formula>
    </cfRule>
  </conditionalFormatting>
  <conditionalFormatting sqref="I10">
    <cfRule type="cellIs" dxfId="3" priority="44" operator="between">
      <formula>35</formula>
      <formula>1000</formula>
    </cfRule>
  </conditionalFormatting>
  <conditionalFormatting sqref="I10">
    <cfRule type="cellIs" dxfId="3" priority="45" operator="between">
      <formula>0.35</formula>
      <formula>10</formula>
    </cfRule>
  </conditionalFormatting>
  <conditionalFormatting sqref="H9">
    <cfRule type="cellIs" dxfId="0" priority="46" operator="greaterThanOrEqual">
      <formula>0.3</formula>
    </cfRule>
  </conditionalFormatting>
  <conditionalFormatting sqref="H9">
    <cfRule type="cellIs" dxfId="1" priority="47" operator="greaterThan">
      <formula>0.3</formula>
    </cfRule>
  </conditionalFormatting>
  <conditionalFormatting sqref="H9">
    <cfRule type="cellIs" dxfId="2" priority="48" operator="greaterThanOrEqual">
      <formula>0.3</formula>
    </cfRule>
  </conditionalFormatting>
  <conditionalFormatting sqref="I9">
    <cfRule type="cellIs" dxfId="3" priority="49" operator="between">
      <formula>35</formula>
      <formula>1000</formula>
    </cfRule>
  </conditionalFormatting>
  <conditionalFormatting sqref="I9">
    <cfRule type="cellIs" dxfId="3" priority="50" operator="between">
      <formula>0.35</formula>
      <formula>10</formula>
    </cfRule>
  </conditionalFormatting>
  <conditionalFormatting sqref="H8">
    <cfRule type="cellIs" dxfId="0" priority="51" operator="greaterThanOrEqual">
      <formula>0.3</formula>
    </cfRule>
  </conditionalFormatting>
  <conditionalFormatting sqref="H8">
    <cfRule type="cellIs" dxfId="1" priority="52" operator="greaterThan">
      <formula>0.3</formula>
    </cfRule>
  </conditionalFormatting>
  <conditionalFormatting sqref="H8">
    <cfRule type="cellIs" dxfId="2" priority="53" operator="greaterThanOrEqual">
      <formula>0.3</formula>
    </cfRule>
  </conditionalFormatting>
  <conditionalFormatting sqref="I8">
    <cfRule type="cellIs" dxfId="3" priority="54" operator="between">
      <formula>35</formula>
      <formula>1000</formula>
    </cfRule>
  </conditionalFormatting>
  <conditionalFormatting sqref="I8">
    <cfRule type="cellIs" dxfId="3" priority="55" operator="between">
      <formula>0.35</formula>
      <formula>10</formula>
    </cfRule>
  </conditionalFormatting>
  <conditionalFormatting sqref="H3:H7">
    <cfRule type="cellIs" dxfId="0" priority="56" operator="greaterThanOrEqual">
      <formula>0.3</formula>
    </cfRule>
  </conditionalFormatting>
  <conditionalFormatting sqref="H3:H7">
    <cfRule type="cellIs" dxfId="1" priority="57" operator="greaterThan">
      <formula>0.3</formula>
    </cfRule>
  </conditionalFormatting>
  <conditionalFormatting sqref="H3:H7">
    <cfRule type="cellIs" dxfId="2" priority="58" operator="greaterThanOrEqual">
      <formula>0.3</formula>
    </cfRule>
  </conditionalFormatting>
  <conditionalFormatting sqref="I3:I7">
    <cfRule type="cellIs" dxfId="3" priority="59" operator="between">
      <formula>35</formula>
      <formula>1000</formula>
    </cfRule>
  </conditionalFormatting>
  <conditionalFormatting sqref="I3:I7">
    <cfRule type="cellIs" dxfId="3" priority="60" operator="between">
      <formula>0.35</formula>
      <formula>10</formula>
    </cfRule>
  </conditionalFormatting>
  <conditionalFormatting sqref="H2">
    <cfRule type="cellIs" dxfId="0" priority="61" operator="greaterThanOrEqual">
      <formula>0.3</formula>
    </cfRule>
  </conditionalFormatting>
  <conditionalFormatting sqref="H2">
    <cfRule type="cellIs" dxfId="1" priority="62" operator="greaterThan">
      <formula>0.3</formula>
    </cfRule>
  </conditionalFormatting>
  <conditionalFormatting sqref="H2">
    <cfRule type="cellIs" dxfId="2" priority="63" operator="greaterThanOrEqual">
      <formula>0.3</formula>
    </cfRule>
  </conditionalFormatting>
  <conditionalFormatting sqref="I2">
    <cfRule type="cellIs" dxfId="3" priority="64" operator="between">
      <formula>35</formula>
      <formula>1000</formula>
    </cfRule>
  </conditionalFormatting>
  <conditionalFormatting sqref="I2">
    <cfRule type="cellIs" dxfId="3" priority="65" operator="between">
      <formula>0.35</formula>
      <formula>10</formula>
    </cfRule>
  </conditionalFormatting>
  <conditionalFormatting sqref="A37:A410">
    <cfRule type="notContainsBlanks" dxfId="4" priority="66">
      <formula>LEN(TRIM(A37))&gt;0</formula>
    </cfRule>
  </conditionalFormatting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8.0" topLeftCell="A9" activePane="bottomLeft" state="frozen"/>
      <selection activeCell="B10" sqref="B10" pane="bottomLeft"/>
    </sheetView>
  </sheetViews>
  <sheetFormatPr customHeight="1" defaultColWidth="14.43" defaultRowHeight="15.0"/>
  <cols>
    <col customWidth="1" min="1" max="1" width="1.43"/>
    <col customWidth="1" min="2" max="2" width="17.57"/>
    <col customWidth="1" min="3" max="3" width="59.71"/>
    <col customWidth="1" min="4" max="4" width="50.14"/>
    <col customWidth="1" min="5" max="5" width="14.29"/>
    <col customWidth="1" min="6" max="6" width="11.57"/>
    <col customWidth="1" min="7" max="7" width="10.71"/>
    <col customWidth="1" min="8" max="8" width="11.43"/>
    <col customWidth="1" min="9" max="9" width="13.43"/>
    <col customWidth="1" hidden="1" min="10" max="10" width="11.57"/>
    <col customWidth="1" min="11" max="11" width="17.29"/>
    <col customWidth="1" min="12" max="12" width="17.71"/>
    <col customWidth="1" min="13" max="26" width="9.14"/>
  </cols>
  <sheetData>
    <row r="1">
      <c r="A1" s="129" t="s">
        <v>754</v>
      </c>
      <c r="B1" s="2" t="s">
        <v>1</v>
      </c>
      <c r="C1" s="3" t="s">
        <v>2</v>
      </c>
      <c r="D1" s="4"/>
      <c r="E1" s="5"/>
      <c r="F1" s="6"/>
      <c r="G1" s="6"/>
      <c r="H1" s="7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24.0" customHeight="1">
      <c r="A2" s="9"/>
      <c r="B2" s="259"/>
      <c r="C2" s="260"/>
      <c r="D2" s="261"/>
      <c r="E2" s="5"/>
      <c r="F2" s="6"/>
      <c r="G2" s="6"/>
      <c r="H2" s="7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9"/>
      <c r="B3" s="10"/>
      <c r="C3" s="11"/>
      <c r="D3" s="12"/>
      <c r="E3" s="5"/>
      <c r="F3" s="6"/>
      <c r="G3" s="6"/>
      <c r="H3" s="7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>
      <c r="A4" s="9"/>
      <c r="B4" s="13"/>
      <c r="C4" s="11"/>
      <c r="D4" s="12"/>
      <c r="E4" s="5"/>
      <c r="F4" s="6"/>
      <c r="G4" s="6"/>
      <c r="H4" s="7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>
      <c r="A5" s="9"/>
      <c r="B5" s="14"/>
      <c r="C5" s="15"/>
      <c r="D5" s="16"/>
      <c r="E5" s="5"/>
      <c r="F5" s="6"/>
      <c r="G5" s="6"/>
      <c r="H5" s="7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>
      <c r="A6" s="9"/>
      <c r="B6" s="17"/>
      <c r="C6" s="18"/>
      <c r="D6" s="19"/>
      <c r="E6" s="20"/>
      <c r="F6" s="21"/>
      <c r="G6" s="21"/>
      <c r="H6" s="22"/>
      <c r="I6" s="23"/>
      <c r="J6" s="23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>
      <c r="A7" s="9"/>
      <c r="B7" s="24" t="s">
        <v>4</v>
      </c>
      <c r="C7" s="25"/>
      <c r="D7" s="26" t="s">
        <v>5</v>
      </c>
      <c r="E7" s="27" t="s">
        <v>6</v>
      </c>
      <c r="F7" s="28"/>
      <c r="G7" s="28"/>
      <c r="H7" s="28"/>
      <c r="I7" s="28"/>
      <c r="J7" s="29"/>
      <c r="K7" s="27" t="s">
        <v>7</v>
      </c>
      <c r="L7" s="2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>
      <c r="A8" s="9"/>
      <c r="B8" s="30" t="s">
        <v>1</v>
      </c>
      <c r="C8" s="31" t="s">
        <v>2</v>
      </c>
      <c r="D8" s="30" t="s">
        <v>8</v>
      </c>
      <c r="E8" s="32" t="s">
        <v>9</v>
      </c>
      <c r="F8" s="33" t="s">
        <v>10</v>
      </c>
      <c r="G8" s="33" t="s">
        <v>11</v>
      </c>
      <c r="H8" s="33" t="s">
        <v>12</v>
      </c>
      <c r="I8" s="33" t="s">
        <v>13</v>
      </c>
      <c r="J8" s="34" t="s">
        <v>14</v>
      </c>
      <c r="K8" s="35" t="s">
        <v>15</v>
      </c>
      <c r="L8" s="35" t="s">
        <v>16</v>
      </c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>
      <c r="A9" s="9"/>
      <c r="B9" s="36">
        <v>1.00011968E8</v>
      </c>
      <c r="C9" s="37" t="s">
        <v>17</v>
      </c>
      <c r="D9" s="38" t="s">
        <v>18</v>
      </c>
      <c r="E9" s="39">
        <v>49813.0</v>
      </c>
      <c r="F9" s="40">
        <v>49813.0</v>
      </c>
      <c r="G9" s="40">
        <v>49813.0</v>
      </c>
      <c r="H9" s="41">
        <f t="shared" ref="H9:H722" si="1">SUM(E9:G9)/3</f>
        <v>49813</v>
      </c>
      <c r="I9" s="42">
        <f t="shared" ref="I9:I59" si="2">IF(ISERROR(MAX(E9:G9)/MIN(E9:G9)-1),"",(MAX(E9:G9)/MIN(E9:G9)-1))</f>
        <v>0</v>
      </c>
      <c r="J9" s="43">
        <f t="shared" ref="J9:J13" si="3">IF(ISERROR(MAX(E9:G9)/H9-1),"",(MAX(E9:G9)/H9-1))</f>
        <v>0</v>
      </c>
      <c r="K9" s="44">
        <v>45932.0</v>
      </c>
      <c r="L9" s="45">
        <f t="shared" ref="L9:L33" si="4">EDATE(K9,6)</f>
        <v>46114</v>
      </c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>
      <c r="A10" s="9"/>
      <c r="B10" s="36">
        <v>1.00011968E8</v>
      </c>
      <c r="C10" s="37" t="s">
        <v>17</v>
      </c>
      <c r="D10" s="46" t="s">
        <v>19</v>
      </c>
      <c r="E10" s="47">
        <v>79518.0</v>
      </c>
      <c r="F10" s="48">
        <v>76197.0</v>
      </c>
      <c r="G10" s="48">
        <v>74353.0</v>
      </c>
      <c r="H10" s="41">
        <f t="shared" si="1"/>
        <v>76689.33333</v>
      </c>
      <c r="I10" s="49">
        <f t="shared" si="2"/>
        <v>0.06946592606</v>
      </c>
      <c r="J10" s="43">
        <f t="shared" si="3"/>
        <v>0.03688474712</v>
      </c>
      <c r="K10" s="44">
        <v>45932.0</v>
      </c>
      <c r="L10" s="50">
        <f t="shared" si="4"/>
        <v>46114</v>
      </c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>
      <c r="A11" s="9"/>
      <c r="B11" s="36">
        <v>1.00011968E8</v>
      </c>
      <c r="C11" s="37" t="s">
        <v>17</v>
      </c>
      <c r="D11" s="51" t="s">
        <v>20</v>
      </c>
      <c r="E11" s="47">
        <v>111862.0</v>
      </c>
      <c r="F11" s="48">
        <v>111862.0</v>
      </c>
      <c r="G11" s="48">
        <v>111862.0</v>
      </c>
      <c r="H11" s="41">
        <f t="shared" si="1"/>
        <v>111862</v>
      </c>
      <c r="I11" s="49">
        <f t="shared" si="2"/>
        <v>0</v>
      </c>
      <c r="J11" s="43">
        <f t="shared" si="3"/>
        <v>0</v>
      </c>
      <c r="K11" s="44">
        <v>45932.0</v>
      </c>
      <c r="L11" s="50">
        <f t="shared" si="4"/>
        <v>46114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>
      <c r="A12" s="9"/>
      <c r="B12" s="36">
        <v>1.00011966E8</v>
      </c>
      <c r="C12" s="37" t="s">
        <v>21</v>
      </c>
      <c r="D12" s="52" t="s">
        <v>22</v>
      </c>
      <c r="E12" s="53">
        <v>23338.0</v>
      </c>
      <c r="F12" s="54">
        <v>22550.0</v>
      </c>
      <c r="G12" s="55">
        <v>22550.0</v>
      </c>
      <c r="H12" s="41">
        <f t="shared" si="1"/>
        <v>22812.66667</v>
      </c>
      <c r="I12" s="49">
        <f t="shared" si="2"/>
        <v>0.03494456763</v>
      </c>
      <c r="J12" s="43">
        <f t="shared" si="3"/>
        <v>0.02302814226</v>
      </c>
      <c r="K12" s="44">
        <v>45931.0</v>
      </c>
      <c r="L12" s="50">
        <f t="shared" si="4"/>
        <v>46113</v>
      </c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>
      <c r="A13" s="9"/>
      <c r="B13" s="36">
        <v>1.00011966E8</v>
      </c>
      <c r="C13" s="37" t="s">
        <v>21</v>
      </c>
      <c r="D13" s="46" t="s">
        <v>23</v>
      </c>
      <c r="E13" s="56">
        <v>102680.0</v>
      </c>
      <c r="F13" s="56">
        <v>102680.0</v>
      </c>
      <c r="G13" s="57">
        <v>102708.8</v>
      </c>
      <c r="H13" s="41">
        <f t="shared" si="1"/>
        <v>102689.6</v>
      </c>
      <c r="I13" s="49">
        <f t="shared" si="2"/>
        <v>0.0002804830541</v>
      </c>
      <c r="J13" s="43">
        <f t="shared" si="3"/>
        <v>0.000186971222</v>
      </c>
      <c r="K13" s="44">
        <v>45931.0</v>
      </c>
      <c r="L13" s="50">
        <f t="shared" si="4"/>
        <v>46113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>
      <c r="A14" s="9"/>
      <c r="B14" s="36">
        <v>1.00011966E8</v>
      </c>
      <c r="C14" s="37" t="s">
        <v>21</v>
      </c>
      <c r="D14" s="51" t="s">
        <v>24</v>
      </c>
      <c r="E14" s="56">
        <v>102656.0</v>
      </c>
      <c r="F14" s="57">
        <v>102656.0</v>
      </c>
      <c r="G14" s="57">
        <v>103154.0</v>
      </c>
      <c r="H14" s="41">
        <f t="shared" si="1"/>
        <v>102822</v>
      </c>
      <c r="I14" s="49">
        <f t="shared" si="2"/>
        <v>0.004851153367</v>
      </c>
      <c r="J14" s="43"/>
      <c r="K14" s="44">
        <v>45932.0</v>
      </c>
      <c r="L14" s="50">
        <f t="shared" si="4"/>
        <v>46114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>
      <c r="A15" s="9"/>
      <c r="B15" s="36">
        <v>1.00011966E8</v>
      </c>
      <c r="C15" s="37" t="s">
        <v>21</v>
      </c>
      <c r="D15" s="46" t="s">
        <v>25</v>
      </c>
      <c r="E15" s="56">
        <v>31725.0</v>
      </c>
      <c r="F15" s="57">
        <v>29900.0</v>
      </c>
      <c r="G15" s="57">
        <v>31725.0</v>
      </c>
      <c r="H15" s="41">
        <f t="shared" si="1"/>
        <v>31116.66667</v>
      </c>
      <c r="I15" s="49">
        <f t="shared" si="2"/>
        <v>0.0610367893</v>
      </c>
      <c r="J15" s="43">
        <f t="shared" ref="J15:J16" si="5">IF(ISERROR(MAX(E15:G15)/H15-1),"",(MAX(E15:G15)/H15-1))</f>
        <v>0.01955008034</v>
      </c>
      <c r="K15" s="58">
        <v>45932.0</v>
      </c>
      <c r="L15" s="50">
        <f t="shared" si="4"/>
        <v>46114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>
      <c r="A16" s="9"/>
      <c r="B16" s="36">
        <v>1.00011966E8</v>
      </c>
      <c r="C16" s="37" t="s">
        <v>21</v>
      </c>
      <c r="D16" s="59" t="s">
        <v>26</v>
      </c>
      <c r="E16" s="60">
        <v>93938.0</v>
      </c>
      <c r="F16" s="54">
        <v>93591.11</v>
      </c>
      <c r="G16" s="61">
        <v>93938.0</v>
      </c>
      <c r="H16" s="41">
        <f t="shared" si="1"/>
        <v>93822.37</v>
      </c>
      <c r="I16" s="49">
        <f t="shared" si="2"/>
        <v>0.003706441776</v>
      </c>
      <c r="J16" s="43">
        <f t="shared" si="5"/>
        <v>0.001232435292</v>
      </c>
      <c r="K16" s="58">
        <v>45932.0</v>
      </c>
      <c r="L16" s="45">
        <f t="shared" si="4"/>
        <v>46114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>
      <c r="A17" s="9"/>
      <c r="B17" s="36">
        <v>1.00011966E8</v>
      </c>
      <c r="C17" s="37" t="s">
        <v>21</v>
      </c>
      <c r="D17" s="59" t="s">
        <v>27</v>
      </c>
      <c r="E17" s="60">
        <v>38030.0</v>
      </c>
      <c r="F17" s="54">
        <v>39722.86</v>
      </c>
      <c r="G17" s="62">
        <v>37980.0</v>
      </c>
      <c r="H17" s="41">
        <f t="shared" si="1"/>
        <v>38577.62</v>
      </c>
      <c r="I17" s="49">
        <f t="shared" si="2"/>
        <v>0.04588888889</v>
      </c>
      <c r="J17" s="43"/>
      <c r="K17" s="58">
        <v>45931.0</v>
      </c>
      <c r="L17" s="45">
        <f t="shared" si="4"/>
        <v>46113</v>
      </c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>
      <c r="A18" s="9"/>
      <c r="B18" s="36">
        <v>1.00011966E8</v>
      </c>
      <c r="C18" s="37" t="s">
        <v>21</v>
      </c>
      <c r="D18" s="59" t="s">
        <v>28</v>
      </c>
      <c r="E18" s="60">
        <v>37122.0</v>
      </c>
      <c r="F18" s="54">
        <v>33133.33</v>
      </c>
      <c r="G18" s="61">
        <v>37122.0</v>
      </c>
      <c r="H18" s="41">
        <f t="shared" si="1"/>
        <v>35792.44333</v>
      </c>
      <c r="I18" s="49">
        <f t="shared" si="2"/>
        <v>0.1203824065</v>
      </c>
      <c r="J18" s="43"/>
      <c r="K18" s="58">
        <v>45932.0</v>
      </c>
      <c r="L18" s="45">
        <f t="shared" si="4"/>
        <v>46114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>
      <c r="A19" s="9"/>
      <c r="B19" s="36">
        <v>1.00011966E8</v>
      </c>
      <c r="C19" s="37" t="s">
        <v>21</v>
      </c>
      <c r="D19" s="59" t="s">
        <v>29</v>
      </c>
      <c r="E19" s="60">
        <v>39663.0</v>
      </c>
      <c r="F19" s="54">
        <v>40539.92</v>
      </c>
      <c r="G19" s="54">
        <v>37000.0</v>
      </c>
      <c r="H19" s="41">
        <f t="shared" si="1"/>
        <v>39067.64</v>
      </c>
      <c r="I19" s="49">
        <f t="shared" si="2"/>
        <v>0.09567351351</v>
      </c>
      <c r="J19" s="43">
        <f>IF(ISERROR(MAX(E19:G19)/H19-1),"",(MAX(E19:G19)/H19-1))</f>
        <v>0.0376854092</v>
      </c>
      <c r="K19" s="58">
        <v>45932.0</v>
      </c>
      <c r="L19" s="45">
        <f t="shared" si="4"/>
        <v>46114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>
      <c r="A20" s="9"/>
      <c r="B20" s="36">
        <v>1.00011966E8</v>
      </c>
      <c r="C20" s="37" t="s">
        <v>21</v>
      </c>
      <c r="D20" s="59" t="s">
        <v>30</v>
      </c>
      <c r="E20" s="60">
        <v>67299.0</v>
      </c>
      <c r="F20" s="54">
        <v>67299.0</v>
      </c>
      <c r="G20" s="54">
        <v>66262.0</v>
      </c>
      <c r="H20" s="41">
        <f t="shared" si="1"/>
        <v>66953.33333</v>
      </c>
      <c r="I20" s="49">
        <f t="shared" si="2"/>
        <v>0.01564999547</v>
      </c>
      <c r="J20" s="43"/>
      <c r="K20" s="58">
        <v>45931.0</v>
      </c>
      <c r="L20" s="45">
        <f t="shared" si="4"/>
        <v>46113</v>
      </c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5.75" customHeight="1">
      <c r="A21" s="9"/>
      <c r="B21" s="36">
        <v>1.00011973E8</v>
      </c>
      <c r="C21" s="37" t="s">
        <v>31</v>
      </c>
      <c r="D21" s="59" t="s">
        <v>32</v>
      </c>
      <c r="E21" s="60">
        <v>44651.0</v>
      </c>
      <c r="F21" s="54">
        <v>44651.0</v>
      </c>
      <c r="G21" s="54">
        <v>44651.0</v>
      </c>
      <c r="H21" s="41">
        <f t="shared" si="1"/>
        <v>44651</v>
      </c>
      <c r="I21" s="49">
        <f t="shared" si="2"/>
        <v>0</v>
      </c>
      <c r="J21" s="43">
        <f t="shared" ref="J21:J24" si="6">IF(ISERROR(MAX(E21:G21)/H21-1),"",(MAX(E21:G21)/H21-1))</f>
        <v>0</v>
      </c>
      <c r="K21" s="58">
        <v>45932.0</v>
      </c>
      <c r="L21" s="50">
        <f t="shared" si="4"/>
        <v>46114</v>
      </c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5.75" customHeight="1">
      <c r="A22" s="9"/>
      <c r="B22" s="36">
        <v>1.00011972E8</v>
      </c>
      <c r="C22" s="37" t="s">
        <v>33</v>
      </c>
      <c r="D22" s="51" t="s">
        <v>34</v>
      </c>
      <c r="E22" s="63">
        <v>39278.0</v>
      </c>
      <c r="F22" s="54">
        <v>38992.0</v>
      </c>
      <c r="G22" s="54">
        <v>39278.0</v>
      </c>
      <c r="H22" s="41">
        <f t="shared" si="1"/>
        <v>39182.66667</v>
      </c>
      <c r="I22" s="49">
        <f t="shared" si="2"/>
        <v>0.007334837915</v>
      </c>
      <c r="J22" s="43">
        <f t="shared" si="6"/>
        <v>0.002433048627</v>
      </c>
      <c r="K22" s="58">
        <v>45932.0</v>
      </c>
      <c r="L22" s="50">
        <f t="shared" si="4"/>
        <v>46114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5.75" customHeight="1">
      <c r="A23" s="9"/>
      <c r="B23" s="36">
        <v>1.00012246E8</v>
      </c>
      <c r="C23" s="37" t="s">
        <v>35</v>
      </c>
      <c r="D23" s="46" t="s">
        <v>36</v>
      </c>
      <c r="E23" s="64">
        <v>418.0</v>
      </c>
      <c r="F23" s="65">
        <v>430.2</v>
      </c>
      <c r="G23" s="65">
        <v>436.0</v>
      </c>
      <c r="H23" s="41">
        <f t="shared" si="1"/>
        <v>428.0666667</v>
      </c>
      <c r="I23" s="49">
        <f t="shared" si="2"/>
        <v>0.04306220096</v>
      </c>
      <c r="J23" s="43">
        <f t="shared" si="6"/>
        <v>0.01853293879</v>
      </c>
      <c r="K23" s="58">
        <v>45799.0</v>
      </c>
      <c r="L23" s="50">
        <f t="shared" si="4"/>
        <v>45983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5.75" customHeight="1">
      <c r="A24" s="9"/>
      <c r="B24" s="36">
        <v>1.00012804E8</v>
      </c>
      <c r="C24" s="66" t="s">
        <v>37</v>
      </c>
      <c r="D24" s="67" t="s">
        <v>38</v>
      </c>
      <c r="E24" s="64">
        <v>733.22</v>
      </c>
      <c r="F24" s="54">
        <v>919.0</v>
      </c>
      <c r="G24" s="54">
        <v>999.9</v>
      </c>
      <c r="H24" s="41">
        <f t="shared" si="1"/>
        <v>884.04</v>
      </c>
      <c r="I24" s="49">
        <f t="shared" si="2"/>
        <v>0.3637107553</v>
      </c>
      <c r="J24" s="43">
        <f t="shared" si="6"/>
        <v>0.1310574182</v>
      </c>
      <c r="K24" s="58">
        <v>45938.0</v>
      </c>
      <c r="L24" s="50">
        <f t="shared" si="4"/>
        <v>46120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5.75" customHeight="1">
      <c r="A25" s="9"/>
      <c r="B25" s="133">
        <v>1.00010436E8</v>
      </c>
      <c r="C25" s="66" t="s">
        <v>39</v>
      </c>
      <c r="D25" s="67" t="s">
        <v>40</v>
      </c>
      <c r="E25" s="63">
        <v>1568.64</v>
      </c>
      <c r="F25" s="54">
        <v>1951.58</v>
      </c>
      <c r="G25" s="54">
        <v>1650.0</v>
      </c>
      <c r="H25" s="41">
        <f t="shared" si="1"/>
        <v>1723.406667</v>
      </c>
      <c r="I25" s="49">
        <f t="shared" si="2"/>
        <v>0.244122297</v>
      </c>
      <c r="J25" s="43"/>
      <c r="K25" s="78"/>
      <c r="L25" s="50">
        <f t="shared" si="4"/>
        <v>182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5.75" customHeight="1">
      <c r="A26" s="9"/>
      <c r="B26" s="36">
        <v>1.00010439E8</v>
      </c>
      <c r="C26" s="37" t="s">
        <v>41</v>
      </c>
      <c r="D26" s="46" t="s">
        <v>42</v>
      </c>
      <c r="E26" s="64">
        <v>1370.0</v>
      </c>
      <c r="F26" s="65">
        <v>1659.9</v>
      </c>
      <c r="G26" s="65">
        <v>1399.0</v>
      </c>
      <c r="H26" s="41">
        <f t="shared" si="1"/>
        <v>1476.3</v>
      </c>
      <c r="I26" s="49">
        <f t="shared" si="2"/>
        <v>0.2116058394</v>
      </c>
      <c r="J26" s="43"/>
      <c r="K26" s="78"/>
      <c r="L26" s="50">
        <f t="shared" si="4"/>
        <v>182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5.75" customHeight="1">
      <c r="A27" s="9"/>
      <c r="B27" s="36">
        <v>1.00010435E8</v>
      </c>
      <c r="C27" s="37" t="s">
        <v>43</v>
      </c>
      <c r="D27" s="67" t="s">
        <v>42</v>
      </c>
      <c r="E27" s="63">
        <v>1128.29</v>
      </c>
      <c r="F27" s="54">
        <v>1129.5</v>
      </c>
      <c r="G27" s="54">
        <v>1288.0</v>
      </c>
      <c r="H27" s="41">
        <f t="shared" si="1"/>
        <v>1181.93</v>
      </c>
      <c r="I27" s="49">
        <f t="shared" si="2"/>
        <v>0.1415504879</v>
      </c>
      <c r="J27" s="43"/>
      <c r="K27" s="58">
        <v>45938.0</v>
      </c>
      <c r="L27" s="50">
        <f t="shared" si="4"/>
        <v>46120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5.75" customHeight="1">
      <c r="A28" s="9"/>
      <c r="B28" s="36">
        <v>1.00010435E8</v>
      </c>
      <c r="C28" s="37" t="s">
        <v>43</v>
      </c>
      <c r="D28" s="67" t="s">
        <v>44</v>
      </c>
      <c r="E28" s="63">
        <v>1509.3</v>
      </c>
      <c r="F28" s="54">
        <v>1648.0</v>
      </c>
      <c r="G28" s="54">
        <v>1669.72</v>
      </c>
      <c r="H28" s="41">
        <f t="shared" si="1"/>
        <v>1609.006667</v>
      </c>
      <c r="I28" s="49">
        <f t="shared" si="2"/>
        <v>0.106287683</v>
      </c>
      <c r="J28" s="43"/>
      <c r="K28" s="58">
        <v>45938.0</v>
      </c>
      <c r="L28" s="50">
        <f t="shared" si="4"/>
        <v>46120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5.75" customHeight="1">
      <c r="A29" s="9"/>
      <c r="B29" s="81">
        <v>1.00011373E8</v>
      </c>
      <c r="C29" s="82" t="s">
        <v>45</v>
      </c>
      <c r="D29" s="83"/>
      <c r="E29" s="64">
        <v>1297.0</v>
      </c>
      <c r="F29" s="65">
        <v>1468.5</v>
      </c>
      <c r="G29" s="65">
        <v>1590.0</v>
      </c>
      <c r="H29" s="41">
        <f t="shared" si="1"/>
        <v>1451.833333</v>
      </c>
      <c r="I29" s="49">
        <f t="shared" si="2"/>
        <v>0.2259059368</v>
      </c>
      <c r="J29" s="43">
        <f t="shared" ref="J29:J33" si="7">IF(ISERROR(MAX(E29:G29)/H29-1),"",(MAX(E29:G29)/H29-1))</f>
        <v>0.09516703019</v>
      </c>
      <c r="K29" s="78"/>
      <c r="L29" s="50">
        <f t="shared" si="4"/>
        <v>182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5.75" customHeight="1">
      <c r="A30" s="9"/>
      <c r="B30" s="36">
        <v>1.00002346E8</v>
      </c>
      <c r="C30" s="37" t="s">
        <v>46</v>
      </c>
      <c r="D30" s="46"/>
      <c r="E30" s="225">
        <v>307.67</v>
      </c>
      <c r="F30" s="65">
        <v>276.55</v>
      </c>
      <c r="G30" s="65">
        <v>285.0</v>
      </c>
      <c r="H30" s="41">
        <f t="shared" si="1"/>
        <v>289.74</v>
      </c>
      <c r="I30" s="49">
        <f t="shared" si="2"/>
        <v>0.1125293799</v>
      </c>
      <c r="J30" s="43">
        <f t="shared" si="7"/>
        <v>0.06188306758</v>
      </c>
      <c r="K30" s="58">
        <v>45814.0</v>
      </c>
      <c r="L30" s="50">
        <f t="shared" si="4"/>
        <v>45997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5.75" customHeight="1">
      <c r="A31" s="9"/>
      <c r="B31" s="36">
        <v>1.00002356E8</v>
      </c>
      <c r="C31" s="37" t="s">
        <v>47</v>
      </c>
      <c r="D31" s="46"/>
      <c r="E31" s="64">
        <v>3780.0</v>
      </c>
      <c r="F31" s="65">
        <v>3780.0</v>
      </c>
      <c r="G31" s="65">
        <v>4751.05</v>
      </c>
      <c r="H31" s="41">
        <f t="shared" si="1"/>
        <v>4103.683333</v>
      </c>
      <c r="I31" s="49">
        <f t="shared" si="2"/>
        <v>0.2568915344</v>
      </c>
      <c r="J31" s="43">
        <f t="shared" si="7"/>
        <v>0.1577525881</v>
      </c>
      <c r="K31" s="58">
        <v>45799.0</v>
      </c>
      <c r="L31" s="45">
        <f t="shared" si="4"/>
        <v>45983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5.75" customHeight="1">
      <c r="A32" s="9"/>
      <c r="B32" s="36">
        <v>1.00010489E8</v>
      </c>
      <c r="C32" s="37" t="s">
        <v>48</v>
      </c>
      <c r="D32" s="46" t="s">
        <v>49</v>
      </c>
      <c r="E32" s="87">
        <v>172.0</v>
      </c>
      <c r="F32" s="88">
        <v>179.9</v>
      </c>
      <c r="G32" s="88">
        <v>173.87</v>
      </c>
      <c r="H32" s="41">
        <f t="shared" si="1"/>
        <v>175.2566667</v>
      </c>
      <c r="I32" s="49">
        <f t="shared" si="2"/>
        <v>0.04593023256</v>
      </c>
      <c r="J32" s="43">
        <f t="shared" si="7"/>
        <v>0.02649447477</v>
      </c>
      <c r="K32" s="58">
        <v>45814.0</v>
      </c>
      <c r="L32" s="50">
        <f t="shared" si="4"/>
        <v>45997</v>
      </c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5.75" customHeight="1">
      <c r="A33" s="9"/>
      <c r="B33" s="36">
        <v>1.00012795E8</v>
      </c>
      <c r="C33" s="37" t="s">
        <v>50</v>
      </c>
      <c r="D33" s="46"/>
      <c r="E33" s="87">
        <v>3399.0</v>
      </c>
      <c r="F33" s="88">
        <v>3632.59</v>
      </c>
      <c r="G33" s="88">
        <v>3420.48</v>
      </c>
      <c r="H33" s="41">
        <f t="shared" si="1"/>
        <v>3484.023333</v>
      </c>
      <c r="I33" s="49">
        <f t="shared" si="2"/>
        <v>0.06872315387</v>
      </c>
      <c r="J33" s="43">
        <f t="shared" si="7"/>
        <v>0.04264227086</v>
      </c>
      <c r="K33" s="58">
        <v>45814.0</v>
      </c>
      <c r="L33" s="50">
        <f t="shared" si="4"/>
        <v>45997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5.75" customHeight="1">
      <c r="A34" s="9"/>
      <c r="B34" s="81">
        <v>1.00002305E8</v>
      </c>
      <c r="C34" s="89" t="s">
        <v>51</v>
      </c>
      <c r="D34" s="90"/>
      <c r="E34" s="91">
        <v>4693.9</v>
      </c>
      <c r="F34" s="88">
        <v>4618.58</v>
      </c>
      <c r="G34" s="88">
        <v>4999.99</v>
      </c>
      <c r="H34" s="41">
        <f t="shared" si="1"/>
        <v>4770.823333</v>
      </c>
      <c r="I34" s="92">
        <f t="shared" si="2"/>
        <v>0.0825816593</v>
      </c>
      <c r="J34" s="93">
        <v>25092.35</v>
      </c>
      <c r="K34" s="78"/>
      <c r="L34" s="50">
        <v>44680.0</v>
      </c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5.75" customHeight="1">
      <c r="A35" s="9"/>
      <c r="B35" s="81">
        <v>1.00012598E8</v>
      </c>
      <c r="C35" s="94" t="s">
        <v>52</v>
      </c>
      <c r="D35" s="83"/>
      <c r="E35" s="91">
        <v>357.28</v>
      </c>
      <c r="F35" s="88">
        <v>299.9</v>
      </c>
      <c r="G35" s="88">
        <v>363.0</v>
      </c>
      <c r="H35" s="41">
        <f t="shared" si="1"/>
        <v>340.06</v>
      </c>
      <c r="I35" s="49">
        <f t="shared" si="2"/>
        <v>0.2104034678</v>
      </c>
      <c r="J35" s="43">
        <f t="shared" ref="J35:J36" si="8">IF(ISERROR(MAX(E35:G35)/H35-1),"",(MAX(E35:G35)/H35-1))</f>
        <v>0.06745868376</v>
      </c>
      <c r="K35" s="78"/>
      <c r="L35" s="50">
        <f t="shared" ref="L35:L36" si="9">EDATE(K35,6)</f>
        <v>182</v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5.75" customHeight="1">
      <c r="A36" s="9"/>
      <c r="B36" s="81">
        <v>1.00012911E8</v>
      </c>
      <c r="C36" s="89" t="s">
        <v>53</v>
      </c>
      <c r="D36" s="90"/>
      <c r="E36" s="95">
        <v>539.9</v>
      </c>
      <c r="F36" s="65">
        <v>589.0</v>
      </c>
      <c r="G36" s="96">
        <v>515.0</v>
      </c>
      <c r="H36" s="41">
        <f t="shared" si="1"/>
        <v>547.9666667</v>
      </c>
      <c r="I36" s="92">
        <f t="shared" si="2"/>
        <v>0.1436893204</v>
      </c>
      <c r="J36" s="43">
        <f t="shared" si="8"/>
        <v>0.07488290042</v>
      </c>
      <c r="K36" s="78"/>
      <c r="L36" s="50">
        <f t="shared" si="9"/>
        <v>182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5.75" customHeight="1">
      <c r="A37" s="9"/>
      <c r="B37" s="81">
        <v>1.00010595E8</v>
      </c>
      <c r="C37" s="89" t="s">
        <v>54</v>
      </c>
      <c r="D37" s="83"/>
      <c r="E37" s="95">
        <v>5239.7</v>
      </c>
      <c r="F37" s="65">
        <v>5599.0</v>
      </c>
      <c r="G37" s="96">
        <v>4319.0</v>
      </c>
      <c r="H37" s="41">
        <f t="shared" si="1"/>
        <v>5052.566667</v>
      </c>
      <c r="I37" s="92">
        <f t="shared" si="2"/>
        <v>0.2963648993</v>
      </c>
      <c r="J37" s="43"/>
      <c r="K37" s="78"/>
      <c r="L37" s="50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5.75" customHeight="1">
      <c r="A38" s="9"/>
      <c r="B38" s="81">
        <v>1.00012592E8</v>
      </c>
      <c r="C38" s="89" t="s">
        <v>55</v>
      </c>
      <c r="D38" s="83"/>
      <c r="E38" s="95">
        <v>7990.0</v>
      </c>
      <c r="F38" s="65">
        <v>7479.06</v>
      </c>
      <c r="G38" s="96">
        <v>7973.0</v>
      </c>
      <c r="H38" s="41">
        <f t="shared" si="1"/>
        <v>7814.02</v>
      </c>
      <c r="I38" s="92">
        <f t="shared" si="2"/>
        <v>0.06831607181</v>
      </c>
      <c r="J38" s="43"/>
      <c r="K38" s="78"/>
      <c r="L38" s="50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5.75" customHeight="1">
      <c r="A39" s="9"/>
      <c r="B39" s="97">
        <v>1.00012607E8</v>
      </c>
      <c r="C39" s="98" t="s">
        <v>56</v>
      </c>
      <c r="D39" s="83"/>
      <c r="E39" s="95">
        <v>984.87</v>
      </c>
      <c r="F39" s="65">
        <v>1012.77</v>
      </c>
      <c r="G39" s="96">
        <v>1136.75</v>
      </c>
      <c r="H39" s="41">
        <f t="shared" si="1"/>
        <v>1044.796667</v>
      </c>
      <c r="I39" s="49">
        <f t="shared" si="2"/>
        <v>0.1542132464</v>
      </c>
      <c r="J39" s="43"/>
      <c r="K39" s="78"/>
      <c r="L39" s="50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5.75" customHeight="1">
      <c r="A40" s="9"/>
      <c r="B40" s="81">
        <v>1.00012917E8</v>
      </c>
      <c r="C40" s="89" t="s">
        <v>57</v>
      </c>
      <c r="D40" s="83"/>
      <c r="E40" s="95">
        <v>21428.56</v>
      </c>
      <c r="F40" s="65">
        <v>18720.0</v>
      </c>
      <c r="G40" s="96">
        <v>18997.95</v>
      </c>
      <c r="H40" s="41">
        <f t="shared" si="1"/>
        <v>19715.50333</v>
      </c>
      <c r="I40" s="49">
        <f t="shared" si="2"/>
        <v>0.1446880342</v>
      </c>
      <c r="J40" s="43"/>
      <c r="K40" s="78"/>
      <c r="L40" s="50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5.75" customHeight="1">
      <c r="A41" s="9"/>
      <c r="B41" s="81">
        <v>1.00010474E8</v>
      </c>
      <c r="C41" s="89" t="s">
        <v>58</v>
      </c>
      <c r="D41" s="83"/>
      <c r="E41" s="95">
        <v>1771.54</v>
      </c>
      <c r="F41" s="65">
        <v>2045.0</v>
      </c>
      <c r="G41" s="96">
        <v>2065.5</v>
      </c>
      <c r="H41" s="41">
        <f t="shared" si="1"/>
        <v>1960.68</v>
      </c>
      <c r="I41" s="49">
        <f t="shared" si="2"/>
        <v>0.1659347235</v>
      </c>
      <c r="J41" s="43"/>
      <c r="K41" s="78"/>
      <c r="L41" s="50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5.75" customHeight="1">
      <c r="A42" s="9"/>
      <c r="B42" s="81">
        <v>1.00012268E8</v>
      </c>
      <c r="C42" s="89" t="s">
        <v>59</v>
      </c>
      <c r="D42" s="83"/>
      <c r="E42" s="95">
        <v>1834.2</v>
      </c>
      <c r="F42" s="65">
        <v>1834.2</v>
      </c>
      <c r="G42" s="96">
        <v>2119.11</v>
      </c>
      <c r="H42" s="41">
        <f t="shared" si="1"/>
        <v>1929.17</v>
      </c>
      <c r="I42" s="49">
        <f t="shared" si="2"/>
        <v>0.1553320249</v>
      </c>
      <c r="J42" s="43"/>
      <c r="K42" s="78"/>
      <c r="L42" s="50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5.75" customHeight="1">
      <c r="A43" s="9"/>
      <c r="B43" s="81">
        <v>1.00012882E8</v>
      </c>
      <c r="C43" s="89" t="s">
        <v>60</v>
      </c>
      <c r="D43" s="83"/>
      <c r="E43" s="95">
        <v>8300.0</v>
      </c>
      <c r="F43" s="65">
        <v>8065.5</v>
      </c>
      <c r="G43" s="96">
        <v>8490.0</v>
      </c>
      <c r="H43" s="41">
        <f t="shared" si="1"/>
        <v>8285.166667</v>
      </c>
      <c r="I43" s="49">
        <f t="shared" si="2"/>
        <v>0.05263157895</v>
      </c>
      <c r="J43" s="43"/>
      <c r="K43" s="78"/>
      <c r="L43" s="50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5.75" customHeight="1">
      <c r="A44" s="9"/>
      <c r="B44" s="81">
        <v>1.00012582E8</v>
      </c>
      <c r="C44" s="89" t="s">
        <v>61</v>
      </c>
      <c r="D44" s="83"/>
      <c r="E44" s="95">
        <v>6168.0</v>
      </c>
      <c r="F44" s="65">
        <v>7473.63</v>
      </c>
      <c r="G44" s="96">
        <v>7978.05</v>
      </c>
      <c r="H44" s="41">
        <f t="shared" si="1"/>
        <v>7206.56</v>
      </c>
      <c r="I44" s="49">
        <f t="shared" si="2"/>
        <v>0.2934581712</v>
      </c>
      <c r="J44" s="43"/>
      <c r="K44" s="78"/>
      <c r="L44" s="50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5.75" customHeight="1">
      <c r="A45" s="9"/>
      <c r="B45" s="81">
        <v>1.0001286E8</v>
      </c>
      <c r="C45" s="89" t="s">
        <v>62</v>
      </c>
      <c r="D45" s="83"/>
      <c r="E45" s="95">
        <v>8300.0</v>
      </c>
      <c r="F45" s="65">
        <v>8500.0</v>
      </c>
      <c r="G45" s="96">
        <v>9135.0</v>
      </c>
      <c r="H45" s="41">
        <f t="shared" si="1"/>
        <v>8645</v>
      </c>
      <c r="I45" s="49">
        <f t="shared" si="2"/>
        <v>0.1006024096</v>
      </c>
      <c r="J45" s="43"/>
      <c r="K45" s="78"/>
      <c r="L45" s="50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5.75" customHeight="1">
      <c r="A46" s="9"/>
      <c r="B46" s="81">
        <v>1.00012595E8</v>
      </c>
      <c r="C46" s="89" t="s">
        <v>63</v>
      </c>
      <c r="D46" s="83"/>
      <c r="E46" s="95">
        <v>230.41</v>
      </c>
      <c r="F46" s="65">
        <v>298.43</v>
      </c>
      <c r="G46" s="96">
        <v>231.66</v>
      </c>
      <c r="H46" s="41">
        <f t="shared" si="1"/>
        <v>253.5</v>
      </c>
      <c r="I46" s="49">
        <f t="shared" si="2"/>
        <v>0.2952128814</v>
      </c>
      <c r="J46" s="43"/>
      <c r="K46" s="78"/>
      <c r="L46" s="50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5.75" customHeight="1">
      <c r="A47" s="9"/>
      <c r="B47" s="81">
        <v>1.00010473E8</v>
      </c>
      <c r="C47" s="89" t="s">
        <v>64</v>
      </c>
      <c r="D47" s="83"/>
      <c r="E47" s="95">
        <v>339.9</v>
      </c>
      <c r="F47" s="65">
        <v>300.0</v>
      </c>
      <c r="G47" s="96">
        <v>364.1</v>
      </c>
      <c r="H47" s="41">
        <f t="shared" si="1"/>
        <v>334.6666667</v>
      </c>
      <c r="I47" s="49">
        <f t="shared" si="2"/>
        <v>0.2136666667</v>
      </c>
      <c r="J47" s="43"/>
      <c r="K47" s="58">
        <v>45855.0</v>
      </c>
      <c r="L47" s="50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5.75" customHeight="1">
      <c r="A48" s="9"/>
      <c r="B48" s="36">
        <v>1.00012601E8</v>
      </c>
      <c r="C48" s="99" t="s">
        <v>65</v>
      </c>
      <c r="D48" s="46" t="s">
        <v>66</v>
      </c>
      <c r="E48" s="95">
        <v>2690.9</v>
      </c>
      <c r="F48" s="65">
        <v>2690.0</v>
      </c>
      <c r="G48" s="96">
        <v>2600.0</v>
      </c>
      <c r="H48" s="41">
        <f t="shared" si="1"/>
        <v>2660.3</v>
      </c>
      <c r="I48" s="49">
        <f t="shared" si="2"/>
        <v>0.03496153846</v>
      </c>
      <c r="J48" s="43"/>
      <c r="K48" s="78"/>
      <c r="L48" s="50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5.75" customHeight="1">
      <c r="A49" s="9"/>
      <c r="B49" s="36">
        <v>1.00012601E8</v>
      </c>
      <c r="C49" s="99" t="s">
        <v>65</v>
      </c>
      <c r="D49" s="46" t="s">
        <v>67</v>
      </c>
      <c r="E49" s="95">
        <v>664.05</v>
      </c>
      <c r="F49" s="65">
        <v>790.0</v>
      </c>
      <c r="G49" s="96">
        <v>652.17</v>
      </c>
      <c r="H49" s="41">
        <f t="shared" si="1"/>
        <v>702.0733333</v>
      </c>
      <c r="I49" s="49">
        <f t="shared" si="2"/>
        <v>0.2113406014</v>
      </c>
      <c r="J49" s="43"/>
      <c r="K49" s="78"/>
      <c r="L49" s="50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5.75" customHeight="1">
      <c r="A50" s="9"/>
      <c r="B50" s="81">
        <v>1.00012861E8</v>
      </c>
      <c r="C50" s="89" t="s">
        <v>68</v>
      </c>
      <c r="D50" s="83" t="s">
        <v>69</v>
      </c>
      <c r="E50" s="95">
        <v>555.14</v>
      </c>
      <c r="F50" s="65">
        <v>520.71</v>
      </c>
      <c r="G50" s="96">
        <v>599.71</v>
      </c>
      <c r="H50" s="41">
        <f t="shared" si="1"/>
        <v>558.52</v>
      </c>
      <c r="I50" s="49">
        <f t="shared" si="2"/>
        <v>0.1517159263</v>
      </c>
      <c r="J50" s="43"/>
      <c r="K50" s="78"/>
      <c r="L50" s="50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9"/>
      <c r="B51" s="81">
        <v>1.00012861E8</v>
      </c>
      <c r="C51" s="89" t="s">
        <v>68</v>
      </c>
      <c r="D51" s="83" t="s">
        <v>70</v>
      </c>
      <c r="E51" s="95">
        <v>1165.56</v>
      </c>
      <c r="F51" s="65">
        <v>1296.09</v>
      </c>
      <c r="G51" s="96">
        <v>1359.15</v>
      </c>
      <c r="H51" s="41">
        <f t="shared" si="1"/>
        <v>1273.6</v>
      </c>
      <c r="I51" s="49">
        <f t="shared" si="2"/>
        <v>0.1660918357</v>
      </c>
      <c r="J51" s="43"/>
      <c r="K51" s="78"/>
      <c r="L51" s="50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9"/>
      <c r="B52" s="81">
        <v>1.00012861E8</v>
      </c>
      <c r="C52" s="89" t="s">
        <v>68</v>
      </c>
      <c r="D52" s="83" t="s">
        <v>71</v>
      </c>
      <c r="E52" s="95">
        <v>4663.33</v>
      </c>
      <c r="F52" s="65">
        <v>5099.15</v>
      </c>
      <c r="G52" s="96">
        <v>5319.91</v>
      </c>
      <c r="H52" s="41">
        <f t="shared" si="1"/>
        <v>5027.463333</v>
      </c>
      <c r="I52" s="49">
        <f t="shared" si="2"/>
        <v>0.1407963837</v>
      </c>
      <c r="J52" s="43"/>
      <c r="K52" s="78"/>
      <c r="L52" s="50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9"/>
      <c r="B53" s="262">
        <v>1.00012861E8</v>
      </c>
      <c r="C53" s="263" t="s">
        <v>68</v>
      </c>
      <c r="D53" s="170" t="s">
        <v>72</v>
      </c>
      <c r="E53" s="161">
        <v>10576.72</v>
      </c>
      <c r="F53" s="154"/>
      <c r="G53" s="153"/>
      <c r="H53" s="155">
        <f t="shared" si="1"/>
        <v>3525.573333</v>
      </c>
      <c r="I53" s="156">
        <f t="shared" si="2"/>
        <v>0</v>
      </c>
      <c r="J53" s="157"/>
      <c r="K53" s="165"/>
      <c r="L53" s="15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9"/>
      <c r="B54" s="81">
        <v>1.00012861E8</v>
      </c>
      <c r="C54" s="89" t="s">
        <v>68</v>
      </c>
      <c r="D54" s="83" t="s">
        <v>73</v>
      </c>
      <c r="E54" s="95">
        <v>2178.99</v>
      </c>
      <c r="F54" s="65">
        <v>2449.0</v>
      </c>
      <c r="G54" s="96">
        <v>2984.0</v>
      </c>
      <c r="H54" s="41">
        <f t="shared" si="1"/>
        <v>2537.33</v>
      </c>
      <c r="I54" s="49">
        <f t="shared" si="2"/>
        <v>0.3694418056</v>
      </c>
      <c r="J54" s="43"/>
      <c r="K54" s="78"/>
      <c r="L54" s="50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9"/>
      <c r="B55" s="81">
        <v>1.00010686E8</v>
      </c>
      <c r="C55" s="89" t="s">
        <v>74</v>
      </c>
      <c r="D55" s="83" t="s">
        <v>75</v>
      </c>
      <c r="E55" s="95">
        <v>3465.51</v>
      </c>
      <c r="F55" s="65">
        <v>3999.0</v>
      </c>
      <c r="G55" s="96">
        <v>3156.7</v>
      </c>
      <c r="H55" s="41">
        <f t="shared" si="1"/>
        <v>3540.403333</v>
      </c>
      <c r="I55" s="49">
        <f t="shared" si="2"/>
        <v>0.2668292837</v>
      </c>
      <c r="J55" s="43"/>
      <c r="K55" s="78"/>
      <c r="L55" s="50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9"/>
      <c r="B56" s="81">
        <v>1.00012332E8</v>
      </c>
      <c r="C56" s="89" t="s">
        <v>683</v>
      </c>
      <c r="D56" s="83"/>
      <c r="E56" s="95">
        <v>5590.0</v>
      </c>
      <c r="F56" s="65">
        <v>6957.0</v>
      </c>
      <c r="G56" s="96">
        <v>5410.0</v>
      </c>
      <c r="H56" s="41">
        <f t="shared" si="1"/>
        <v>5985.666667</v>
      </c>
      <c r="I56" s="49">
        <f t="shared" si="2"/>
        <v>0.2859519409</v>
      </c>
      <c r="J56" s="43"/>
      <c r="K56" s="78"/>
      <c r="L56" s="50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9"/>
      <c r="B57" s="81">
        <v>1.00012342E8</v>
      </c>
      <c r="C57" s="89" t="s">
        <v>76</v>
      </c>
      <c r="D57" s="83"/>
      <c r="E57" s="95">
        <v>2381.1</v>
      </c>
      <c r="F57" s="65">
        <v>2480.5</v>
      </c>
      <c r="G57" s="96">
        <v>2373.84</v>
      </c>
      <c r="H57" s="41">
        <f t="shared" si="1"/>
        <v>2411.813333</v>
      </c>
      <c r="I57" s="49">
        <f t="shared" si="2"/>
        <v>0.04493141914</v>
      </c>
      <c r="J57" s="43"/>
      <c r="K57" s="78"/>
      <c r="L57" s="50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9"/>
      <c r="B58" s="81">
        <v>1.00012838E8</v>
      </c>
      <c r="C58" s="89" t="s">
        <v>77</v>
      </c>
      <c r="D58" s="83"/>
      <c r="E58" s="95">
        <v>219.9</v>
      </c>
      <c r="F58" s="65">
        <v>228.22</v>
      </c>
      <c r="G58" s="96">
        <v>267.74</v>
      </c>
      <c r="H58" s="41">
        <f t="shared" si="1"/>
        <v>238.62</v>
      </c>
      <c r="I58" s="49">
        <f t="shared" si="2"/>
        <v>0.2175534334</v>
      </c>
      <c r="J58" s="43"/>
      <c r="K58" s="78"/>
      <c r="L58" s="50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9"/>
      <c r="B59" s="81">
        <v>1.00012881E8</v>
      </c>
      <c r="C59" s="89" t="s">
        <v>78</v>
      </c>
      <c r="D59" s="83"/>
      <c r="E59" s="95">
        <v>4355.66</v>
      </c>
      <c r="F59" s="65">
        <v>4381.9</v>
      </c>
      <c r="G59" s="96">
        <v>4360.27</v>
      </c>
      <c r="H59" s="41">
        <f t="shared" si="1"/>
        <v>4365.943333</v>
      </c>
      <c r="I59" s="49">
        <f t="shared" si="2"/>
        <v>0.006024345335</v>
      </c>
      <c r="J59" s="43"/>
      <c r="K59" s="78"/>
      <c r="L59" s="50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9"/>
      <c r="B60" s="262">
        <v>1.00012849E8</v>
      </c>
      <c r="C60" s="263" t="s">
        <v>79</v>
      </c>
      <c r="D60" s="170"/>
      <c r="E60" s="161"/>
      <c r="F60" s="154"/>
      <c r="G60" s="153"/>
      <c r="H60" s="155">
        <f t="shared" si="1"/>
        <v>0</v>
      </c>
      <c r="I60" s="156"/>
      <c r="J60" s="157"/>
      <c r="K60" s="165"/>
      <c r="L60" s="15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9"/>
      <c r="B61" s="262">
        <v>1.0001285E8</v>
      </c>
      <c r="C61" s="263" t="s">
        <v>80</v>
      </c>
      <c r="D61" s="170" t="s">
        <v>81</v>
      </c>
      <c r="E61" s="264">
        <v>135692.04</v>
      </c>
      <c r="F61" s="172">
        <v>135692.04</v>
      </c>
      <c r="G61" s="171">
        <v>135692.04</v>
      </c>
      <c r="H61" s="155">
        <f t="shared" si="1"/>
        <v>135692.04</v>
      </c>
      <c r="I61" s="156"/>
      <c r="J61" s="157"/>
      <c r="K61" s="165"/>
      <c r="L61" s="15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9"/>
      <c r="B62" s="81">
        <v>1.0001281E8</v>
      </c>
      <c r="C62" s="89" t="s">
        <v>327</v>
      </c>
      <c r="D62" s="83"/>
      <c r="E62" s="91">
        <v>3200.0</v>
      </c>
      <c r="F62" s="88">
        <v>3220.39</v>
      </c>
      <c r="G62" s="88">
        <v>2855.44</v>
      </c>
      <c r="H62" s="41">
        <f t="shared" si="1"/>
        <v>3091.943333</v>
      </c>
      <c r="I62" s="49">
        <f t="shared" ref="I62:I723" si="10">IF(ISERROR(MAX(E62:G62)/MIN(E62:G62)-1),"",(MAX(E62:G62)/MIN(E62:G62)-1))</f>
        <v>0.127808674</v>
      </c>
      <c r="J62" s="43">
        <f t="shared" ref="J62:J74" si="11">IF(ISERROR(MAX(E62:G62)/H62-1),"",(MAX(E62:G62)/H62-1))</f>
        <v>0.04154237411</v>
      </c>
      <c r="K62" s="78"/>
      <c r="L62" s="50">
        <f t="shared" ref="L62:L88" si="12">EDATE(K62,6)</f>
        <v>182</v>
      </c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9"/>
      <c r="B63" s="81">
        <v>1.0001007E8</v>
      </c>
      <c r="C63" s="89" t="s">
        <v>82</v>
      </c>
      <c r="D63" s="83" t="s">
        <v>83</v>
      </c>
      <c r="E63" s="91">
        <v>595.0</v>
      </c>
      <c r="F63" s="88">
        <v>603.57</v>
      </c>
      <c r="G63" s="88">
        <v>597.09</v>
      </c>
      <c r="H63" s="41">
        <f t="shared" si="1"/>
        <v>598.5533333</v>
      </c>
      <c r="I63" s="49">
        <f t="shared" si="10"/>
        <v>0.01440336134</v>
      </c>
      <c r="J63" s="43">
        <f t="shared" si="11"/>
        <v>0.008381319403</v>
      </c>
      <c r="K63" s="78"/>
      <c r="L63" s="50">
        <f t="shared" si="12"/>
        <v>182</v>
      </c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9"/>
      <c r="B64" s="81">
        <v>1.00010124E8</v>
      </c>
      <c r="C64" s="89" t="s">
        <v>84</v>
      </c>
      <c r="D64" s="83" t="s">
        <v>86</v>
      </c>
      <c r="E64" s="95">
        <v>2690.1</v>
      </c>
      <c r="F64" s="65">
        <v>2154.59</v>
      </c>
      <c r="G64" s="96">
        <v>2385.0</v>
      </c>
      <c r="H64" s="41">
        <f t="shared" si="1"/>
        <v>2409.896667</v>
      </c>
      <c r="I64" s="49">
        <f t="shared" si="10"/>
        <v>0.2485438065</v>
      </c>
      <c r="J64" s="43">
        <f t="shared" si="11"/>
        <v>0.1162719287</v>
      </c>
      <c r="K64" s="78"/>
      <c r="L64" s="50">
        <f t="shared" si="12"/>
        <v>182</v>
      </c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9"/>
      <c r="B65" s="81">
        <v>1.00002334E8</v>
      </c>
      <c r="C65" s="89" t="s">
        <v>87</v>
      </c>
      <c r="D65" s="83"/>
      <c r="E65" s="95">
        <v>16898.7</v>
      </c>
      <c r="F65" s="65">
        <v>13981.15</v>
      </c>
      <c r="G65" s="65">
        <v>14855.99</v>
      </c>
      <c r="H65" s="41">
        <f t="shared" si="1"/>
        <v>15245.28</v>
      </c>
      <c r="I65" s="49">
        <f t="shared" si="10"/>
        <v>0.2086773978</v>
      </c>
      <c r="J65" s="43">
        <f t="shared" si="11"/>
        <v>0.1084545512</v>
      </c>
      <c r="K65" s="78"/>
      <c r="L65" s="50">
        <f t="shared" si="12"/>
        <v>182</v>
      </c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9"/>
      <c r="B66" s="81">
        <v>1.00010073E8</v>
      </c>
      <c r="C66" s="94" t="s">
        <v>88</v>
      </c>
      <c r="D66" s="83" t="s">
        <v>89</v>
      </c>
      <c r="E66" s="95">
        <v>699.9</v>
      </c>
      <c r="F66" s="65">
        <v>715.0</v>
      </c>
      <c r="G66" s="65">
        <v>718.0</v>
      </c>
      <c r="H66" s="41">
        <f t="shared" si="1"/>
        <v>710.9666667</v>
      </c>
      <c r="I66" s="49">
        <f t="shared" si="10"/>
        <v>0.02586083726</v>
      </c>
      <c r="J66" s="43">
        <f t="shared" si="11"/>
        <v>0.009892634441</v>
      </c>
      <c r="K66" s="78"/>
      <c r="L66" s="45">
        <f t="shared" si="12"/>
        <v>182</v>
      </c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9"/>
      <c r="B67" s="114">
        <v>1.0001068E8</v>
      </c>
      <c r="C67" s="89" t="s">
        <v>90</v>
      </c>
      <c r="D67" s="83" t="s">
        <v>91</v>
      </c>
      <c r="E67" s="95">
        <v>9562.41</v>
      </c>
      <c r="F67" s="65">
        <v>9199.9</v>
      </c>
      <c r="G67" s="65">
        <v>11525.0</v>
      </c>
      <c r="H67" s="41">
        <f t="shared" si="1"/>
        <v>10095.77</v>
      </c>
      <c r="I67" s="49">
        <f t="shared" si="10"/>
        <v>0.2527310079</v>
      </c>
      <c r="J67" s="43">
        <f t="shared" si="11"/>
        <v>0.1415672108</v>
      </c>
      <c r="K67" s="78"/>
      <c r="L67" s="50">
        <f t="shared" si="12"/>
        <v>182</v>
      </c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9"/>
      <c r="B68" s="81">
        <v>1.00012746E8</v>
      </c>
      <c r="C68" s="89" t="s">
        <v>92</v>
      </c>
      <c r="D68" s="115" t="s">
        <v>93</v>
      </c>
      <c r="E68" s="116">
        <v>285.0</v>
      </c>
      <c r="F68" s="117">
        <v>325.0</v>
      </c>
      <c r="G68" s="117">
        <v>345.0</v>
      </c>
      <c r="H68" s="41">
        <f t="shared" si="1"/>
        <v>318.3333333</v>
      </c>
      <c r="I68" s="49">
        <f t="shared" si="10"/>
        <v>0.2105263158</v>
      </c>
      <c r="J68" s="43">
        <f t="shared" si="11"/>
        <v>0.08376963351</v>
      </c>
      <c r="K68" s="78"/>
      <c r="L68" s="45">
        <f t="shared" si="12"/>
        <v>182</v>
      </c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9"/>
      <c r="B69" s="81">
        <v>1.00002274E8</v>
      </c>
      <c r="C69" s="89" t="s">
        <v>94</v>
      </c>
      <c r="D69" s="83"/>
      <c r="E69" s="95">
        <v>1430.1</v>
      </c>
      <c r="F69" s="65">
        <v>1369.9</v>
      </c>
      <c r="G69" s="65">
        <v>1519.0</v>
      </c>
      <c r="H69" s="41">
        <f t="shared" si="1"/>
        <v>1439.666667</v>
      </c>
      <c r="I69" s="49">
        <f t="shared" si="10"/>
        <v>0.1088400613</v>
      </c>
      <c r="J69" s="43">
        <f t="shared" si="11"/>
        <v>0.05510534846</v>
      </c>
      <c r="K69" s="78"/>
      <c r="L69" s="50">
        <f t="shared" si="12"/>
        <v>182</v>
      </c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9"/>
      <c r="B70" s="81">
        <v>1.00010073E8</v>
      </c>
      <c r="C70" s="94" t="s">
        <v>88</v>
      </c>
      <c r="D70" s="83" t="s">
        <v>95</v>
      </c>
      <c r="E70" s="95">
        <v>159.99</v>
      </c>
      <c r="F70" s="65">
        <v>177.21</v>
      </c>
      <c r="G70" s="65">
        <v>180.41</v>
      </c>
      <c r="H70" s="41">
        <f t="shared" si="1"/>
        <v>172.5366667</v>
      </c>
      <c r="I70" s="49">
        <f t="shared" si="10"/>
        <v>0.1276329771</v>
      </c>
      <c r="J70" s="43">
        <f t="shared" si="11"/>
        <v>0.04563281235</v>
      </c>
      <c r="K70" s="58">
        <v>45855.0</v>
      </c>
      <c r="L70" s="45">
        <f t="shared" si="12"/>
        <v>46039</v>
      </c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5.75" customHeight="1">
      <c r="A71" s="9"/>
      <c r="B71" s="81">
        <v>1.00010123E8</v>
      </c>
      <c r="C71" s="89" t="s">
        <v>96</v>
      </c>
      <c r="D71" s="83"/>
      <c r="E71" s="91">
        <v>1076.67</v>
      </c>
      <c r="F71" s="88">
        <v>1032.22</v>
      </c>
      <c r="G71" s="88">
        <v>1055.68</v>
      </c>
      <c r="H71" s="41">
        <f t="shared" si="1"/>
        <v>1054.856667</v>
      </c>
      <c r="I71" s="49">
        <f t="shared" si="10"/>
        <v>0.04306252543</v>
      </c>
      <c r="J71" s="43">
        <f t="shared" si="11"/>
        <v>0.0206789548</v>
      </c>
      <c r="K71" s="78"/>
      <c r="L71" s="50">
        <f t="shared" si="12"/>
        <v>182</v>
      </c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118"/>
      <c r="B72" s="81">
        <v>1.00012554E8</v>
      </c>
      <c r="C72" s="89" t="s">
        <v>97</v>
      </c>
      <c r="D72" s="119" t="s">
        <v>98</v>
      </c>
      <c r="E72" s="120">
        <v>512.91</v>
      </c>
      <c r="F72" s="121">
        <v>549.0</v>
      </c>
      <c r="G72" s="120">
        <v>526.0</v>
      </c>
      <c r="H72" s="122">
        <f t="shared" si="1"/>
        <v>529.3033333</v>
      </c>
      <c r="I72" s="123">
        <f t="shared" si="10"/>
        <v>0.07036322162</v>
      </c>
      <c r="J72" s="124">
        <f t="shared" si="11"/>
        <v>0.03721243647</v>
      </c>
      <c r="K72" s="78"/>
      <c r="L72" s="50">
        <f t="shared" si="12"/>
        <v>182</v>
      </c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</row>
    <row r="73" ht="15.75" customHeight="1">
      <c r="A73" s="9"/>
      <c r="B73" s="81">
        <v>1.00012554E8</v>
      </c>
      <c r="C73" s="89" t="s">
        <v>97</v>
      </c>
      <c r="D73" s="83" t="s">
        <v>99</v>
      </c>
      <c r="E73" s="95">
        <v>584.97</v>
      </c>
      <c r="F73" s="65">
        <v>597.55</v>
      </c>
      <c r="G73" s="65">
        <v>628.9</v>
      </c>
      <c r="H73" s="41">
        <f t="shared" si="1"/>
        <v>603.8066667</v>
      </c>
      <c r="I73" s="49">
        <f t="shared" si="10"/>
        <v>0.07509786827</v>
      </c>
      <c r="J73" s="43">
        <f t="shared" si="11"/>
        <v>0.04155855627</v>
      </c>
      <c r="K73" s="78"/>
      <c r="L73" s="50">
        <f t="shared" si="12"/>
        <v>182</v>
      </c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9"/>
      <c r="B74" s="81">
        <v>1.00010127E8</v>
      </c>
      <c r="C74" s="89" t="s">
        <v>100</v>
      </c>
      <c r="D74" s="83" t="s">
        <v>101</v>
      </c>
      <c r="E74" s="95">
        <v>761.75</v>
      </c>
      <c r="F74" s="65">
        <v>735.81</v>
      </c>
      <c r="G74" s="65">
        <v>729.0</v>
      </c>
      <c r="H74" s="41">
        <f t="shared" si="1"/>
        <v>742.1866667</v>
      </c>
      <c r="I74" s="49">
        <f t="shared" si="10"/>
        <v>0.04492455418</v>
      </c>
      <c r="J74" s="43">
        <f t="shared" si="11"/>
        <v>0.02635904714</v>
      </c>
      <c r="K74" s="78"/>
      <c r="L74" s="50">
        <f t="shared" si="12"/>
        <v>182</v>
      </c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9"/>
      <c r="B75" s="81">
        <v>1.00010127E8</v>
      </c>
      <c r="C75" s="89" t="s">
        <v>100</v>
      </c>
      <c r="D75" s="83" t="s">
        <v>102</v>
      </c>
      <c r="E75" s="95">
        <v>785.7</v>
      </c>
      <c r="F75" s="65">
        <v>764.03</v>
      </c>
      <c r="G75" s="65">
        <v>845.57</v>
      </c>
      <c r="H75" s="41">
        <f t="shared" si="1"/>
        <v>798.4333333</v>
      </c>
      <c r="I75" s="49">
        <f t="shared" si="10"/>
        <v>0.106723558</v>
      </c>
      <c r="J75" s="125"/>
      <c r="K75" s="50"/>
      <c r="L75" s="50">
        <f t="shared" si="12"/>
        <v>182</v>
      </c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9"/>
      <c r="B76" s="81">
        <v>1.00010125E8</v>
      </c>
      <c r="C76" s="89" t="s">
        <v>103</v>
      </c>
      <c r="D76" s="83" t="s">
        <v>104</v>
      </c>
      <c r="E76" s="95">
        <v>4011.53</v>
      </c>
      <c r="F76" s="65">
        <v>3760.77</v>
      </c>
      <c r="G76" s="65">
        <v>3393.0</v>
      </c>
      <c r="H76" s="41">
        <f t="shared" si="1"/>
        <v>3721.766667</v>
      </c>
      <c r="I76" s="49">
        <f t="shared" si="10"/>
        <v>0.1822959033</v>
      </c>
      <c r="J76" s="43">
        <f t="shared" ref="J76:J78" si="13">IF(ISERROR(MAX(E76:G76)/H76-1),"",(MAX(E76:G76)/H76-1))</f>
        <v>0.07785639436</v>
      </c>
      <c r="K76" s="78"/>
      <c r="L76" s="50">
        <f t="shared" si="12"/>
        <v>182</v>
      </c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9"/>
      <c r="B77" s="81">
        <v>1.00010149E8</v>
      </c>
      <c r="C77" s="89" t="s">
        <v>755</v>
      </c>
      <c r="D77" s="83"/>
      <c r="E77" s="95">
        <v>1259.9</v>
      </c>
      <c r="F77" s="65">
        <v>921.48</v>
      </c>
      <c r="G77" s="65">
        <v>944.1</v>
      </c>
      <c r="H77" s="41">
        <f t="shared" si="1"/>
        <v>1041.826667</v>
      </c>
      <c r="I77" s="49">
        <f t="shared" si="10"/>
        <v>0.3672570213</v>
      </c>
      <c r="J77" s="43">
        <f t="shared" si="13"/>
        <v>0.2093182487</v>
      </c>
      <c r="K77" s="78"/>
      <c r="L77" s="50">
        <f t="shared" si="12"/>
        <v>182</v>
      </c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9"/>
      <c r="B78" s="81">
        <v>1.00002248E8</v>
      </c>
      <c r="C78" s="89" t="s">
        <v>105</v>
      </c>
      <c r="D78" s="83"/>
      <c r="E78" s="95">
        <v>23521.32</v>
      </c>
      <c r="F78" s="65">
        <v>19999.99</v>
      </c>
      <c r="G78" s="65">
        <v>21991.08</v>
      </c>
      <c r="H78" s="41">
        <f t="shared" si="1"/>
        <v>21837.46333</v>
      </c>
      <c r="I78" s="49">
        <f t="shared" si="10"/>
        <v>0.176066588</v>
      </c>
      <c r="J78" s="43">
        <f t="shared" si="13"/>
        <v>0.07710862022</v>
      </c>
      <c r="K78" s="78"/>
      <c r="L78" s="50">
        <f t="shared" si="12"/>
        <v>182</v>
      </c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9"/>
      <c r="B79" s="262">
        <v>1.00010455E8</v>
      </c>
      <c r="C79" s="263" t="s">
        <v>756</v>
      </c>
      <c r="D79" s="170"/>
      <c r="E79" s="161">
        <v>7000.0</v>
      </c>
      <c r="F79" s="154">
        <v>7214.95</v>
      </c>
      <c r="G79" s="154"/>
      <c r="H79" s="155">
        <f t="shared" si="1"/>
        <v>4738.316667</v>
      </c>
      <c r="I79" s="156">
        <f t="shared" si="10"/>
        <v>0.03070714286</v>
      </c>
      <c r="J79" s="157"/>
      <c r="K79" s="165"/>
      <c r="L79" s="159">
        <f t="shared" si="12"/>
        <v>182</v>
      </c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9"/>
      <c r="B80" s="262">
        <v>1.00010711E8</v>
      </c>
      <c r="C80" s="263" t="s">
        <v>757</v>
      </c>
      <c r="D80" s="170" t="s">
        <v>758</v>
      </c>
      <c r="E80" s="161"/>
      <c r="F80" s="154"/>
      <c r="G80" s="154"/>
      <c r="H80" s="155">
        <f t="shared" si="1"/>
        <v>0</v>
      </c>
      <c r="I80" s="156" t="str">
        <f t="shared" si="10"/>
        <v/>
      </c>
      <c r="J80" s="157"/>
      <c r="K80" s="165"/>
      <c r="L80" s="159">
        <f t="shared" si="12"/>
        <v>182</v>
      </c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9"/>
      <c r="B81" s="81">
        <v>1.00013111E8</v>
      </c>
      <c r="C81" s="89" t="s">
        <v>106</v>
      </c>
      <c r="D81" s="83"/>
      <c r="E81" s="95">
        <v>319.0</v>
      </c>
      <c r="F81" s="65">
        <v>349.0</v>
      </c>
      <c r="G81" s="65">
        <v>282.32</v>
      </c>
      <c r="H81" s="41">
        <f t="shared" si="1"/>
        <v>316.7733333</v>
      </c>
      <c r="I81" s="49">
        <f t="shared" si="10"/>
        <v>0.2361858884</v>
      </c>
      <c r="J81" s="43">
        <f t="shared" ref="J81:J85" si="14">IF(ISERROR(MAX(E81:G81)/H81-1),"",(MAX(E81:G81)/H81-1))</f>
        <v>0.1017341527</v>
      </c>
      <c r="K81" s="78"/>
      <c r="L81" s="50">
        <f t="shared" si="12"/>
        <v>182</v>
      </c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9"/>
      <c r="B82" s="81">
        <v>1.00010773E8</v>
      </c>
      <c r="C82" s="89" t="s">
        <v>107</v>
      </c>
      <c r="D82" s="83"/>
      <c r="E82" s="91">
        <v>404.1</v>
      </c>
      <c r="F82" s="88">
        <v>449.0</v>
      </c>
      <c r="G82" s="88">
        <v>494.1</v>
      </c>
      <c r="H82" s="41">
        <f t="shared" si="1"/>
        <v>449.0666667</v>
      </c>
      <c r="I82" s="49">
        <f t="shared" si="10"/>
        <v>0.2227171492</v>
      </c>
      <c r="J82" s="43">
        <f t="shared" si="14"/>
        <v>0.1002820665</v>
      </c>
      <c r="K82" s="78"/>
      <c r="L82" s="50">
        <f t="shared" si="12"/>
        <v>182</v>
      </c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9"/>
      <c r="B83" s="81">
        <v>1.00010788E8</v>
      </c>
      <c r="C83" s="89" t="s">
        <v>108</v>
      </c>
      <c r="D83" s="126"/>
      <c r="E83" s="95" t="s">
        <v>109</v>
      </c>
      <c r="F83" s="65">
        <v>17999.99</v>
      </c>
      <c r="G83" s="65">
        <v>21799.9</v>
      </c>
      <c r="H83" s="41">
        <f t="shared" si="1"/>
        <v>13266.63</v>
      </c>
      <c r="I83" s="49">
        <f t="shared" si="10"/>
        <v>0.2111062284</v>
      </c>
      <c r="J83" s="43">
        <f t="shared" si="14"/>
        <v>0.6432130843</v>
      </c>
      <c r="K83" s="78"/>
      <c r="L83" s="50">
        <f t="shared" si="12"/>
        <v>182</v>
      </c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9"/>
      <c r="B84" s="81">
        <v>1.00010828E8</v>
      </c>
      <c r="C84" s="89" t="s">
        <v>110</v>
      </c>
      <c r="D84" s="83"/>
      <c r="E84" s="95">
        <v>999.0</v>
      </c>
      <c r="F84" s="65">
        <v>1149.98</v>
      </c>
      <c r="G84" s="65">
        <v>1129.99</v>
      </c>
      <c r="H84" s="41">
        <f t="shared" si="1"/>
        <v>1092.99</v>
      </c>
      <c r="I84" s="49">
        <f t="shared" si="10"/>
        <v>0.1511311311</v>
      </c>
      <c r="J84" s="43">
        <f t="shared" si="14"/>
        <v>0.05214137366</v>
      </c>
      <c r="K84" s="78"/>
      <c r="L84" s="50">
        <f t="shared" si="12"/>
        <v>182</v>
      </c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9"/>
      <c r="B85" s="81">
        <v>1.00010813E8</v>
      </c>
      <c r="C85" s="89" t="s">
        <v>111</v>
      </c>
      <c r="D85" s="83" t="s">
        <v>112</v>
      </c>
      <c r="E85" s="91">
        <v>11543.9</v>
      </c>
      <c r="F85" s="88">
        <v>12083.91</v>
      </c>
      <c r="G85" s="88">
        <v>15232.99</v>
      </c>
      <c r="H85" s="41">
        <f t="shared" si="1"/>
        <v>12953.6</v>
      </c>
      <c r="I85" s="49">
        <f t="shared" si="10"/>
        <v>0.3195705091</v>
      </c>
      <c r="J85" s="43">
        <f t="shared" si="14"/>
        <v>0.1759657547</v>
      </c>
      <c r="K85" s="78"/>
      <c r="L85" s="50">
        <f t="shared" si="12"/>
        <v>182</v>
      </c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9"/>
      <c r="B86" s="81">
        <v>1.00010813E8</v>
      </c>
      <c r="C86" s="89" t="s">
        <v>111</v>
      </c>
      <c r="D86" s="83" t="s">
        <v>113</v>
      </c>
      <c r="E86" s="91">
        <v>6598.24</v>
      </c>
      <c r="F86" s="88">
        <v>6119.9</v>
      </c>
      <c r="G86" s="88">
        <v>6198.0</v>
      </c>
      <c r="H86" s="41">
        <f t="shared" si="1"/>
        <v>6305.38</v>
      </c>
      <c r="I86" s="49">
        <f t="shared" si="10"/>
        <v>0.07816140787</v>
      </c>
      <c r="J86" s="43"/>
      <c r="K86" s="78"/>
      <c r="L86" s="50">
        <f t="shared" si="12"/>
        <v>182</v>
      </c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9"/>
      <c r="B87" s="81">
        <v>1.00010813E8</v>
      </c>
      <c r="C87" s="89" t="s">
        <v>111</v>
      </c>
      <c r="D87" s="83" t="s">
        <v>114</v>
      </c>
      <c r="E87" s="91">
        <v>1133.09</v>
      </c>
      <c r="F87" s="88">
        <v>1099.99</v>
      </c>
      <c r="G87" s="88">
        <v>1198.99</v>
      </c>
      <c r="H87" s="41">
        <f t="shared" si="1"/>
        <v>1144.023333</v>
      </c>
      <c r="I87" s="49">
        <f t="shared" si="10"/>
        <v>0.09000081819</v>
      </c>
      <c r="J87" s="43">
        <f t="shared" ref="J87:J88" si="15">IF(ISERROR(MAX(E87:G87)/H87-1),"",(MAX(E87:G87)/H87-1))</f>
        <v>0.04804680557</v>
      </c>
      <c r="K87" s="78"/>
      <c r="L87" s="50">
        <f t="shared" si="12"/>
        <v>182</v>
      </c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9"/>
      <c r="B88" s="81">
        <v>1.00010829E8</v>
      </c>
      <c r="C88" s="89" t="s">
        <v>115</v>
      </c>
      <c r="D88" s="83"/>
      <c r="E88" s="91">
        <v>10404.05</v>
      </c>
      <c r="F88" s="88">
        <v>10167.32</v>
      </c>
      <c r="G88" s="88">
        <v>10400.0</v>
      </c>
      <c r="H88" s="41">
        <f t="shared" si="1"/>
        <v>10323.79</v>
      </c>
      <c r="I88" s="49">
        <f t="shared" si="10"/>
        <v>0.02328342179</v>
      </c>
      <c r="J88" s="43">
        <f t="shared" si="15"/>
        <v>0.007774276695</v>
      </c>
      <c r="K88" s="78"/>
      <c r="L88" s="50">
        <f t="shared" si="12"/>
        <v>182</v>
      </c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9"/>
      <c r="B89" s="81">
        <v>1.00012776E8</v>
      </c>
      <c r="C89" s="89" t="s">
        <v>116</v>
      </c>
      <c r="D89" s="83"/>
      <c r="E89" s="95">
        <v>6584.07</v>
      </c>
      <c r="F89" s="65">
        <v>7883.53</v>
      </c>
      <c r="G89" s="65">
        <v>6383.22</v>
      </c>
      <c r="H89" s="41">
        <f t="shared" si="1"/>
        <v>6950.273333</v>
      </c>
      <c r="I89" s="49">
        <f t="shared" si="10"/>
        <v>0.2350396822</v>
      </c>
      <c r="J89" s="93">
        <v>19494.0</v>
      </c>
      <c r="K89" s="78"/>
      <c r="L89" s="50">
        <v>44680.0</v>
      </c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9"/>
      <c r="B90" s="81">
        <v>1.00012003E8</v>
      </c>
      <c r="C90" s="89" t="s">
        <v>117</v>
      </c>
      <c r="D90" s="83"/>
      <c r="E90" s="95">
        <v>393.95</v>
      </c>
      <c r="F90" s="65">
        <v>396.9</v>
      </c>
      <c r="G90" s="65">
        <v>449.99</v>
      </c>
      <c r="H90" s="41">
        <f t="shared" si="1"/>
        <v>413.6133333</v>
      </c>
      <c r="I90" s="49">
        <f t="shared" si="10"/>
        <v>0.1422515548</v>
      </c>
      <c r="J90" s="93"/>
      <c r="K90" s="78"/>
      <c r="L90" s="50">
        <v>44681.0</v>
      </c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9"/>
      <c r="B91" s="81">
        <v>1.0001249E8</v>
      </c>
      <c r="C91" s="89" t="s">
        <v>118</v>
      </c>
      <c r="D91" s="83"/>
      <c r="E91" s="95">
        <v>949.52</v>
      </c>
      <c r="F91" s="65">
        <v>972.0</v>
      </c>
      <c r="G91" s="65">
        <v>971.72</v>
      </c>
      <c r="H91" s="41">
        <f t="shared" si="1"/>
        <v>964.4133333</v>
      </c>
      <c r="I91" s="49">
        <f t="shared" si="10"/>
        <v>0.02367512006</v>
      </c>
      <c r="J91" s="93"/>
      <c r="K91" s="78"/>
      <c r="L91" s="50">
        <v>44682.0</v>
      </c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9"/>
      <c r="B92" s="81">
        <v>1.00012796E8</v>
      </c>
      <c r="C92" s="89" t="s">
        <v>119</v>
      </c>
      <c r="D92" s="83" t="s">
        <v>120</v>
      </c>
      <c r="E92" s="95">
        <v>10599.9</v>
      </c>
      <c r="F92" s="65">
        <v>10743.55</v>
      </c>
      <c r="G92" s="65">
        <v>10439.1</v>
      </c>
      <c r="H92" s="41">
        <f t="shared" si="1"/>
        <v>10594.18333</v>
      </c>
      <c r="I92" s="49">
        <f t="shared" si="10"/>
        <v>0.02916439157</v>
      </c>
      <c r="J92" s="93"/>
      <c r="K92" s="78"/>
      <c r="L92" s="50">
        <v>44683.0</v>
      </c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9"/>
      <c r="B93" s="81">
        <v>1.00012796E8</v>
      </c>
      <c r="C93" s="89" t="s">
        <v>119</v>
      </c>
      <c r="D93" s="83" t="s">
        <v>121</v>
      </c>
      <c r="E93" s="95">
        <v>498.65</v>
      </c>
      <c r="F93" s="65">
        <v>566.68</v>
      </c>
      <c r="G93" s="65">
        <v>599.0</v>
      </c>
      <c r="H93" s="41">
        <f t="shared" si="1"/>
        <v>554.7766667</v>
      </c>
      <c r="I93" s="49">
        <f t="shared" si="10"/>
        <v>0.2012433571</v>
      </c>
      <c r="J93" s="93"/>
      <c r="K93" s="78"/>
      <c r="L93" s="50">
        <v>44684.0</v>
      </c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9"/>
      <c r="B94" s="81">
        <v>1.00011988E8</v>
      </c>
      <c r="C94" s="89" t="s">
        <v>122</v>
      </c>
      <c r="D94" s="83" t="s">
        <v>123</v>
      </c>
      <c r="E94" s="95">
        <v>615.9</v>
      </c>
      <c r="F94" s="65">
        <v>668.99</v>
      </c>
      <c r="G94" s="65">
        <v>664.99</v>
      </c>
      <c r="H94" s="41">
        <f t="shared" si="1"/>
        <v>649.96</v>
      </c>
      <c r="I94" s="49">
        <f t="shared" si="10"/>
        <v>0.08619905829</v>
      </c>
      <c r="J94" s="93"/>
      <c r="K94" s="78"/>
      <c r="L94" s="50">
        <v>44685.0</v>
      </c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9"/>
      <c r="B95" s="81">
        <v>1.00012896E8</v>
      </c>
      <c r="C95" s="89" t="s">
        <v>124</v>
      </c>
      <c r="D95" s="83"/>
      <c r="E95" s="95">
        <v>169.99</v>
      </c>
      <c r="F95" s="65">
        <v>165.9</v>
      </c>
      <c r="G95" s="65">
        <v>179.89</v>
      </c>
      <c r="H95" s="41">
        <f t="shared" si="1"/>
        <v>171.9266667</v>
      </c>
      <c r="I95" s="49">
        <f t="shared" si="10"/>
        <v>0.08432790838</v>
      </c>
      <c r="J95" s="93"/>
      <c r="K95" s="78"/>
      <c r="L95" s="50">
        <v>44686.0</v>
      </c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9"/>
      <c r="B96" s="81">
        <v>1.0001277E8</v>
      </c>
      <c r="C96" s="89" t="s">
        <v>125</v>
      </c>
      <c r="D96" s="83" t="s">
        <v>126</v>
      </c>
      <c r="E96" s="95">
        <v>997.99</v>
      </c>
      <c r="F96" s="65">
        <v>1048.62</v>
      </c>
      <c r="G96" s="65">
        <v>928.8</v>
      </c>
      <c r="H96" s="41">
        <f t="shared" si="1"/>
        <v>991.8033333</v>
      </c>
      <c r="I96" s="49">
        <f t="shared" si="10"/>
        <v>0.129005168</v>
      </c>
      <c r="J96" s="93"/>
      <c r="K96" s="78"/>
      <c r="L96" s="50">
        <v>44687.0</v>
      </c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9"/>
      <c r="B97" s="81">
        <v>1.00012798E8</v>
      </c>
      <c r="C97" s="89" t="s">
        <v>127</v>
      </c>
      <c r="D97" s="83" t="s">
        <v>128</v>
      </c>
      <c r="E97" s="95">
        <v>484.99</v>
      </c>
      <c r="F97" s="65">
        <v>560.9</v>
      </c>
      <c r="G97" s="65">
        <v>669.3</v>
      </c>
      <c r="H97" s="41">
        <f t="shared" si="1"/>
        <v>571.73</v>
      </c>
      <c r="I97" s="49">
        <f t="shared" si="10"/>
        <v>0.3800284542</v>
      </c>
      <c r="J97" s="93"/>
      <c r="K97" s="78"/>
      <c r="L97" s="50">
        <v>44688.0</v>
      </c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9"/>
      <c r="B98" s="81">
        <v>1.00012798E8</v>
      </c>
      <c r="C98" s="89" t="s">
        <v>127</v>
      </c>
      <c r="D98" s="83" t="s">
        <v>129</v>
      </c>
      <c r="E98" s="95">
        <v>12738.7</v>
      </c>
      <c r="F98" s="65">
        <v>13156.55</v>
      </c>
      <c r="G98" s="65">
        <v>12998.7</v>
      </c>
      <c r="H98" s="41">
        <f t="shared" si="1"/>
        <v>12964.65</v>
      </c>
      <c r="I98" s="49">
        <f t="shared" si="10"/>
        <v>0.03280162026</v>
      </c>
      <c r="J98" s="93"/>
      <c r="K98" s="78"/>
      <c r="L98" s="50">
        <v>44689.0</v>
      </c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9"/>
      <c r="B99" s="81">
        <v>1.0001078E8</v>
      </c>
      <c r="C99" s="89" t="s">
        <v>130</v>
      </c>
      <c r="D99" s="83" t="s">
        <v>131</v>
      </c>
      <c r="E99" s="95">
        <v>1099.0</v>
      </c>
      <c r="F99" s="65">
        <v>1199.9</v>
      </c>
      <c r="G99" s="65">
        <v>1299.99</v>
      </c>
      <c r="H99" s="41">
        <f t="shared" si="1"/>
        <v>1199.63</v>
      </c>
      <c r="I99" s="49">
        <f t="shared" si="10"/>
        <v>0.1828844404</v>
      </c>
      <c r="J99" s="93"/>
      <c r="K99" s="78"/>
      <c r="L99" s="50">
        <v>44690.0</v>
      </c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9"/>
      <c r="B100" s="81">
        <v>1.00010849E8</v>
      </c>
      <c r="C100" s="89" t="s">
        <v>132</v>
      </c>
      <c r="D100" s="83" t="s">
        <v>759</v>
      </c>
      <c r="E100" s="91">
        <v>489.0</v>
      </c>
      <c r="F100" s="88">
        <v>611.42</v>
      </c>
      <c r="G100" s="88">
        <v>599.0</v>
      </c>
      <c r="H100" s="41">
        <f t="shared" si="1"/>
        <v>566.4733333</v>
      </c>
      <c r="I100" s="49">
        <f t="shared" si="10"/>
        <v>0.2503476483</v>
      </c>
      <c r="J100" s="43">
        <f t="shared" ref="J100:J105" si="16">IF(ISERROR(MAX(E100:G100)/H100-1),"",(MAX(E100:G100)/H100-1))</f>
        <v>0.07934471761</v>
      </c>
      <c r="K100" s="58">
        <v>45849.0</v>
      </c>
      <c r="L100" s="50">
        <v>44691.0</v>
      </c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9"/>
      <c r="B101" s="81">
        <v>1.00010849E8</v>
      </c>
      <c r="C101" s="89" t="s">
        <v>132</v>
      </c>
      <c r="D101" s="83" t="s">
        <v>136</v>
      </c>
      <c r="E101" s="91">
        <v>2099.0</v>
      </c>
      <c r="F101" s="88">
        <v>2490.0</v>
      </c>
      <c r="G101" s="88">
        <v>2622.68</v>
      </c>
      <c r="H101" s="41">
        <f t="shared" si="1"/>
        <v>2403.893333</v>
      </c>
      <c r="I101" s="49">
        <f t="shared" si="10"/>
        <v>0.2494902334</v>
      </c>
      <c r="J101" s="43">
        <f t="shared" si="16"/>
        <v>0.09101346704</v>
      </c>
      <c r="K101" s="58">
        <v>45849.0</v>
      </c>
      <c r="L101" s="50">
        <f t="shared" ref="L101:L228" si="17">EDATE(K101,6)</f>
        <v>46033</v>
      </c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9"/>
      <c r="B102" s="81">
        <v>1.00010849E8</v>
      </c>
      <c r="C102" s="89" t="s">
        <v>132</v>
      </c>
      <c r="D102" s="83" t="s">
        <v>137</v>
      </c>
      <c r="E102" s="95">
        <v>5599.0</v>
      </c>
      <c r="F102" s="65">
        <v>5699.0</v>
      </c>
      <c r="G102" s="65">
        <v>4792.5</v>
      </c>
      <c r="H102" s="41">
        <f t="shared" si="1"/>
        <v>5363.5</v>
      </c>
      <c r="I102" s="49">
        <f t="shared" si="10"/>
        <v>0.1891497131</v>
      </c>
      <c r="J102" s="43">
        <f t="shared" si="16"/>
        <v>0.06255243777</v>
      </c>
      <c r="K102" s="58">
        <v>45848.0</v>
      </c>
      <c r="L102" s="50">
        <f t="shared" si="17"/>
        <v>46032</v>
      </c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9"/>
      <c r="B103" s="81">
        <v>1.00010851E8</v>
      </c>
      <c r="C103" s="89" t="s">
        <v>138</v>
      </c>
      <c r="D103" s="83"/>
      <c r="E103" s="95">
        <v>956.87</v>
      </c>
      <c r="F103" s="65">
        <v>899.0</v>
      </c>
      <c r="G103" s="65">
        <v>800.11</v>
      </c>
      <c r="H103" s="41">
        <f t="shared" si="1"/>
        <v>885.3266667</v>
      </c>
      <c r="I103" s="49">
        <f t="shared" si="10"/>
        <v>0.1959230606</v>
      </c>
      <c r="J103" s="43">
        <f t="shared" si="16"/>
        <v>0.08081009646</v>
      </c>
      <c r="K103" s="58">
        <v>45818.0</v>
      </c>
      <c r="L103" s="50">
        <f t="shared" si="17"/>
        <v>46001</v>
      </c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9"/>
      <c r="B104" s="81">
        <v>1.00010865E8</v>
      </c>
      <c r="C104" s="89" t="s">
        <v>139</v>
      </c>
      <c r="D104" s="83" t="s">
        <v>140</v>
      </c>
      <c r="E104" s="95">
        <v>499.9</v>
      </c>
      <c r="F104" s="65">
        <v>424.0</v>
      </c>
      <c r="G104" s="65">
        <v>499.0</v>
      </c>
      <c r="H104" s="41">
        <f t="shared" si="1"/>
        <v>474.3</v>
      </c>
      <c r="I104" s="49">
        <f t="shared" si="10"/>
        <v>0.179009434</v>
      </c>
      <c r="J104" s="43">
        <f t="shared" si="16"/>
        <v>0.05397427788</v>
      </c>
      <c r="K104" s="58">
        <v>45848.0</v>
      </c>
      <c r="L104" s="50">
        <f t="shared" si="17"/>
        <v>46032</v>
      </c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9"/>
      <c r="B105" s="81">
        <v>1.00011316E8</v>
      </c>
      <c r="C105" s="89" t="s">
        <v>141</v>
      </c>
      <c r="D105" s="83"/>
      <c r="E105" s="95">
        <v>1073.0</v>
      </c>
      <c r="F105" s="63">
        <v>1244.91</v>
      </c>
      <c r="G105" s="54">
        <v>1634.99</v>
      </c>
      <c r="H105" s="41">
        <f t="shared" si="1"/>
        <v>1317.633333</v>
      </c>
      <c r="I105" s="49">
        <f t="shared" si="10"/>
        <v>0.5237558248</v>
      </c>
      <c r="J105" s="43">
        <f t="shared" si="16"/>
        <v>0.2408535506</v>
      </c>
      <c r="K105" s="58">
        <v>45882.0</v>
      </c>
      <c r="L105" s="50">
        <f t="shared" si="17"/>
        <v>46066</v>
      </c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9"/>
      <c r="B106" s="81">
        <v>1.00011324E8</v>
      </c>
      <c r="C106" s="89" t="s">
        <v>142</v>
      </c>
      <c r="D106" s="83"/>
      <c r="E106" s="95">
        <v>356.4</v>
      </c>
      <c r="F106" s="64">
        <v>396.21</v>
      </c>
      <c r="G106" s="65">
        <v>347.23</v>
      </c>
      <c r="H106" s="41">
        <f t="shared" si="1"/>
        <v>366.6133333</v>
      </c>
      <c r="I106" s="49">
        <f t="shared" si="10"/>
        <v>0.1410592403</v>
      </c>
      <c r="J106" s="43"/>
      <c r="K106" s="58">
        <v>45849.0</v>
      </c>
      <c r="L106" s="50">
        <f t="shared" si="17"/>
        <v>46033</v>
      </c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9"/>
      <c r="B107" s="81">
        <v>1.00011327E8</v>
      </c>
      <c r="C107" s="89" t="s">
        <v>760</v>
      </c>
      <c r="D107" s="83"/>
      <c r="E107" s="95">
        <v>10450.83</v>
      </c>
      <c r="F107" s="64">
        <v>11612.03</v>
      </c>
      <c r="G107" s="65">
        <v>11147.55</v>
      </c>
      <c r="H107" s="41">
        <f t="shared" si="1"/>
        <v>11070.13667</v>
      </c>
      <c r="I107" s="49">
        <f t="shared" si="10"/>
        <v>0.1111107922</v>
      </c>
      <c r="J107" s="43">
        <f t="shared" ref="J107:J149" si="18">IF(ISERROR(MAX(E107:G107)/H107-1),"",(MAX(E107:G107)/H107-1))</f>
        <v>0.04895091629</v>
      </c>
      <c r="K107" s="58">
        <v>45849.0</v>
      </c>
      <c r="L107" s="50">
        <f t="shared" si="17"/>
        <v>46033</v>
      </c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9"/>
      <c r="B108" s="81">
        <v>1.00011731E8</v>
      </c>
      <c r="C108" s="89" t="s">
        <v>144</v>
      </c>
      <c r="D108" s="83"/>
      <c r="E108" s="91">
        <v>3549.0</v>
      </c>
      <c r="F108" s="88">
        <v>3999.0</v>
      </c>
      <c r="G108" s="88">
        <v>3499.0</v>
      </c>
      <c r="H108" s="41">
        <f t="shared" si="1"/>
        <v>3682.333333</v>
      </c>
      <c r="I108" s="49">
        <f t="shared" si="10"/>
        <v>0.1428979708</v>
      </c>
      <c r="J108" s="43">
        <f t="shared" si="18"/>
        <v>0.08599619806</v>
      </c>
      <c r="K108" s="58">
        <v>45848.0</v>
      </c>
      <c r="L108" s="50">
        <f t="shared" si="17"/>
        <v>46032</v>
      </c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9"/>
      <c r="B109" s="81">
        <v>1.00011995E8</v>
      </c>
      <c r="C109" s="89" t="s">
        <v>145</v>
      </c>
      <c r="D109" s="83"/>
      <c r="E109" s="95">
        <v>3758.87</v>
      </c>
      <c r="F109" s="65">
        <v>3757.9</v>
      </c>
      <c r="G109" s="65">
        <v>4100.0</v>
      </c>
      <c r="H109" s="41">
        <f t="shared" si="1"/>
        <v>3872.256667</v>
      </c>
      <c r="I109" s="49">
        <f t="shared" si="10"/>
        <v>0.09103488651</v>
      </c>
      <c r="J109" s="43">
        <f t="shared" si="18"/>
        <v>0.05881411098</v>
      </c>
      <c r="K109" s="58">
        <v>45861.0</v>
      </c>
      <c r="L109" s="50">
        <f t="shared" si="17"/>
        <v>46045</v>
      </c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9"/>
      <c r="B110" s="81">
        <v>1.00012058E8</v>
      </c>
      <c r="C110" s="89" t="s">
        <v>146</v>
      </c>
      <c r="D110" s="83"/>
      <c r="E110" s="95">
        <v>234.4</v>
      </c>
      <c r="F110" s="65">
        <v>227.88</v>
      </c>
      <c r="G110" s="65">
        <v>246.44</v>
      </c>
      <c r="H110" s="41">
        <f t="shared" si="1"/>
        <v>236.24</v>
      </c>
      <c r="I110" s="49">
        <f t="shared" si="10"/>
        <v>0.08144637529</v>
      </c>
      <c r="J110" s="43">
        <f t="shared" si="18"/>
        <v>0.04317643075</v>
      </c>
      <c r="K110" s="58">
        <v>45848.0</v>
      </c>
      <c r="L110" s="50">
        <f t="shared" si="17"/>
        <v>46032</v>
      </c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9"/>
      <c r="B111" s="81">
        <v>1.00012258E8</v>
      </c>
      <c r="C111" s="89" t="s">
        <v>147</v>
      </c>
      <c r="D111" s="83"/>
      <c r="E111" s="91">
        <v>3586.16</v>
      </c>
      <c r="F111" s="88">
        <v>3842.43</v>
      </c>
      <c r="G111" s="88">
        <v>3936.98</v>
      </c>
      <c r="H111" s="41">
        <f t="shared" si="1"/>
        <v>3788.523333</v>
      </c>
      <c r="I111" s="49">
        <f t="shared" si="10"/>
        <v>0.09782608696</v>
      </c>
      <c r="J111" s="43">
        <f t="shared" si="18"/>
        <v>0.03918589213</v>
      </c>
      <c r="K111" s="58">
        <v>45849.0</v>
      </c>
      <c r="L111" s="50">
        <f t="shared" si="17"/>
        <v>46033</v>
      </c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9"/>
      <c r="B112" s="81">
        <v>1.00012268E8</v>
      </c>
      <c r="C112" s="89" t="s">
        <v>59</v>
      </c>
      <c r="D112" s="127"/>
      <c r="E112" s="95">
        <v>970.0</v>
      </c>
      <c r="F112" s="65">
        <v>990.0</v>
      </c>
      <c r="G112" s="65">
        <v>1059.25</v>
      </c>
      <c r="H112" s="41">
        <f t="shared" si="1"/>
        <v>1006.416667</v>
      </c>
      <c r="I112" s="49">
        <f t="shared" si="10"/>
        <v>0.09201030928</v>
      </c>
      <c r="J112" s="43">
        <f t="shared" si="18"/>
        <v>0.05249648091</v>
      </c>
      <c r="K112" s="58">
        <v>45852.0</v>
      </c>
      <c r="L112" s="50">
        <f t="shared" si="17"/>
        <v>46036</v>
      </c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9"/>
      <c r="B113" s="81">
        <v>1.00012305E8</v>
      </c>
      <c r="C113" s="89" t="s">
        <v>148</v>
      </c>
      <c r="D113" s="83" t="s">
        <v>149</v>
      </c>
      <c r="E113" s="95">
        <v>2359.0</v>
      </c>
      <c r="F113" s="65">
        <v>2349.0</v>
      </c>
      <c r="G113" s="65">
        <v>2499.0</v>
      </c>
      <c r="H113" s="41">
        <f t="shared" si="1"/>
        <v>2402.333333</v>
      </c>
      <c r="I113" s="49">
        <f t="shared" si="10"/>
        <v>0.06385696041</v>
      </c>
      <c r="J113" s="43">
        <f t="shared" si="18"/>
        <v>0.04023865686</v>
      </c>
      <c r="K113" s="58">
        <v>45852.0</v>
      </c>
      <c r="L113" s="50">
        <f t="shared" si="17"/>
        <v>46036</v>
      </c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9"/>
      <c r="B114" s="81">
        <v>1.00012305E8</v>
      </c>
      <c r="C114" s="89" t="s">
        <v>148</v>
      </c>
      <c r="D114" s="83" t="s">
        <v>150</v>
      </c>
      <c r="E114" s="95">
        <v>3389.9</v>
      </c>
      <c r="F114" s="65">
        <v>3887.78</v>
      </c>
      <c r="G114" s="65">
        <v>3630.6</v>
      </c>
      <c r="H114" s="41">
        <f t="shared" si="1"/>
        <v>3636.093333</v>
      </c>
      <c r="I114" s="49">
        <f t="shared" si="10"/>
        <v>0.1468715891</v>
      </c>
      <c r="J114" s="43">
        <f t="shared" si="18"/>
        <v>0.06921897861</v>
      </c>
      <c r="K114" s="58">
        <v>45853.0</v>
      </c>
      <c r="L114" s="50">
        <f t="shared" si="17"/>
        <v>46037</v>
      </c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9"/>
      <c r="B115" s="81">
        <v>1.00012476E8</v>
      </c>
      <c r="C115" s="89" t="s">
        <v>151</v>
      </c>
      <c r="D115" s="83"/>
      <c r="E115" s="95">
        <v>651.9</v>
      </c>
      <c r="F115" s="65">
        <v>799.0</v>
      </c>
      <c r="G115" s="65">
        <v>721.65</v>
      </c>
      <c r="H115" s="41">
        <f t="shared" si="1"/>
        <v>724.1833333</v>
      </c>
      <c r="I115" s="49">
        <f t="shared" si="10"/>
        <v>0.2256481055</v>
      </c>
      <c r="J115" s="43">
        <f t="shared" si="18"/>
        <v>0.1033117765</v>
      </c>
      <c r="K115" s="58">
        <v>45852.0</v>
      </c>
      <c r="L115" s="50">
        <f t="shared" si="17"/>
        <v>46036</v>
      </c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9"/>
      <c r="B116" s="81">
        <v>1.00012533E8</v>
      </c>
      <c r="C116" s="89" t="s">
        <v>132</v>
      </c>
      <c r="D116" s="83" t="s">
        <v>152</v>
      </c>
      <c r="E116" s="91">
        <v>1699.0</v>
      </c>
      <c r="F116" s="88">
        <v>1449.0</v>
      </c>
      <c r="G116" s="88">
        <v>1739.11</v>
      </c>
      <c r="H116" s="41">
        <f t="shared" si="1"/>
        <v>1629.036667</v>
      </c>
      <c r="I116" s="49">
        <f t="shared" si="10"/>
        <v>0.2002139406</v>
      </c>
      <c r="J116" s="43">
        <f t="shared" si="18"/>
        <v>0.06756958612</v>
      </c>
      <c r="K116" s="58">
        <v>45852.0</v>
      </c>
      <c r="L116" s="50">
        <f t="shared" si="17"/>
        <v>46036</v>
      </c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9"/>
      <c r="B117" s="81">
        <v>1.00012534E8</v>
      </c>
      <c r="C117" s="89" t="s">
        <v>153</v>
      </c>
      <c r="D117" s="83" t="s">
        <v>154</v>
      </c>
      <c r="E117" s="91">
        <v>799.0</v>
      </c>
      <c r="F117" s="88">
        <v>990.0</v>
      </c>
      <c r="G117" s="88">
        <v>871.5</v>
      </c>
      <c r="H117" s="41">
        <f t="shared" si="1"/>
        <v>886.8333333</v>
      </c>
      <c r="I117" s="49">
        <f t="shared" si="10"/>
        <v>0.239048811</v>
      </c>
      <c r="J117" s="43">
        <f t="shared" si="18"/>
        <v>0.1163315166</v>
      </c>
      <c r="K117" s="58">
        <v>45852.0</v>
      </c>
      <c r="L117" s="50">
        <f t="shared" si="17"/>
        <v>46036</v>
      </c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9"/>
      <c r="B118" s="81">
        <v>1.00012539E8</v>
      </c>
      <c r="C118" s="89" t="s">
        <v>155</v>
      </c>
      <c r="D118" s="83"/>
      <c r="E118" s="91">
        <v>1498.0</v>
      </c>
      <c r="F118" s="88">
        <v>1516.9</v>
      </c>
      <c r="G118" s="88">
        <v>1397.91</v>
      </c>
      <c r="H118" s="41">
        <f t="shared" si="1"/>
        <v>1470.936667</v>
      </c>
      <c r="I118" s="49">
        <f t="shared" si="10"/>
        <v>0.08511992904</v>
      </c>
      <c r="J118" s="43">
        <f t="shared" si="18"/>
        <v>0.03124766305</v>
      </c>
      <c r="K118" s="58">
        <v>45852.0</v>
      </c>
      <c r="L118" s="50">
        <f t="shared" si="17"/>
        <v>46036</v>
      </c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9"/>
      <c r="B119" s="81">
        <v>1.00012544E8</v>
      </c>
      <c r="C119" s="89" t="s">
        <v>156</v>
      </c>
      <c r="D119" s="128"/>
      <c r="E119" s="95">
        <v>16851.44</v>
      </c>
      <c r="F119" s="64">
        <v>15749.0</v>
      </c>
      <c r="G119" s="64">
        <v>18371.03</v>
      </c>
      <c r="H119" s="41">
        <f t="shared" si="1"/>
        <v>16990.49</v>
      </c>
      <c r="I119" s="49">
        <f t="shared" si="10"/>
        <v>0.1664886659</v>
      </c>
      <c r="J119" s="43">
        <f t="shared" si="18"/>
        <v>0.08125368956</v>
      </c>
      <c r="K119" s="58">
        <v>45852.0</v>
      </c>
      <c r="L119" s="50">
        <f t="shared" si="17"/>
        <v>46036</v>
      </c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9"/>
      <c r="B120" s="81">
        <v>1.00012545E8</v>
      </c>
      <c r="C120" s="89" t="s">
        <v>157</v>
      </c>
      <c r="D120" s="128" t="s">
        <v>158</v>
      </c>
      <c r="E120" s="95">
        <v>1823.81</v>
      </c>
      <c r="F120" s="64">
        <v>1938.79</v>
      </c>
      <c r="G120" s="64">
        <v>2233.3</v>
      </c>
      <c r="H120" s="41">
        <f t="shared" si="1"/>
        <v>1998.633333</v>
      </c>
      <c r="I120" s="49">
        <f t="shared" si="10"/>
        <v>0.2245244845</v>
      </c>
      <c r="J120" s="43">
        <f t="shared" si="18"/>
        <v>0.1174135659</v>
      </c>
      <c r="K120" s="58">
        <v>45852.0</v>
      </c>
      <c r="L120" s="50">
        <f t="shared" si="17"/>
        <v>46036</v>
      </c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9"/>
      <c r="B121" s="81">
        <v>1.00012545E8</v>
      </c>
      <c r="C121" s="89" t="s">
        <v>157</v>
      </c>
      <c r="D121" s="128" t="s">
        <v>159</v>
      </c>
      <c r="E121" s="95">
        <v>2009.57</v>
      </c>
      <c r="F121" s="64">
        <v>1899.9</v>
      </c>
      <c r="G121" s="64">
        <v>1777.77</v>
      </c>
      <c r="H121" s="41">
        <f t="shared" si="1"/>
        <v>1895.746667</v>
      </c>
      <c r="I121" s="49">
        <f t="shared" si="10"/>
        <v>0.1303880704</v>
      </c>
      <c r="J121" s="43">
        <f t="shared" si="18"/>
        <v>0.06004142607</v>
      </c>
      <c r="K121" s="58">
        <v>45852.0</v>
      </c>
      <c r="L121" s="50">
        <f t="shared" si="17"/>
        <v>46036</v>
      </c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9"/>
      <c r="B122" s="81">
        <v>1.00012551E8</v>
      </c>
      <c r="C122" s="89" t="s">
        <v>160</v>
      </c>
      <c r="D122" s="128" t="s">
        <v>161</v>
      </c>
      <c r="E122" s="95">
        <v>1510.9</v>
      </c>
      <c r="F122" s="64">
        <v>1854.9</v>
      </c>
      <c r="G122" s="64">
        <v>1563.09</v>
      </c>
      <c r="H122" s="41">
        <f t="shared" si="1"/>
        <v>1642.963333</v>
      </c>
      <c r="I122" s="49">
        <f t="shared" si="10"/>
        <v>0.2276788669</v>
      </c>
      <c r="J122" s="43">
        <f t="shared" si="18"/>
        <v>0.1289965895</v>
      </c>
      <c r="K122" s="58">
        <v>45852.0</v>
      </c>
      <c r="L122" s="50">
        <f t="shared" si="17"/>
        <v>46036</v>
      </c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9"/>
      <c r="B123" s="81">
        <v>1.00012551E8</v>
      </c>
      <c r="C123" s="89" t="s">
        <v>160</v>
      </c>
      <c r="D123" s="83" t="s">
        <v>162</v>
      </c>
      <c r="E123" s="95">
        <v>1349.0</v>
      </c>
      <c r="F123" s="65">
        <v>1498.89</v>
      </c>
      <c r="G123" s="65">
        <v>1282.41</v>
      </c>
      <c r="H123" s="41">
        <f t="shared" si="1"/>
        <v>1376.766667</v>
      </c>
      <c r="I123" s="49">
        <f t="shared" si="10"/>
        <v>0.1688071678</v>
      </c>
      <c r="J123" s="43">
        <f t="shared" si="18"/>
        <v>0.08870299978</v>
      </c>
      <c r="K123" s="58">
        <v>45852.0</v>
      </c>
      <c r="L123" s="50">
        <f t="shared" si="17"/>
        <v>46036</v>
      </c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9"/>
      <c r="B124" s="81">
        <v>1.00012907E8</v>
      </c>
      <c r="C124" s="89" t="s">
        <v>163</v>
      </c>
      <c r="D124" s="83"/>
      <c r="E124" s="91">
        <v>659.65</v>
      </c>
      <c r="F124" s="88">
        <v>647.94</v>
      </c>
      <c r="G124" s="88">
        <v>595.09</v>
      </c>
      <c r="H124" s="41">
        <f t="shared" si="1"/>
        <v>634.2266667</v>
      </c>
      <c r="I124" s="49">
        <f t="shared" si="10"/>
        <v>0.1084877918</v>
      </c>
      <c r="J124" s="43">
        <f t="shared" si="18"/>
        <v>0.04008556352</v>
      </c>
      <c r="K124" s="58">
        <v>45852.0</v>
      </c>
      <c r="L124" s="50">
        <f t="shared" si="17"/>
        <v>46036</v>
      </c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9"/>
      <c r="B125" s="81">
        <v>1.00012915E8</v>
      </c>
      <c r="C125" s="89" t="s">
        <v>164</v>
      </c>
      <c r="D125" s="83"/>
      <c r="E125" s="95">
        <v>1494.53</v>
      </c>
      <c r="F125" s="65">
        <v>1401.34</v>
      </c>
      <c r="G125" s="65">
        <v>1265.0</v>
      </c>
      <c r="H125" s="41">
        <f t="shared" si="1"/>
        <v>1386.956667</v>
      </c>
      <c r="I125" s="49">
        <f t="shared" si="10"/>
        <v>0.1814466403</v>
      </c>
      <c r="J125" s="43">
        <f t="shared" si="18"/>
        <v>0.07756070245</v>
      </c>
      <c r="K125" s="58">
        <v>45852.0</v>
      </c>
      <c r="L125" s="50">
        <f t="shared" si="17"/>
        <v>46036</v>
      </c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9"/>
      <c r="B126" s="81">
        <v>1.00012923E8</v>
      </c>
      <c r="C126" s="89" t="s">
        <v>165</v>
      </c>
      <c r="D126" s="128"/>
      <c r="E126" s="95">
        <v>3449.9</v>
      </c>
      <c r="F126" s="65">
        <v>3529.0</v>
      </c>
      <c r="G126" s="65">
        <v>4054.96</v>
      </c>
      <c r="H126" s="41">
        <f t="shared" si="1"/>
        <v>3677.953333</v>
      </c>
      <c r="I126" s="49">
        <f t="shared" si="10"/>
        <v>0.1753847938</v>
      </c>
      <c r="J126" s="43">
        <f t="shared" si="18"/>
        <v>0.1025044726</v>
      </c>
      <c r="K126" s="58">
        <v>45852.0</v>
      </c>
      <c r="L126" s="50">
        <f t="shared" si="17"/>
        <v>46036</v>
      </c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9"/>
      <c r="B127" s="81">
        <v>1.00013107E8</v>
      </c>
      <c r="C127" s="89" t="s">
        <v>166</v>
      </c>
      <c r="D127" s="83"/>
      <c r="E127" s="91">
        <v>3625.27</v>
      </c>
      <c r="F127" s="88">
        <v>3876.33</v>
      </c>
      <c r="G127" s="88">
        <v>3869.9</v>
      </c>
      <c r="H127" s="41">
        <f t="shared" si="1"/>
        <v>3790.5</v>
      </c>
      <c r="I127" s="49">
        <f t="shared" si="10"/>
        <v>0.0692527729</v>
      </c>
      <c r="J127" s="43">
        <f t="shared" si="18"/>
        <v>0.02264345073</v>
      </c>
      <c r="K127" s="58">
        <v>45852.0</v>
      </c>
      <c r="L127" s="50">
        <f t="shared" si="17"/>
        <v>46036</v>
      </c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9"/>
      <c r="B128" s="81">
        <v>1.00012529E8</v>
      </c>
      <c r="C128" s="89" t="s">
        <v>167</v>
      </c>
      <c r="D128" s="83" t="s">
        <v>168</v>
      </c>
      <c r="E128" s="91">
        <v>671.31</v>
      </c>
      <c r="F128" s="88">
        <v>709.9</v>
      </c>
      <c r="G128" s="88">
        <v>703.33</v>
      </c>
      <c r="H128" s="41">
        <f t="shared" si="1"/>
        <v>694.8466667</v>
      </c>
      <c r="I128" s="49">
        <f t="shared" si="10"/>
        <v>0.05748461962</v>
      </c>
      <c r="J128" s="43">
        <f t="shared" si="18"/>
        <v>0.02166425207</v>
      </c>
      <c r="K128" s="78"/>
      <c r="L128" s="50">
        <f t="shared" si="17"/>
        <v>182</v>
      </c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9"/>
      <c r="B129" s="81">
        <v>1.00012529E8</v>
      </c>
      <c r="C129" s="89" t="s">
        <v>167</v>
      </c>
      <c r="D129" s="127" t="s">
        <v>169</v>
      </c>
      <c r="E129" s="95">
        <v>1569.0</v>
      </c>
      <c r="F129" s="65">
        <v>1666.64</v>
      </c>
      <c r="G129" s="65">
        <v>1681.0</v>
      </c>
      <c r="H129" s="41">
        <f t="shared" si="1"/>
        <v>1638.88</v>
      </c>
      <c r="I129" s="49">
        <f t="shared" si="10"/>
        <v>0.07138304653</v>
      </c>
      <c r="J129" s="43">
        <f t="shared" si="18"/>
        <v>0.02570047838</v>
      </c>
      <c r="K129" s="78"/>
      <c r="L129" s="50">
        <f t="shared" si="17"/>
        <v>182</v>
      </c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9"/>
      <c r="B130" s="81">
        <v>1.00012307E8</v>
      </c>
      <c r="C130" s="89" t="s">
        <v>170</v>
      </c>
      <c r="D130" s="83" t="s">
        <v>171</v>
      </c>
      <c r="E130" s="131">
        <v>455.91</v>
      </c>
      <c r="F130" s="88">
        <v>414.99</v>
      </c>
      <c r="G130" s="88">
        <v>495.0</v>
      </c>
      <c r="H130" s="41">
        <f t="shared" si="1"/>
        <v>455.3</v>
      </c>
      <c r="I130" s="49">
        <f t="shared" si="10"/>
        <v>0.1927998265</v>
      </c>
      <c r="J130" s="43">
        <f t="shared" si="18"/>
        <v>0.08719525588</v>
      </c>
      <c r="K130" s="58">
        <v>45853.0</v>
      </c>
      <c r="L130" s="50">
        <f t="shared" si="17"/>
        <v>46037</v>
      </c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9"/>
      <c r="B131" s="81">
        <v>1.00012307E8</v>
      </c>
      <c r="C131" s="89" t="s">
        <v>170</v>
      </c>
      <c r="D131" s="83" t="s">
        <v>172</v>
      </c>
      <c r="E131" s="131">
        <v>399.0</v>
      </c>
      <c r="F131" s="88">
        <v>345.0</v>
      </c>
      <c r="G131" s="88">
        <v>387.48</v>
      </c>
      <c r="H131" s="41">
        <f t="shared" si="1"/>
        <v>377.16</v>
      </c>
      <c r="I131" s="49">
        <f t="shared" si="10"/>
        <v>0.1565217391</v>
      </c>
      <c r="J131" s="43">
        <f t="shared" si="18"/>
        <v>0.0579064588</v>
      </c>
      <c r="K131" s="58">
        <v>45853.0</v>
      </c>
      <c r="L131" s="50">
        <f t="shared" si="17"/>
        <v>46037</v>
      </c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9"/>
      <c r="B132" s="81">
        <v>1.00012307E8</v>
      </c>
      <c r="C132" s="89" t="s">
        <v>170</v>
      </c>
      <c r="D132" s="83" t="s">
        <v>173</v>
      </c>
      <c r="E132" s="131">
        <v>1533.45</v>
      </c>
      <c r="F132" s="88">
        <v>1349.44</v>
      </c>
      <c r="G132" s="88">
        <v>1614.16</v>
      </c>
      <c r="H132" s="41">
        <f t="shared" si="1"/>
        <v>1499.016667</v>
      </c>
      <c r="I132" s="49">
        <f t="shared" si="10"/>
        <v>0.1961702632</v>
      </c>
      <c r="J132" s="43">
        <f t="shared" si="18"/>
        <v>0.07681257713</v>
      </c>
      <c r="K132" s="58">
        <v>45853.0</v>
      </c>
      <c r="L132" s="50">
        <f t="shared" si="17"/>
        <v>46037</v>
      </c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9"/>
      <c r="B133" s="81">
        <v>1.00012307E8</v>
      </c>
      <c r="C133" s="89" t="s">
        <v>170</v>
      </c>
      <c r="D133" s="83" t="s">
        <v>174</v>
      </c>
      <c r="E133" s="131">
        <v>362.98</v>
      </c>
      <c r="F133" s="88">
        <v>370.44</v>
      </c>
      <c r="G133" s="88">
        <v>450.9</v>
      </c>
      <c r="H133" s="41">
        <f t="shared" si="1"/>
        <v>394.7733333</v>
      </c>
      <c r="I133" s="49">
        <f t="shared" si="10"/>
        <v>0.242217202</v>
      </c>
      <c r="J133" s="43">
        <f t="shared" si="18"/>
        <v>0.1421744123</v>
      </c>
      <c r="K133" s="58">
        <v>45882.0</v>
      </c>
      <c r="L133" s="50">
        <f t="shared" si="17"/>
        <v>46066</v>
      </c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9"/>
      <c r="B134" s="81">
        <v>1.00012307E8</v>
      </c>
      <c r="C134" s="89" t="s">
        <v>170</v>
      </c>
      <c r="D134" s="83" t="s">
        <v>175</v>
      </c>
      <c r="E134" s="131">
        <v>815.64</v>
      </c>
      <c r="F134" s="88">
        <v>780.92</v>
      </c>
      <c r="G134" s="88">
        <v>815.64</v>
      </c>
      <c r="H134" s="41">
        <f t="shared" si="1"/>
        <v>804.0666667</v>
      </c>
      <c r="I134" s="49">
        <f t="shared" si="10"/>
        <v>0.04446038006</v>
      </c>
      <c r="J134" s="43">
        <f t="shared" si="18"/>
        <v>0.01439349971</v>
      </c>
      <c r="K134" s="58">
        <v>45853.0</v>
      </c>
      <c r="L134" s="50">
        <f t="shared" si="17"/>
        <v>46037</v>
      </c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9"/>
      <c r="B135" s="81">
        <v>1.00012525E8</v>
      </c>
      <c r="C135" s="89" t="s">
        <v>176</v>
      </c>
      <c r="D135" s="83"/>
      <c r="E135" s="95">
        <v>2699.9</v>
      </c>
      <c r="F135" s="65">
        <v>2699.0</v>
      </c>
      <c r="G135" s="65">
        <v>2239.0</v>
      </c>
      <c r="H135" s="41">
        <f t="shared" si="1"/>
        <v>2545.966667</v>
      </c>
      <c r="I135" s="49">
        <f t="shared" si="10"/>
        <v>0.2058508263</v>
      </c>
      <c r="J135" s="43">
        <f t="shared" si="18"/>
        <v>0.06046164522</v>
      </c>
      <c r="K135" s="78"/>
      <c r="L135" s="50">
        <f t="shared" si="17"/>
        <v>182</v>
      </c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9"/>
      <c r="B136" s="81">
        <v>1.00012548E8</v>
      </c>
      <c r="C136" s="89" t="s">
        <v>177</v>
      </c>
      <c r="D136" s="83"/>
      <c r="E136" s="95">
        <v>15931.09</v>
      </c>
      <c r="F136" s="64">
        <v>13200.0</v>
      </c>
      <c r="G136" s="64">
        <v>14056.7</v>
      </c>
      <c r="H136" s="41">
        <f t="shared" si="1"/>
        <v>14395.93</v>
      </c>
      <c r="I136" s="49">
        <f t="shared" si="10"/>
        <v>0.2069007576</v>
      </c>
      <c r="J136" s="43">
        <f t="shared" si="18"/>
        <v>0.1066384735</v>
      </c>
      <c r="K136" s="58">
        <v>45853.0</v>
      </c>
      <c r="L136" s="50">
        <f t="shared" si="17"/>
        <v>46037</v>
      </c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9"/>
      <c r="B137" s="81">
        <v>1.00012553E8</v>
      </c>
      <c r="C137" s="89" t="s">
        <v>178</v>
      </c>
      <c r="D137" s="83"/>
      <c r="E137" s="131">
        <v>956.87</v>
      </c>
      <c r="F137" s="91">
        <v>899.0</v>
      </c>
      <c r="G137" s="88">
        <v>800.11</v>
      </c>
      <c r="H137" s="41">
        <f t="shared" si="1"/>
        <v>885.3266667</v>
      </c>
      <c r="I137" s="49">
        <f t="shared" si="10"/>
        <v>0.1959230606</v>
      </c>
      <c r="J137" s="43">
        <f t="shared" si="18"/>
        <v>0.08081009646</v>
      </c>
      <c r="K137" s="58">
        <v>45853.0</v>
      </c>
      <c r="L137" s="50">
        <f t="shared" si="17"/>
        <v>46037</v>
      </c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9"/>
      <c r="B138" s="81">
        <v>1.00012583E8</v>
      </c>
      <c r="C138" s="89" t="s">
        <v>179</v>
      </c>
      <c r="D138" s="83"/>
      <c r="E138" s="95">
        <v>155.29</v>
      </c>
      <c r="F138" s="65">
        <v>169.88</v>
      </c>
      <c r="G138" s="65">
        <v>169.9</v>
      </c>
      <c r="H138" s="41">
        <f t="shared" si="1"/>
        <v>165.0233333</v>
      </c>
      <c r="I138" s="49">
        <f t="shared" si="10"/>
        <v>0.09408204005</v>
      </c>
      <c r="J138" s="43">
        <f t="shared" si="18"/>
        <v>0.02955137657</v>
      </c>
      <c r="K138" s="58">
        <v>45853.0</v>
      </c>
      <c r="L138" s="50">
        <f t="shared" si="17"/>
        <v>46037</v>
      </c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9"/>
      <c r="B139" s="81">
        <v>1.00012595E8</v>
      </c>
      <c r="C139" s="89" t="s">
        <v>63</v>
      </c>
      <c r="D139" s="83"/>
      <c r="E139" s="131">
        <v>230.41</v>
      </c>
      <c r="F139" s="88">
        <v>298.43</v>
      </c>
      <c r="G139" s="88">
        <v>286.2</v>
      </c>
      <c r="H139" s="41">
        <f t="shared" si="1"/>
        <v>271.68</v>
      </c>
      <c r="I139" s="49">
        <f t="shared" si="10"/>
        <v>0.2952128814</v>
      </c>
      <c r="J139" s="43">
        <f t="shared" si="18"/>
        <v>0.09846142521</v>
      </c>
      <c r="K139" s="58">
        <v>45853.0</v>
      </c>
      <c r="L139" s="50">
        <f t="shared" si="17"/>
        <v>46037</v>
      </c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9"/>
      <c r="B140" s="81">
        <v>1.00012637E8</v>
      </c>
      <c r="C140" s="89" t="s">
        <v>180</v>
      </c>
      <c r="D140" s="83"/>
      <c r="E140" s="131">
        <v>299.9</v>
      </c>
      <c r="F140" s="88">
        <v>305.28</v>
      </c>
      <c r="G140" s="88">
        <v>369.9</v>
      </c>
      <c r="H140" s="41">
        <f t="shared" si="1"/>
        <v>325.0266667</v>
      </c>
      <c r="I140" s="49">
        <f t="shared" si="10"/>
        <v>0.233411137</v>
      </c>
      <c r="J140" s="43">
        <f t="shared" si="18"/>
        <v>0.1380604668</v>
      </c>
      <c r="K140" s="58">
        <v>45853.0</v>
      </c>
      <c r="L140" s="50">
        <f t="shared" si="17"/>
        <v>46037</v>
      </c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9"/>
      <c r="B141" s="81">
        <v>1.00012599E8</v>
      </c>
      <c r="C141" s="89" t="s">
        <v>181</v>
      </c>
      <c r="D141" s="83"/>
      <c r="E141" s="131">
        <v>1140.0</v>
      </c>
      <c r="F141" s="88">
        <v>1200.0</v>
      </c>
      <c r="G141" s="88">
        <v>963.0</v>
      </c>
      <c r="H141" s="41">
        <f t="shared" si="1"/>
        <v>1101</v>
      </c>
      <c r="I141" s="49">
        <f t="shared" si="10"/>
        <v>0.246105919</v>
      </c>
      <c r="J141" s="43">
        <f t="shared" si="18"/>
        <v>0.08991825613</v>
      </c>
      <c r="K141" s="58">
        <v>45853.0</v>
      </c>
      <c r="L141" s="50">
        <f t="shared" si="17"/>
        <v>46037</v>
      </c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9"/>
      <c r="B142" s="81">
        <v>1.00012638E8</v>
      </c>
      <c r="C142" s="89" t="s">
        <v>182</v>
      </c>
      <c r="D142" s="83"/>
      <c r="E142" s="131">
        <v>1770.9</v>
      </c>
      <c r="F142" s="88">
        <v>1599.9</v>
      </c>
      <c r="G142" s="88">
        <v>1698.9</v>
      </c>
      <c r="H142" s="41">
        <f t="shared" si="1"/>
        <v>1689.9</v>
      </c>
      <c r="I142" s="49">
        <f t="shared" si="10"/>
        <v>0.1068816801</v>
      </c>
      <c r="J142" s="43">
        <f t="shared" si="18"/>
        <v>0.04793183029</v>
      </c>
      <c r="K142" s="58">
        <v>45853.0</v>
      </c>
      <c r="L142" s="50">
        <f t="shared" si="17"/>
        <v>46037</v>
      </c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9"/>
      <c r="B143" s="81">
        <v>1.0001264E8</v>
      </c>
      <c r="C143" s="89" t="s">
        <v>183</v>
      </c>
      <c r="D143" s="128"/>
      <c r="E143" s="95">
        <v>1351.99</v>
      </c>
      <c r="F143" s="65">
        <v>1599.99</v>
      </c>
      <c r="G143" s="65">
        <v>1479.0</v>
      </c>
      <c r="H143" s="41">
        <f t="shared" si="1"/>
        <v>1476.993333</v>
      </c>
      <c r="I143" s="49">
        <f t="shared" si="10"/>
        <v>0.1834333094</v>
      </c>
      <c r="J143" s="43">
        <f t="shared" si="18"/>
        <v>0.08327503171</v>
      </c>
      <c r="K143" s="58">
        <v>45854.0</v>
      </c>
      <c r="L143" s="50">
        <f t="shared" si="17"/>
        <v>46038</v>
      </c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9"/>
      <c r="B144" s="81">
        <v>1.00012641E8</v>
      </c>
      <c r="C144" s="89" t="s">
        <v>184</v>
      </c>
      <c r="D144" s="83" t="s">
        <v>185</v>
      </c>
      <c r="E144" s="131">
        <v>849.0</v>
      </c>
      <c r="F144" s="88">
        <v>949.0</v>
      </c>
      <c r="G144" s="88">
        <v>998.85</v>
      </c>
      <c r="H144" s="41">
        <f t="shared" si="1"/>
        <v>932.2833333</v>
      </c>
      <c r="I144" s="49">
        <f t="shared" si="10"/>
        <v>0.1765017668</v>
      </c>
      <c r="J144" s="43">
        <f t="shared" si="18"/>
        <v>0.07140175555</v>
      </c>
      <c r="K144" s="58">
        <v>45854.0</v>
      </c>
      <c r="L144" s="50">
        <f t="shared" si="17"/>
        <v>46038</v>
      </c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81">
        <v>1.00012641E8</v>
      </c>
      <c r="C145" s="89" t="s">
        <v>184</v>
      </c>
      <c r="D145" s="83" t="s">
        <v>186</v>
      </c>
      <c r="E145" s="96">
        <v>1399.9</v>
      </c>
      <c r="F145" s="65">
        <v>1415.53</v>
      </c>
      <c r="G145" s="65">
        <v>1599.9</v>
      </c>
      <c r="H145" s="41">
        <f t="shared" si="1"/>
        <v>1471.776667</v>
      </c>
      <c r="I145" s="49">
        <f t="shared" si="10"/>
        <v>0.1428673477</v>
      </c>
      <c r="J145" s="43">
        <f t="shared" si="18"/>
        <v>0.08705351582</v>
      </c>
      <c r="K145" s="58">
        <v>45854.0</v>
      </c>
      <c r="L145" s="50">
        <f t="shared" si="17"/>
        <v>46038</v>
      </c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81">
        <v>1.00012641E8</v>
      </c>
      <c r="C146" s="89" t="s">
        <v>184</v>
      </c>
      <c r="D146" s="83" t="s">
        <v>187</v>
      </c>
      <c r="E146" s="96">
        <v>1420.0</v>
      </c>
      <c r="F146" s="65">
        <v>1481.72</v>
      </c>
      <c r="G146" s="65">
        <v>1598.89</v>
      </c>
      <c r="H146" s="41">
        <f t="shared" si="1"/>
        <v>1500.203333</v>
      </c>
      <c r="I146" s="49">
        <f t="shared" si="10"/>
        <v>0.1259788732</v>
      </c>
      <c r="J146" s="43">
        <f t="shared" si="18"/>
        <v>0.06578219397</v>
      </c>
      <c r="K146" s="58">
        <v>45854.0</v>
      </c>
      <c r="L146" s="50">
        <f t="shared" si="17"/>
        <v>46038</v>
      </c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81">
        <v>1.00012641E8</v>
      </c>
      <c r="C147" s="89" t="s">
        <v>184</v>
      </c>
      <c r="D147" s="83" t="s">
        <v>188</v>
      </c>
      <c r="E147" s="96">
        <v>2472.63</v>
      </c>
      <c r="F147" s="65">
        <v>2499.0</v>
      </c>
      <c r="G147" s="65">
        <v>2782.64</v>
      </c>
      <c r="H147" s="41">
        <f t="shared" si="1"/>
        <v>2584.756667</v>
      </c>
      <c r="I147" s="49">
        <f t="shared" si="10"/>
        <v>0.1253766233</v>
      </c>
      <c r="J147" s="43">
        <f t="shared" si="18"/>
        <v>0.07655781911</v>
      </c>
      <c r="K147" s="58">
        <v>45854.0</v>
      </c>
      <c r="L147" s="50">
        <f t="shared" si="17"/>
        <v>46038</v>
      </c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81">
        <v>1.00012641E8</v>
      </c>
      <c r="C148" s="89" t="s">
        <v>184</v>
      </c>
      <c r="D148" s="127" t="s">
        <v>189</v>
      </c>
      <c r="E148" s="95">
        <v>2284.0</v>
      </c>
      <c r="F148" s="64">
        <v>2539.9</v>
      </c>
      <c r="G148" s="64">
        <v>2599.0</v>
      </c>
      <c r="H148" s="41">
        <f t="shared" si="1"/>
        <v>2474.3</v>
      </c>
      <c r="I148" s="49">
        <f t="shared" si="10"/>
        <v>0.137915937</v>
      </c>
      <c r="J148" s="43">
        <f t="shared" si="18"/>
        <v>0.05039809239</v>
      </c>
      <c r="K148" s="58">
        <v>45854.0</v>
      </c>
      <c r="L148" s="50">
        <f t="shared" si="17"/>
        <v>46038</v>
      </c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81">
        <v>1.00012641E8</v>
      </c>
      <c r="C149" s="89" t="s">
        <v>184</v>
      </c>
      <c r="D149" s="83" t="s">
        <v>190</v>
      </c>
      <c r="E149" s="91">
        <v>2905.82</v>
      </c>
      <c r="F149" s="87">
        <v>3008.9</v>
      </c>
      <c r="G149" s="87">
        <v>3099.0</v>
      </c>
      <c r="H149" s="41">
        <f t="shared" si="1"/>
        <v>3004.573333</v>
      </c>
      <c r="I149" s="49">
        <f t="shared" si="10"/>
        <v>0.06648037387</v>
      </c>
      <c r="J149" s="43">
        <f t="shared" si="18"/>
        <v>0.03142764586</v>
      </c>
      <c r="K149" s="58">
        <v>45854.0</v>
      </c>
      <c r="L149" s="50">
        <f t="shared" si="17"/>
        <v>46038</v>
      </c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81">
        <v>1.00012646E8</v>
      </c>
      <c r="C150" s="89" t="s">
        <v>191</v>
      </c>
      <c r="D150" s="83"/>
      <c r="E150" s="131">
        <v>2113.0</v>
      </c>
      <c r="F150" s="88">
        <v>2523.0</v>
      </c>
      <c r="G150" s="88">
        <v>2709.0</v>
      </c>
      <c r="H150" s="41">
        <f t="shared" si="1"/>
        <v>2448.333333</v>
      </c>
      <c r="I150" s="49">
        <f t="shared" si="10"/>
        <v>0.2820634169</v>
      </c>
      <c r="J150" s="43"/>
      <c r="K150" s="58">
        <v>45854.0</v>
      </c>
      <c r="L150" s="45">
        <f t="shared" si="17"/>
        <v>46038</v>
      </c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81">
        <v>1.00012661E8</v>
      </c>
      <c r="C151" s="89" t="s">
        <v>192</v>
      </c>
      <c r="D151" s="83"/>
      <c r="E151" s="95">
        <v>9383.87</v>
      </c>
      <c r="F151" s="65">
        <v>9695.88</v>
      </c>
      <c r="G151" s="65">
        <v>8679.28</v>
      </c>
      <c r="H151" s="41">
        <f t="shared" si="1"/>
        <v>9253.01</v>
      </c>
      <c r="I151" s="49">
        <f t="shared" si="10"/>
        <v>0.1171295315</v>
      </c>
      <c r="J151" s="43"/>
      <c r="K151" s="58">
        <v>45854.0</v>
      </c>
      <c r="L151" s="45">
        <f t="shared" si="17"/>
        <v>46038</v>
      </c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81">
        <v>1.00012788E8</v>
      </c>
      <c r="C152" s="89" t="s">
        <v>193</v>
      </c>
      <c r="D152" s="83"/>
      <c r="E152" s="95">
        <v>9989.0</v>
      </c>
      <c r="F152" s="64">
        <v>10108.96</v>
      </c>
      <c r="G152" s="64">
        <v>11663.1</v>
      </c>
      <c r="H152" s="41">
        <f t="shared" si="1"/>
        <v>10587.02</v>
      </c>
      <c r="I152" s="49">
        <f t="shared" si="10"/>
        <v>0.1675943538</v>
      </c>
      <c r="J152" s="43">
        <f t="shared" ref="J152:J158" si="19">IF(ISERROR(MAX(E152:G152)/H152-1),"",(MAX(E152:G152)/H152-1))</f>
        <v>0.101641444</v>
      </c>
      <c r="K152" s="58">
        <v>45854.0</v>
      </c>
      <c r="L152" s="50">
        <f t="shared" si="17"/>
        <v>46038</v>
      </c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81">
        <v>1.00012811E8</v>
      </c>
      <c r="C153" s="89" t="s">
        <v>194</v>
      </c>
      <c r="D153" s="83"/>
      <c r="E153" s="96">
        <v>925.08</v>
      </c>
      <c r="F153" s="65">
        <v>976.5</v>
      </c>
      <c r="G153" s="65">
        <v>790.0</v>
      </c>
      <c r="H153" s="41">
        <f t="shared" si="1"/>
        <v>897.1933333</v>
      </c>
      <c r="I153" s="49">
        <f t="shared" si="10"/>
        <v>0.2360759494</v>
      </c>
      <c r="J153" s="43">
        <f t="shared" si="19"/>
        <v>0.0883941774</v>
      </c>
      <c r="K153" s="58">
        <v>45854.0</v>
      </c>
      <c r="L153" s="50">
        <f t="shared" si="17"/>
        <v>46038</v>
      </c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133">
        <v>1.00010483E8</v>
      </c>
      <c r="C154" s="134" t="s">
        <v>195</v>
      </c>
      <c r="D154" s="67" t="s">
        <v>196</v>
      </c>
      <c r="E154" s="100">
        <v>368.99</v>
      </c>
      <c r="F154" s="63">
        <v>371.44</v>
      </c>
      <c r="G154" s="63">
        <v>384.9</v>
      </c>
      <c r="H154" s="41">
        <f t="shared" si="1"/>
        <v>375.11</v>
      </c>
      <c r="I154" s="49">
        <f t="shared" si="10"/>
        <v>0.04311769967</v>
      </c>
      <c r="J154" s="43">
        <f t="shared" si="19"/>
        <v>0.02609901096</v>
      </c>
      <c r="K154" s="58">
        <v>45874.0</v>
      </c>
      <c r="L154" s="50">
        <f t="shared" si="17"/>
        <v>46058</v>
      </c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133">
        <v>1.00010485E8</v>
      </c>
      <c r="C155" s="134" t="s">
        <v>197</v>
      </c>
      <c r="D155" s="67" t="s">
        <v>198</v>
      </c>
      <c r="E155" s="100">
        <v>1869.01</v>
      </c>
      <c r="F155" s="54">
        <v>1898.0</v>
      </c>
      <c r="G155" s="54">
        <v>1571.96</v>
      </c>
      <c r="H155" s="41">
        <f t="shared" si="1"/>
        <v>1779.656667</v>
      </c>
      <c r="I155" s="49">
        <f t="shared" si="10"/>
        <v>0.2074098578</v>
      </c>
      <c r="J155" s="43">
        <f t="shared" si="19"/>
        <v>0.06649784509</v>
      </c>
      <c r="K155" s="58">
        <v>45875.0</v>
      </c>
      <c r="L155" s="50">
        <f t="shared" si="17"/>
        <v>46059</v>
      </c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7">
        <v>1.00010771E8</v>
      </c>
      <c r="C156" s="98" t="s">
        <v>199</v>
      </c>
      <c r="D156" s="83"/>
      <c r="E156" s="100">
        <v>578.55</v>
      </c>
      <c r="F156" s="54">
        <v>564.56</v>
      </c>
      <c r="G156" s="54">
        <v>532.9</v>
      </c>
      <c r="H156" s="41">
        <f t="shared" si="1"/>
        <v>558.67</v>
      </c>
      <c r="I156" s="49">
        <f t="shared" si="10"/>
        <v>0.08566335147</v>
      </c>
      <c r="J156" s="43">
        <f t="shared" si="19"/>
        <v>0.03558451322</v>
      </c>
      <c r="K156" s="58">
        <v>45876.0</v>
      </c>
      <c r="L156" s="50">
        <f t="shared" si="17"/>
        <v>46060</v>
      </c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7">
        <v>1.00002286E8</v>
      </c>
      <c r="C157" s="98" t="s">
        <v>200</v>
      </c>
      <c r="D157" s="83"/>
      <c r="E157" s="132">
        <v>1499.0</v>
      </c>
      <c r="F157" s="57">
        <v>1592.47</v>
      </c>
      <c r="G157" s="57">
        <v>1399.0</v>
      </c>
      <c r="H157" s="41">
        <f t="shared" si="1"/>
        <v>1496.823333</v>
      </c>
      <c r="I157" s="49">
        <f t="shared" si="10"/>
        <v>0.1382916369</v>
      </c>
      <c r="J157" s="43">
        <f t="shared" si="19"/>
        <v>0.06389976996</v>
      </c>
      <c r="K157" s="58">
        <v>45876.0</v>
      </c>
      <c r="L157" s="50">
        <f t="shared" si="17"/>
        <v>46060</v>
      </c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7">
        <v>1.00010525E8</v>
      </c>
      <c r="C158" s="98" t="s">
        <v>201</v>
      </c>
      <c r="D158" s="83"/>
      <c r="E158" s="132">
        <v>403.75</v>
      </c>
      <c r="F158" s="57">
        <v>427.9</v>
      </c>
      <c r="G158" s="57">
        <v>412.6</v>
      </c>
      <c r="H158" s="41">
        <f t="shared" si="1"/>
        <v>414.75</v>
      </c>
      <c r="I158" s="49">
        <f t="shared" si="10"/>
        <v>0.05981424149</v>
      </c>
      <c r="J158" s="43">
        <f t="shared" si="19"/>
        <v>0.0317058469</v>
      </c>
      <c r="K158" s="58">
        <v>45876.0</v>
      </c>
      <c r="L158" s="50">
        <f t="shared" si="17"/>
        <v>46060</v>
      </c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7">
        <v>1.00010628E8</v>
      </c>
      <c r="C159" s="98" t="s">
        <v>202</v>
      </c>
      <c r="D159" s="83"/>
      <c r="E159" s="132">
        <v>950.0</v>
      </c>
      <c r="F159" s="57">
        <v>986.7</v>
      </c>
      <c r="G159" s="57">
        <v>1084.9</v>
      </c>
      <c r="H159" s="41">
        <f t="shared" si="1"/>
        <v>1007.2</v>
      </c>
      <c r="I159" s="49">
        <f t="shared" si="10"/>
        <v>0.142</v>
      </c>
      <c r="J159" s="43"/>
      <c r="K159" s="58">
        <v>45876.0</v>
      </c>
      <c r="L159" s="45">
        <f t="shared" si="17"/>
        <v>46060</v>
      </c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7">
        <v>1.00013062E8</v>
      </c>
      <c r="C160" s="98" t="s">
        <v>203</v>
      </c>
      <c r="D160" s="83"/>
      <c r="E160" s="132">
        <v>269.9</v>
      </c>
      <c r="F160" s="57">
        <v>279.9</v>
      </c>
      <c r="G160" s="57">
        <v>285.12</v>
      </c>
      <c r="H160" s="41">
        <f t="shared" si="1"/>
        <v>278.3066667</v>
      </c>
      <c r="I160" s="49">
        <f t="shared" si="10"/>
        <v>0.05639125602</v>
      </c>
      <c r="J160" s="43">
        <f t="shared" ref="J160:J197" si="20">IF(ISERROR(MAX(E160:G160)/H160-1),"",(MAX(E160:G160)/H160-1))</f>
        <v>0.02448138744</v>
      </c>
      <c r="K160" s="78"/>
      <c r="L160" s="50">
        <f t="shared" si="17"/>
        <v>182</v>
      </c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 t="s">
        <v>754</v>
      </c>
      <c r="B161" s="150">
        <v>1.00012924E8</v>
      </c>
      <c r="C161" s="151" t="s">
        <v>761</v>
      </c>
      <c r="D161" s="265"/>
      <c r="E161" s="264">
        <v>3087.0</v>
      </c>
      <c r="F161" s="172"/>
      <c r="G161" s="172">
        <v>3899.0</v>
      </c>
      <c r="H161" s="155">
        <f t="shared" si="1"/>
        <v>2328.666667</v>
      </c>
      <c r="I161" s="156">
        <f t="shared" si="10"/>
        <v>0.2630385488</v>
      </c>
      <c r="J161" s="157">
        <f t="shared" si="20"/>
        <v>0.6743486974</v>
      </c>
      <c r="K161" s="165"/>
      <c r="L161" s="159">
        <f t="shared" si="17"/>
        <v>182</v>
      </c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7">
        <v>1.00010138E8</v>
      </c>
      <c r="C162" s="98" t="s">
        <v>204</v>
      </c>
      <c r="D162" s="113" t="s">
        <v>205</v>
      </c>
      <c r="E162" s="132">
        <v>1037.16</v>
      </c>
      <c r="F162" s="57">
        <v>940.5</v>
      </c>
      <c r="G162" s="57">
        <v>1160.0</v>
      </c>
      <c r="H162" s="41">
        <f t="shared" si="1"/>
        <v>1045.886667</v>
      </c>
      <c r="I162" s="49">
        <f t="shared" si="10"/>
        <v>0.2333864965</v>
      </c>
      <c r="J162" s="43">
        <f t="shared" si="20"/>
        <v>0.1091067866</v>
      </c>
      <c r="K162" s="58">
        <v>45881.0</v>
      </c>
      <c r="L162" s="50">
        <f t="shared" si="17"/>
        <v>46065</v>
      </c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7">
        <v>1.00013114E8</v>
      </c>
      <c r="C163" s="98" t="s">
        <v>206</v>
      </c>
      <c r="D163" s="113"/>
      <c r="E163" s="101">
        <v>982.84</v>
      </c>
      <c r="F163" s="54">
        <v>908.1</v>
      </c>
      <c r="G163" s="54">
        <v>1174.0</v>
      </c>
      <c r="H163" s="41">
        <f t="shared" si="1"/>
        <v>1021.646667</v>
      </c>
      <c r="I163" s="49">
        <f t="shared" si="10"/>
        <v>0.292809162</v>
      </c>
      <c r="J163" s="43">
        <f t="shared" si="20"/>
        <v>0.1491252684</v>
      </c>
      <c r="K163" s="78"/>
      <c r="L163" s="50">
        <f t="shared" si="17"/>
        <v>182</v>
      </c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7">
        <v>1.00010138E8</v>
      </c>
      <c r="C164" s="98" t="s">
        <v>204</v>
      </c>
      <c r="D164" s="113" t="s">
        <v>207</v>
      </c>
      <c r="E164" s="101">
        <v>2618.08</v>
      </c>
      <c r="F164" s="54">
        <v>2645.08</v>
      </c>
      <c r="G164" s="54">
        <v>2170.2</v>
      </c>
      <c r="H164" s="41">
        <f t="shared" si="1"/>
        <v>2477.786667</v>
      </c>
      <c r="I164" s="49">
        <f t="shared" si="10"/>
        <v>0.2188185421</v>
      </c>
      <c r="J164" s="43">
        <f t="shared" si="20"/>
        <v>0.06751724657</v>
      </c>
      <c r="K164" s="78"/>
      <c r="L164" s="50">
        <f t="shared" si="17"/>
        <v>182</v>
      </c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7">
        <v>1.00010138E8</v>
      </c>
      <c r="C165" s="98" t="s">
        <v>204</v>
      </c>
      <c r="D165" s="113" t="s">
        <v>208</v>
      </c>
      <c r="E165" s="101">
        <v>661.3</v>
      </c>
      <c r="F165" s="54">
        <v>638.49</v>
      </c>
      <c r="G165" s="54">
        <v>675.0</v>
      </c>
      <c r="H165" s="41">
        <f t="shared" si="1"/>
        <v>658.2633333</v>
      </c>
      <c r="I165" s="49">
        <f t="shared" si="10"/>
        <v>0.05718178828</v>
      </c>
      <c r="J165" s="43">
        <f t="shared" si="20"/>
        <v>0.02542548828</v>
      </c>
      <c r="K165" s="78"/>
      <c r="L165" s="50">
        <f t="shared" si="17"/>
        <v>182</v>
      </c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150">
        <v>1.00010138E8</v>
      </c>
      <c r="C166" s="151" t="s">
        <v>204</v>
      </c>
      <c r="D166" s="266" t="s">
        <v>209</v>
      </c>
      <c r="E166" s="161"/>
      <c r="F166" s="267"/>
      <c r="G166" s="267"/>
      <c r="H166" s="155">
        <f t="shared" si="1"/>
        <v>0</v>
      </c>
      <c r="I166" s="156" t="str">
        <f t="shared" si="10"/>
        <v/>
      </c>
      <c r="J166" s="157" t="str">
        <f t="shared" si="20"/>
        <v/>
      </c>
      <c r="K166" s="165"/>
      <c r="L166" s="159">
        <f t="shared" si="17"/>
        <v>182</v>
      </c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7">
        <v>1.000129E8</v>
      </c>
      <c r="C167" s="98" t="s">
        <v>210</v>
      </c>
      <c r="D167" s="113" t="s">
        <v>211</v>
      </c>
      <c r="E167" s="112">
        <v>5434.73</v>
      </c>
      <c r="F167" s="56">
        <v>5739.9</v>
      </c>
      <c r="G167" s="56">
        <v>5978.2</v>
      </c>
      <c r="H167" s="41">
        <f t="shared" si="1"/>
        <v>5717.61</v>
      </c>
      <c r="I167" s="49">
        <f t="shared" si="10"/>
        <v>0.09999944799</v>
      </c>
      <c r="J167" s="43">
        <f t="shared" si="20"/>
        <v>0.04557673573</v>
      </c>
      <c r="K167" s="58">
        <v>45863.0</v>
      </c>
      <c r="L167" s="50">
        <f t="shared" si="17"/>
        <v>46047</v>
      </c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7">
        <v>1.00012899E8</v>
      </c>
      <c r="C168" s="98" t="s">
        <v>212</v>
      </c>
      <c r="D168" s="113" t="s">
        <v>213</v>
      </c>
      <c r="E168" s="132">
        <v>9599.0</v>
      </c>
      <c r="F168" s="57">
        <v>10399.0</v>
      </c>
      <c r="G168" s="57">
        <v>10658.7</v>
      </c>
      <c r="H168" s="41">
        <f t="shared" si="1"/>
        <v>10218.9</v>
      </c>
      <c r="I168" s="49">
        <f t="shared" si="10"/>
        <v>0.1103969163</v>
      </c>
      <c r="J168" s="43">
        <f t="shared" si="20"/>
        <v>0.04303790036</v>
      </c>
      <c r="K168" s="58">
        <v>45863.0</v>
      </c>
      <c r="L168" s="50">
        <f t="shared" si="17"/>
        <v>46047</v>
      </c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7">
        <v>1.00012897E8</v>
      </c>
      <c r="C169" s="98" t="s">
        <v>214</v>
      </c>
      <c r="D169" s="113" t="s">
        <v>215</v>
      </c>
      <c r="E169" s="100">
        <v>159.19</v>
      </c>
      <c r="F169" s="54">
        <v>160.69</v>
      </c>
      <c r="G169" s="54">
        <v>179.94</v>
      </c>
      <c r="H169" s="41">
        <f t="shared" si="1"/>
        <v>166.6066667</v>
      </c>
      <c r="I169" s="49">
        <f t="shared" si="10"/>
        <v>0.1303473836</v>
      </c>
      <c r="J169" s="43">
        <f t="shared" si="20"/>
        <v>0.08002881037</v>
      </c>
      <c r="K169" s="136">
        <v>45863.0</v>
      </c>
      <c r="L169" s="50">
        <f t="shared" si="17"/>
        <v>46047</v>
      </c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7">
        <v>1.00012893E8</v>
      </c>
      <c r="C170" s="98" t="s">
        <v>216</v>
      </c>
      <c r="D170" s="113" t="s">
        <v>217</v>
      </c>
      <c r="E170" s="100">
        <v>869.9</v>
      </c>
      <c r="F170" s="54">
        <v>899.0</v>
      </c>
      <c r="G170" s="54">
        <v>959.99</v>
      </c>
      <c r="H170" s="41">
        <f t="shared" si="1"/>
        <v>909.63</v>
      </c>
      <c r="I170" s="49">
        <f t="shared" si="10"/>
        <v>0.103563628</v>
      </c>
      <c r="J170" s="43">
        <f t="shared" si="20"/>
        <v>0.05536316964</v>
      </c>
      <c r="K170" s="58">
        <v>45861.0</v>
      </c>
      <c r="L170" s="50">
        <f t="shared" si="17"/>
        <v>46045</v>
      </c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7">
        <v>1.00012844E8</v>
      </c>
      <c r="C171" s="98" t="s">
        <v>218</v>
      </c>
      <c r="D171" s="83"/>
      <c r="E171" s="100">
        <v>6630.12</v>
      </c>
      <c r="F171" s="63">
        <v>7098.57</v>
      </c>
      <c r="G171" s="63">
        <v>8580.5</v>
      </c>
      <c r="H171" s="41">
        <f t="shared" si="1"/>
        <v>7436.396667</v>
      </c>
      <c r="I171" s="49">
        <f t="shared" si="10"/>
        <v>0.294169638</v>
      </c>
      <c r="J171" s="43">
        <f t="shared" si="20"/>
        <v>0.1538518431</v>
      </c>
      <c r="K171" s="58">
        <v>45856.0</v>
      </c>
      <c r="L171" s="50">
        <f t="shared" si="17"/>
        <v>46040</v>
      </c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7">
        <v>1.00012832E8</v>
      </c>
      <c r="C172" s="98" t="s">
        <v>219</v>
      </c>
      <c r="D172" s="83"/>
      <c r="E172" s="101">
        <v>1860.29</v>
      </c>
      <c r="F172" s="54">
        <v>2036.9</v>
      </c>
      <c r="G172" s="54">
        <v>1571.77</v>
      </c>
      <c r="H172" s="41">
        <f t="shared" si="1"/>
        <v>1822.986667</v>
      </c>
      <c r="I172" s="49">
        <f t="shared" si="10"/>
        <v>0.2959275212</v>
      </c>
      <c r="J172" s="43">
        <f t="shared" si="20"/>
        <v>0.1173422369</v>
      </c>
      <c r="K172" s="58">
        <v>45856.0</v>
      </c>
      <c r="L172" s="50">
        <f t="shared" si="17"/>
        <v>46040</v>
      </c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7">
        <v>1.00012771E8</v>
      </c>
      <c r="C173" s="98" t="s">
        <v>220</v>
      </c>
      <c r="D173" s="83"/>
      <c r="E173" s="101">
        <v>2949.0</v>
      </c>
      <c r="F173" s="54">
        <v>2959.99</v>
      </c>
      <c r="G173" s="54">
        <v>3059.1</v>
      </c>
      <c r="H173" s="41">
        <f t="shared" si="1"/>
        <v>2989.363333</v>
      </c>
      <c r="I173" s="49">
        <f t="shared" si="10"/>
        <v>0.03733468973</v>
      </c>
      <c r="J173" s="43">
        <f t="shared" si="20"/>
        <v>0.02332826722</v>
      </c>
      <c r="K173" s="58">
        <v>45863.0</v>
      </c>
      <c r="L173" s="50">
        <f t="shared" si="17"/>
        <v>46047</v>
      </c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7">
        <v>1.00012767E8</v>
      </c>
      <c r="C174" s="98" t="s">
        <v>221</v>
      </c>
      <c r="D174" s="83"/>
      <c r="E174" s="101">
        <v>4990.0</v>
      </c>
      <c r="F174" s="54">
        <v>5799.0</v>
      </c>
      <c r="G174" s="54">
        <v>6298.95</v>
      </c>
      <c r="H174" s="41">
        <f t="shared" si="1"/>
        <v>5695.983333</v>
      </c>
      <c r="I174" s="49">
        <f t="shared" si="10"/>
        <v>0.2623146293</v>
      </c>
      <c r="J174" s="43">
        <f t="shared" si="20"/>
        <v>0.1058582217</v>
      </c>
      <c r="K174" s="58">
        <v>45861.0</v>
      </c>
      <c r="L174" s="50">
        <f t="shared" si="17"/>
        <v>46045</v>
      </c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7">
        <v>1.00012489E8</v>
      </c>
      <c r="C175" s="98" t="s">
        <v>222</v>
      </c>
      <c r="D175" s="113" t="s">
        <v>223</v>
      </c>
      <c r="E175" s="101">
        <v>386.32</v>
      </c>
      <c r="F175" s="54">
        <v>465.31</v>
      </c>
      <c r="G175" s="54">
        <v>487.9</v>
      </c>
      <c r="H175" s="41">
        <f t="shared" si="1"/>
        <v>446.51</v>
      </c>
      <c r="I175" s="49">
        <f t="shared" si="10"/>
        <v>0.2629426382</v>
      </c>
      <c r="J175" s="43">
        <f t="shared" si="20"/>
        <v>0.09269669212</v>
      </c>
      <c r="K175" s="58">
        <v>45861.0</v>
      </c>
      <c r="L175" s="50">
        <f t="shared" si="17"/>
        <v>46045</v>
      </c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7">
        <v>1.00012249E8</v>
      </c>
      <c r="C176" s="98" t="s">
        <v>224</v>
      </c>
      <c r="D176" s="83"/>
      <c r="E176" s="101">
        <v>1247.9</v>
      </c>
      <c r="F176" s="101">
        <v>1338.99</v>
      </c>
      <c r="G176" s="54">
        <v>1369.0</v>
      </c>
      <c r="H176" s="41">
        <f t="shared" si="1"/>
        <v>1318.63</v>
      </c>
      <c r="I176" s="49">
        <f t="shared" si="10"/>
        <v>0.09704303229</v>
      </c>
      <c r="J176" s="43">
        <f t="shared" si="20"/>
        <v>0.03819873657</v>
      </c>
      <c r="K176" s="58">
        <v>45862.0</v>
      </c>
      <c r="L176" s="50">
        <f t="shared" si="17"/>
        <v>46046</v>
      </c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7">
        <v>1.00011993E8</v>
      </c>
      <c r="C177" s="98" t="s">
        <v>225</v>
      </c>
      <c r="D177" s="83"/>
      <c r="E177" s="101">
        <v>12149.1</v>
      </c>
      <c r="F177" s="54">
        <v>12998.7</v>
      </c>
      <c r="G177" s="54">
        <v>13499.0</v>
      </c>
      <c r="H177" s="41">
        <f t="shared" si="1"/>
        <v>12882.26667</v>
      </c>
      <c r="I177" s="49">
        <f t="shared" si="10"/>
        <v>0.1111111111</v>
      </c>
      <c r="J177" s="43">
        <f t="shared" si="20"/>
        <v>0.04787459764</v>
      </c>
      <c r="K177" s="58">
        <v>45863.0</v>
      </c>
      <c r="L177" s="50">
        <f t="shared" si="17"/>
        <v>46047</v>
      </c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7">
        <v>1.00011723E8</v>
      </c>
      <c r="C178" s="98" t="s">
        <v>226</v>
      </c>
      <c r="D178" s="83"/>
      <c r="E178" s="132">
        <v>1710.96</v>
      </c>
      <c r="F178" s="57">
        <v>1829.0</v>
      </c>
      <c r="G178" s="57">
        <v>2047.92</v>
      </c>
      <c r="H178" s="41">
        <f t="shared" si="1"/>
        <v>1862.626667</v>
      </c>
      <c r="I178" s="49">
        <f t="shared" si="10"/>
        <v>0.1969420676</v>
      </c>
      <c r="J178" s="43">
        <f t="shared" si="20"/>
        <v>0.09947958797</v>
      </c>
      <c r="K178" s="58">
        <v>45863.0</v>
      </c>
      <c r="L178" s="50">
        <f t="shared" si="17"/>
        <v>46047</v>
      </c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7">
        <v>1.00011698E8</v>
      </c>
      <c r="C179" s="98" t="s">
        <v>227</v>
      </c>
      <c r="D179" s="83"/>
      <c r="E179" s="132">
        <v>399.9</v>
      </c>
      <c r="F179" s="57">
        <v>454.3</v>
      </c>
      <c r="G179" s="57">
        <v>459.9</v>
      </c>
      <c r="H179" s="41">
        <f t="shared" si="1"/>
        <v>438.0333333</v>
      </c>
      <c r="I179" s="49">
        <f t="shared" si="10"/>
        <v>0.1500375094</v>
      </c>
      <c r="J179" s="43">
        <f t="shared" si="20"/>
        <v>0.04992009741</v>
      </c>
      <c r="K179" s="58">
        <v>45863.0</v>
      </c>
      <c r="L179" s="50">
        <f t="shared" si="17"/>
        <v>46047</v>
      </c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7">
        <v>1.00010332E8</v>
      </c>
      <c r="C180" s="98" t="s">
        <v>228</v>
      </c>
      <c r="D180" s="113" t="s">
        <v>229</v>
      </c>
      <c r="E180" s="112">
        <v>803.7</v>
      </c>
      <c r="F180" s="57">
        <v>841.9</v>
      </c>
      <c r="G180" s="57">
        <v>1035.27</v>
      </c>
      <c r="H180" s="41">
        <f t="shared" si="1"/>
        <v>893.6233333</v>
      </c>
      <c r="I180" s="49">
        <f t="shared" si="10"/>
        <v>0.2881298992</v>
      </c>
      <c r="J180" s="43">
        <f t="shared" si="20"/>
        <v>0.1585082455</v>
      </c>
      <c r="K180" s="58">
        <v>45855.0</v>
      </c>
      <c r="L180" s="50">
        <f t="shared" si="17"/>
        <v>46039</v>
      </c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7">
        <v>1.00010332E8</v>
      </c>
      <c r="C181" s="98" t="s">
        <v>228</v>
      </c>
      <c r="D181" s="113" t="s">
        <v>230</v>
      </c>
      <c r="E181" s="112">
        <v>412.62</v>
      </c>
      <c r="F181" s="57">
        <v>466.69</v>
      </c>
      <c r="G181" s="57">
        <v>458.47</v>
      </c>
      <c r="H181" s="41">
        <f t="shared" si="1"/>
        <v>445.9266667</v>
      </c>
      <c r="I181" s="49">
        <f t="shared" si="10"/>
        <v>0.131040667</v>
      </c>
      <c r="J181" s="43">
        <f t="shared" si="20"/>
        <v>0.04656221501</v>
      </c>
      <c r="K181" s="58">
        <v>45855.0</v>
      </c>
      <c r="L181" s="50">
        <f t="shared" si="17"/>
        <v>46039</v>
      </c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7">
        <v>1.00010332E8</v>
      </c>
      <c r="C182" s="98" t="s">
        <v>228</v>
      </c>
      <c r="D182" s="113" t="s">
        <v>231</v>
      </c>
      <c r="E182" s="100">
        <v>912.98</v>
      </c>
      <c r="F182" s="54">
        <v>939.98</v>
      </c>
      <c r="G182" s="54">
        <v>1018.0</v>
      </c>
      <c r="H182" s="41">
        <f t="shared" si="1"/>
        <v>956.9866667</v>
      </c>
      <c r="I182" s="49">
        <f t="shared" si="10"/>
        <v>0.1150299021</v>
      </c>
      <c r="J182" s="43">
        <f t="shared" si="20"/>
        <v>0.06375567754</v>
      </c>
      <c r="K182" s="58">
        <v>45855.0</v>
      </c>
      <c r="L182" s="50">
        <f t="shared" si="17"/>
        <v>46039</v>
      </c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7">
        <v>1.00010332E8</v>
      </c>
      <c r="C183" s="98" t="s">
        <v>228</v>
      </c>
      <c r="D183" s="113" t="s">
        <v>232</v>
      </c>
      <c r="E183" s="101">
        <v>302.72</v>
      </c>
      <c r="F183" s="54">
        <v>319.92</v>
      </c>
      <c r="G183" s="54">
        <v>344.0</v>
      </c>
      <c r="H183" s="41">
        <f t="shared" si="1"/>
        <v>322.2133333</v>
      </c>
      <c r="I183" s="49">
        <f t="shared" si="10"/>
        <v>0.1363636364</v>
      </c>
      <c r="J183" s="43">
        <f t="shared" si="20"/>
        <v>0.06761565836</v>
      </c>
      <c r="K183" s="58">
        <v>45855.0</v>
      </c>
      <c r="L183" s="50">
        <f t="shared" si="17"/>
        <v>46039</v>
      </c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7">
        <v>1.00010037E8</v>
      </c>
      <c r="C184" s="98" t="s">
        <v>233</v>
      </c>
      <c r="D184" s="113"/>
      <c r="E184" s="132">
        <v>279.0</v>
      </c>
      <c r="F184" s="57">
        <v>338.13</v>
      </c>
      <c r="G184" s="57">
        <v>347.12</v>
      </c>
      <c r="H184" s="41">
        <f t="shared" si="1"/>
        <v>321.4166667</v>
      </c>
      <c r="I184" s="49">
        <f t="shared" si="10"/>
        <v>0.2441577061</v>
      </c>
      <c r="J184" s="43">
        <f t="shared" si="20"/>
        <v>0.07996888774</v>
      </c>
      <c r="K184" s="58">
        <v>45854.0</v>
      </c>
      <c r="L184" s="50">
        <f t="shared" si="17"/>
        <v>46038</v>
      </c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7">
        <v>1.00002341E8</v>
      </c>
      <c r="C185" s="98" t="s">
        <v>234</v>
      </c>
      <c r="D185" s="83"/>
      <c r="E185" s="132">
        <v>1604.55</v>
      </c>
      <c r="F185" s="57">
        <v>1889.82</v>
      </c>
      <c r="G185" s="57">
        <v>1979.1</v>
      </c>
      <c r="H185" s="41">
        <f t="shared" si="1"/>
        <v>1824.49</v>
      </c>
      <c r="I185" s="49">
        <f t="shared" si="10"/>
        <v>0.2334299336</v>
      </c>
      <c r="J185" s="43">
        <f t="shared" si="20"/>
        <v>0.0847414894</v>
      </c>
      <c r="K185" s="58">
        <v>45861.0</v>
      </c>
      <c r="L185" s="50">
        <f t="shared" si="17"/>
        <v>46045</v>
      </c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7">
        <v>1.00013096E8</v>
      </c>
      <c r="C186" s="98" t="s">
        <v>235</v>
      </c>
      <c r="D186" s="83"/>
      <c r="E186" s="101">
        <v>499.0</v>
      </c>
      <c r="F186" s="54">
        <v>549.0</v>
      </c>
      <c r="G186" s="54">
        <v>619.0</v>
      </c>
      <c r="H186" s="41">
        <f t="shared" si="1"/>
        <v>555.6666667</v>
      </c>
      <c r="I186" s="49">
        <f t="shared" si="10"/>
        <v>0.2404809619</v>
      </c>
      <c r="J186" s="43">
        <f t="shared" si="20"/>
        <v>0.1139772046</v>
      </c>
      <c r="K186" s="78"/>
      <c r="L186" s="50">
        <f t="shared" si="17"/>
        <v>182</v>
      </c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7">
        <v>1.00010679E8</v>
      </c>
      <c r="C187" s="98" t="s">
        <v>236</v>
      </c>
      <c r="D187" s="113" t="s">
        <v>237</v>
      </c>
      <c r="E187" s="101">
        <v>172.0</v>
      </c>
      <c r="F187" s="54">
        <v>178.42</v>
      </c>
      <c r="G187" s="54">
        <v>135.99</v>
      </c>
      <c r="H187" s="41">
        <f t="shared" si="1"/>
        <v>162.1366667</v>
      </c>
      <c r="I187" s="49">
        <f t="shared" si="10"/>
        <v>0.3120082359</v>
      </c>
      <c r="J187" s="43">
        <f t="shared" si="20"/>
        <v>0.1004296787</v>
      </c>
      <c r="K187" s="58">
        <v>45883.0</v>
      </c>
      <c r="L187" s="50">
        <f t="shared" si="17"/>
        <v>46067</v>
      </c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7">
        <v>1.00010448E8</v>
      </c>
      <c r="C188" s="98" t="s">
        <v>238</v>
      </c>
      <c r="D188" s="113" t="s">
        <v>239</v>
      </c>
      <c r="E188" s="100">
        <v>2470.95</v>
      </c>
      <c r="F188" s="63">
        <v>2470.95</v>
      </c>
      <c r="G188" s="63">
        <v>2689.0</v>
      </c>
      <c r="H188" s="41">
        <f t="shared" si="1"/>
        <v>2543.633333</v>
      </c>
      <c r="I188" s="49">
        <f t="shared" si="10"/>
        <v>0.08824541168</v>
      </c>
      <c r="J188" s="43">
        <f t="shared" si="20"/>
        <v>0.05714922224</v>
      </c>
      <c r="K188" s="58">
        <v>45902.0</v>
      </c>
      <c r="L188" s="50">
        <f t="shared" si="17"/>
        <v>46083</v>
      </c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7">
        <v>1.00012654E8</v>
      </c>
      <c r="C189" s="98" t="s">
        <v>238</v>
      </c>
      <c r="D189" s="113" t="s">
        <v>240</v>
      </c>
      <c r="E189" s="101">
        <v>3743.19</v>
      </c>
      <c r="F189" s="54">
        <v>4812.66</v>
      </c>
      <c r="G189" s="54">
        <v>3819.2</v>
      </c>
      <c r="H189" s="41">
        <f t="shared" si="1"/>
        <v>4125.016667</v>
      </c>
      <c r="I189" s="49">
        <f t="shared" si="10"/>
        <v>0.2857108509</v>
      </c>
      <c r="J189" s="43">
        <f t="shared" si="20"/>
        <v>0.1667007406</v>
      </c>
      <c r="K189" s="58">
        <v>45902.0</v>
      </c>
      <c r="L189" s="50">
        <f t="shared" si="17"/>
        <v>46083</v>
      </c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150">
        <v>1.00010146E8</v>
      </c>
      <c r="C190" s="151" t="s">
        <v>762</v>
      </c>
      <c r="D190" s="152" t="s">
        <v>763</v>
      </c>
      <c r="E190" s="153"/>
      <c r="F190" s="154"/>
      <c r="G190" s="154"/>
      <c r="H190" s="155">
        <f t="shared" si="1"/>
        <v>0</v>
      </c>
      <c r="I190" s="156" t="str">
        <f t="shared" si="10"/>
        <v/>
      </c>
      <c r="J190" s="157" t="str">
        <f t="shared" si="20"/>
        <v/>
      </c>
      <c r="K190" s="158">
        <v>45881.0</v>
      </c>
      <c r="L190" s="159">
        <f t="shared" si="17"/>
        <v>46065</v>
      </c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150">
        <v>1.00010146E8</v>
      </c>
      <c r="C191" s="151" t="s">
        <v>762</v>
      </c>
      <c r="D191" s="152" t="s">
        <v>764</v>
      </c>
      <c r="E191" s="268"/>
      <c r="F191" s="163"/>
      <c r="G191" s="163"/>
      <c r="H191" s="155">
        <f t="shared" si="1"/>
        <v>0</v>
      </c>
      <c r="I191" s="156" t="str">
        <f t="shared" si="10"/>
        <v/>
      </c>
      <c r="J191" s="157" t="str">
        <f t="shared" si="20"/>
        <v/>
      </c>
      <c r="K191" s="158">
        <v>45881.0</v>
      </c>
      <c r="L191" s="159">
        <f t="shared" si="17"/>
        <v>46065</v>
      </c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7">
        <v>1.0001014E8</v>
      </c>
      <c r="C192" s="98" t="s">
        <v>241</v>
      </c>
      <c r="D192" s="113" t="s">
        <v>242</v>
      </c>
      <c r="E192" s="112">
        <v>1109.99</v>
      </c>
      <c r="F192" s="112">
        <v>1109.99</v>
      </c>
      <c r="G192" s="57">
        <v>705.0</v>
      </c>
      <c r="H192" s="41">
        <f t="shared" si="1"/>
        <v>974.9933333</v>
      </c>
      <c r="I192" s="49">
        <f t="shared" si="10"/>
        <v>0.5744539007</v>
      </c>
      <c r="J192" s="43">
        <f t="shared" si="20"/>
        <v>0.1384590664</v>
      </c>
      <c r="K192" s="58">
        <v>45882.0</v>
      </c>
      <c r="L192" s="50">
        <f t="shared" si="17"/>
        <v>46066</v>
      </c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7">
        <v>1.0001014E8</v>
      </c>
      <c r="C193" s="98" t="s">
        <v>241</v>
      </c>
      <c r="D193" s="113" t="s">
        <v>243</v>
      </c>
      <c r="E193" s="100">
        <v>1146.85</v>
      </c>
      <c r="F193" s="54">
        <v>774.05</v>
      </c>
      <c r="G193" s="54">
        <v>1146.85</v>
      </c>
      <c r="H193" s="41">
        <f t="shared" si="1"/>
        <v>1022.583333</v>
      </c>
      <c r="I193" s="49">
        <f t="shared" si="10"/>
        <v>0.4816226342</v>
      </c>
      <c r="J193" s="43">
        <f t="shared" si="20"/>
        <v>0.1215222883</v>
      </c>
      <c r="K193" s="58">
        <v>45882.0</v>
      </c>
      <c r="L193" s="50">
        <f t="shared" si="17"/>
        <v>46066</v>
      </c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7">
        <v>1.0001014E8</v>
      </c>
      <c r="C194" s="98" t="s">
        <v>241</v>
      </c>
      <c r="D194" s="113" t="s">
        <v>244</v>
      </c>
      <c r="E194" s="101">
        <v>1804.99</v>
      </c>
      <c r="F194" s="54">
        <v>1804.99</v>
      </c>
      <c r="G194" s="54">
        <v>1804.99</v>
      </c>
      <c r="H194" s="41">
        <f t="shared" si="1"/>
        <v>1804.99</v>
      </c>
      <c r="I194" s="49">
        <f t="shared" si="10"/>
        <v>0</v>
      </c>
      <c r="J194" s="43">
        <f t="shared" si="20"/>
        <v>0</v>
      </c>
      <c r="K194" s="58">
        <v>45882.0</v>
      </c>
      <c r="L194" s="50">
        <f t="shared" si="17"/>
        <v>46066</v>
      </c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7">
        <v>1.0001014E8</v>
      </c>
      <c r="C195" s="98" t="s">
        <v>241</v>
      </c>
      <c r="D195" s="113" t="s">
        <v>245</v>
      </c>
      <c r="E195" s="132">
        <v>980.0</v>
      </c>
      <c r="F195" s="57">
        <v>1052.37</v>
      </c>
      <c r="G195" s="57">
        <v>1124.98</v>
      </c>
      <c r="H195" s="41">
        <f t="shared" si="1"/>
        <v>1052.45</v>
      </c>
      <c r="I195" s="49">
        <f t="shared" si="10"/>
        <v>0.1479387755</v>
      </c>
      <c r="J195" s="43">
        <f t="shared" si="20"/>
        <v>0.0689153879</v>
      </c>
      <c r="K195" s="58">
        <v>45882.0</v>
      </c>
      <c r="L195" s="50">
        <f t="shared" si="17"/>
        <v>46066</v>
      </c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8.0" customHeight="1">
      <c r="A196" s="9"/>
      <c r="B196" s="137">
        <v>1.00010197E8</v>
      </c>
      <c r="C196" s="98" t="s">
        <v>246</v>
      </c>
      <c r="D196" s="113" t="s">
        <v>247</v>
      </c>
      <c r="E196" s="101">
        <v>719.0</v>
      </c>
      <c r="F196" s="54">
        <v>679.0</v>
      </c>
      <c r="G196" s="54">
        <v>649.0</v>
      </c>
      <c r="H196" s="41">
        <f t="shared" si="1"/>
        <v>682.3333333</v>
      </c>
      <c r="I196" s="49">
        <f t="shared" si="10"/>
        <v>0.1078582435</v>
      </c>
      <c r="J196" s="43">
        <f t="shared" si="20"/>
        <v>0.05373717636</v>
      </c>
      <c r="K196" s="58">
        <v>45908.0</v>
      </c>
      <c r="L196" s="50">
        <f t="shared" si="17"/>
        <v>46089</v>
      </c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8.0" customHeight="1">
      <c r="A197" s="9"/>
      <c r="B197" s="137">
        <v>1.00010291E8</v>
      </c>
      <c r="C197" s="98" t="s">
        <v>248</v>
      </c>
      <c r="D197" s="113" t="s">
        <v>249</v>
      </c>
      <c r="E197" s="101">
        <v>1019.0</v>
      </c>
      <c r="F197" s="138">
        <v>1129.9</v>
      </c>
      <c r="G197" s="54">
        <v>1119.9</v>
      </c>
      <c r="H197" s="41">
        <f t="shared" si="1"/>
        <v>1089.6</v>
      </c>
      <c r="I197" s="49">
        <f t="shared" si="10"/>
        <v>0.1088321884</v>
      </c>
      <c r="J197" s="43">
        <f t="shared" si="20"/>
        <v>0.03698604993</v>
      </c>
      <c r="K197" s="58">
        <v>45908.0</v>
      </c>
      <c r="L197" s="50">
        <f t="shared" si="17"/>
        <v>46089</v>
      </c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137">
        <v>1.00012845E8</v>
      </c>
      <c r="C198" s="98" t="s">
        <v>250</v>
      </c>
      <c r="D198" s="113" t="s">
        <v>251</v>
      </c>
      <c r="E198" s="101">
        <v>32729.55</v>
      </c>
      <c r="F198" s="54">
        <v>33318.9</v>
      </c>
      <c r="G198" s="54">
        <v>33945.9</v>
      </c>
      <c r="H198" s="41">
        <f t="shared" si="1"/>
        <v>33331.45</v>
      </c>
      <c r="I198" s="49">
        <f t="shared" si="10"/>
        <v>0.03716366403</v>
      </c>
      <c r="J198" s="43"/>
      <c r="K198" s="58">
        <v>45908.0</v>
      </c>
      <c r="L198" s="45">
        <f t="shared" si="17"/>
        <v>46089</v>
      </c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137">
        <v>1.00002334E8</v>
      </c>
      <c r="C199" s="98" t="s">
        <v>87</v>
      </c>
      <c r="D199" s="113" t="s">
        <v>252</v>
      </c>
      <c r="E199" s="54">
        <v>30200.0</v>
      </c>
      <c r="F199" s="54">
        <v>26197.0</v>
      </c>
      <c r="G199" s="54">
        <v>24997.0</v>
      </c>
      <c r="H199" s="41">
        <f t="shared" si="1"/>
        <v>27131.33333</v>
      </c>
      <c r="I199" s="49">
        <f t="shared" si="10"/>
        <v>0.2081449774</v>
      </c>
      <c r="J199" s="43"/>
      <c r="K199" s="58">
        <v>45909.0</v>
      </c>
      <c r="L199" s="45">
        <f t="shared" si="17"/>
        <v>46090</v>
      </c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97">
        <v>1.00010138E8</v>
      </c>
      <c r="C200" s="98" t="s">
        <v>253</v>
      </c>
      <c r="D200" s="113" t="s">
        <v>765</v>
      </c>
      <c r="E200" s="101">
        <v>1015.9</v>
      </c>
      <c r="F200" s="138">
        <v>1015.9</v>
      </c>
      <c r="G200" s="54">
        <v>1015.9</v>
      </c>
      <c r="H200" s="41">
        <f t="shared" si="1"/>
        <v>1015.9</v>
      </c>
      <c r="I200" s="49">
        <f t="shared" si="10"/>
        <v>0</v>
      </c>
      <c r="J200" s="43"/>
      <c r="K200" s="58">
        <v>45883.0</v>
      </c>
      <c r="L200" s="45">
        <f t="shared" si="17"/>
        <v>46067</v>
      </c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>
      <c r="A201" s="9"/>
      <c r="B201" s="97">
        <v>1.00010138E8</v>
      </c>
      <c r="C201" s="98" t="s">
        <v>253</v>
      </c>
      <c r="D201" s="113" t="s">
        <v>766</v>
      </c>
      <c r="E201" s="101">
        <v>679.88</v>
      </c>
      <c r="F201" s="54">
        <v>665.31</v>
      </c>
      <c r="G201" s="54">
        <v>744.91</v>
      </c>
      <c r="H201" s="41">
        <f t="shared" si="1"/>
        <v>696.7</v>
      </c>
      <c r="I201" s="49">
        <f t="shared" si="10"/>
        <v>0.1196434745</v>
      </c>
      <c r="J201" s="43"/>
      <c r="K201" s="58">
        <v>45883.0</v>
      </c>
      <c r="L201" s="45">
        <f t="shared" si="17"/>
        <v>46067</v>
      </c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ht="15.75" customHeight="1">
      <c r="A202" s="9"/>
      <c r="B202" s="97">
        <v>1.00010138E8</v>
      </c>
      <c r="C202" s="98" t="s">
        <v>253</v>
      </c>
      <c r="D202" s="113" t="s">
        <v>767</v>
      </c>
      <c r="E202" s="101">
        <v>678.0</v>
      </c>
      <c r="F202" s="138">
        <v>740.19</v>
      </c>
      <c r="G202" s="138">
        <v>646.3</v>
      </c>
      <c r="H202" s="41">
        <f t="shared" si="1"/>
        <v>688.1633333</v>
      </c>
      <c r="I202" s="49">
        <f t="shared" si="10"/>
        <v>0.145273093</v>
      </c>
      <c r="J202" s="49">
        <f>IF(ISERROR(MAX(F202:H202)/MIN(F202:H202)-1),"",(MAX(F202:H202)/MIN(F202:H202)-1))</f>
        <v>0.145273093</v>
      </c>
      <c r="K202" s="58">
        <v>45883.0</v>
      </c>
      <c r="L202" s="45">
        <f t="shared" si="17"/>
        <v>46067</v>
      </c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ht="15.75" customHeight="1">
      <c r="A203" s="9"/>
      <c r="B203" s="97">
        <v>1.00010138E8</v>
      </c>
      <c r="C203" s="98" t="s">
        <v>253</v>
      </c>
      <c r="D203" s="113" t="s">
        <v>258</v>
      </c>
      <c r="E203" s="101">
        <v>661.3</v>
      </c>
      <c r="F203" s="54">
        <v>533.31</v>
      </c>
      <c r="G203" s="54">
        <v>533.31</v>
      </c>
      <c r="H203" s="41">
        <f t="shared" si="1"/>
        <v>575.9733333</v>
      </c>
      <c r="I203" s="49">
        <f t="shared" si="10"/>
        <v>0.2399917496</v>
      </c>
      <c r="J203" s="43">
        <f t="shared" ref="J203:J208" si="21">IF(ISERROR(MAX(E203:G203)/H203-1),"",(MAX(E203:G203)/H203-1))</f>
        <v>0.1481434326</v>
      </c>
      <c r="K203" s="58">
        <v>45883.0</v>
      </c>
      <c r="L203" s="50">
        <f t="shared" si="17"/>
        <v>46067</v>
      </c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ht="15.75" customHeight="1">
      <c r="A204" s="9"/>
      <c r="B204" s="97">
        <v>1.00010138E8</v>
      </c>
      <c r="C204" s="98" t="s">
        <v>253</v>
      </c>
      <c r="D204" s="113" t="s">
        <v>259</v>
      </c>
      <c r="E204" s="101">
        <v>1777.04</v>
      </c>
      <c r="F204" s="54">
        <v>1603.03</v>
      </c>
      <c r="G204" s="54">
        <v>1998.0</v>
      </c>
      <c r="H204" s="41">
        <f t="shared" si="1"/>
        <v>1792.69</v>
      </c>
      <c r="I204" s="49">
        <f t="shared" si="10"/>
        <v>0.2463896496</v>
      </c>
      <c r="J204" s="43">
        <f t="shared" si="21"/>
        <v>0.1145262148</v>
      </c>
      <c r="K204" s="58">
        <v>45883.0</v>
      </c>
      <c r="L204" s="50">
        <f t="shared" si="17"/>
        <v>46067</v>
      </c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ht="15.75" customHeight="1">
      <c r="A205" s="9"/>
      <c r="B205" s="137">
        <v>1.00002335E8</v>
      </c>
      <c r="C205" s="98" t="s">
        <v>260</v>
      </c>
      <c r="D205" s="113" t="s">
        <v>261</v>
      </c>
      <c r="E205" s="132">
        <v>11976.67</v>
      </c>
      <c r="F205" s="57">
        <v>9789.0</v>
      </c>
      <c r="G205" s="57">
        <v>10499.4</v>
      </c>
      <c r="H205" s="41">
        <f t="shared" si="1"/>
        <v>10755.02333</v>
      </c>
      <c r="I205" s="49">
        <f t="shared" si="10"/>
        <v>0.2234824803</v>
      </c>
      <c r="J205" s="43">
        <f t="shared" si="21"/>
        <v>0.113588472</v>
      </c>
      <c r="K205" s="58">
        <v>45909.0</v>
      </c>
      <c r="L205" s="50">
        <f t="shared" si="17"/>
        <v>46090</v>
      </c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ht="15.75" customHeight="1">
      <c r="A206" s="9"/>
      <c r="B206" s="137">
        <v>1.00012476E8</v>
      </c>
      <c r="C206" s="98" t="s">
        <v>262</v>
      </c>
      <c r="D206" s="113" t="s">
        <v>263</v>
      </c>
      <c r="E206" s="101">
        <v>651.9</v>
      </c>
      <c r="F206" s="54">
        <v>799.0</v>
      </c>
      <c r="G206" s="54">
        <v>721.65</v>
      </c>
      <c r="H206" s="41">
        <f t="shared" si="1"/>
        <v>724.1833333</v>
      </c>
      <c r="I206" s="49">
        <f t="shared" si="10"/>
        <v>0.2256481055</v>
      </c>
      <c r="J206" s="43">
        <f t="shared" si="21"/>
        <v>0.1033117765</v>
      </c>
      <c r="K206" s="58">
        <v>45909.0</v>
      </c>
      <c r="L206" s="50">
        <f t="shared" si="17"/>
        <v>46090</v>
      </c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ht="15.75" customHeight="1">
      <c r="A207" s="9"/>
      <c r="B207" s="150">
        <v>1.00002329E8</v>
      </c>
      <c r="C207" s="151" t="s">
        <v>264</v>
      </c>
      <c r="D207" s="152" t="s">
        <v>265</v>
      </c>
      <c r="E207" s="153"/>
      <c r="F207" s="154"/>
      <c r="G207" s="154"/>
      <c r="H207" s="155">
        <f t="shared" si="1"/>
        <v>0</v>
      </c>
      <c r="I207" s="156" t="str">
        <f t="shared" si="10"/>
        <v/>
      </c>
      <c r="J207" s="157" t="str">
        <f t="shared" si="21"/>
        <v/>
      </c>
      <c r="K207" s="158">
        <v>45909.0</v>
      </c>
      <c r="L207" s="159">
        <f t="shared" si="17"/>
        <v>46090</v>
      </c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ht="15.75" customHeight="1">
      <c r="A208" s="9"/>
      <c r="B208" s="150">
        <v>1.0000233E8</v>
      </c>
      <c r="C208" s="151" t="s">
        <v>266</v>
      </c>
      <c r="D208" s="152" t="s">
        <v>265</v>
      </c>
      <c r="E208" s="153"/>
      <c r="F208" s="154"/>
      <c r="G208" s="154"/>
      <c r="H208" s="155">
        <f t="shared" si="1"/>
        <v>0</v>
      </c>
      <c r="I208" s="156" t="str">
        <f t="shared" si="10"/>
        <v/>
      </c>
      <c r="J208" s="157" t="str">
        <f t="shared" si="21"/>
        <v/>
      </c>
      <c r="K208" s="158">
        <v>45909.0</v>
      </c>
      <c r="L208" s="159">
        <f t="shared" si="17"/>
        <v>46090</v>
      </c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ht="15.75" customHeight="1">
      <c r="A209" s="9"/>
      <c r="B209" s="150">
        <v>1.00011317E8</v>
      </c>
      <c r="C209" s="151" t="s">
        <v>267</v>
      </c>
      <c r="D209" s="152" t="s">
        <v>265</v>
      </c>
      <c r="E209" s="153"/>
      <c r="F209" s="154"/>
      <c r="G209" s="154"/>
      <c r="H209" s="155">
        <f t="shared" si="1"/>
        <v>0</v>
      </c>
      <c r="I209" s="156" t="str">
        <f t="shared" si="10"/>
        <v/>
      </c>
      <c r="J209" s="157"/>
      <c r="K209" s="158">
        <v>45909.0</v>
      </c>
      <c r="L209" s="160">
        <f t="shared" si="17"/>
        <v>46090</v>
      </c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ht="15.75" customHeight="1">
      <c r="A210" s="9"/>
      <c r="B210" s="150">
        <v>1.00011317E8</v>
      </c>
      <c r="C210" s="151" t="s">
        <v>268</v>
      </c>
      <c r="D210" s="152" t="s">
        <v>265</v>
      </c>
      <c r="E210" s="153"/>
      <c r="F210" s="154"/>
      <c r="G210" s="154"/>
      <c r="H210" s="155">
        <f t="shared" si="1"/>
        <v>0</v>
      </c>
      <c r="I210" s="156" t="str">
        <f t="shared" si="10"/>
        <v/>
      </c>
      <c r="J210" s="157" t="str">
        <f t="shared" ref="J210:J213" si="22">IF(ISERROR(MAX(E210:G210)/H210-1),"",(MAX(E210:G210)/H210-1))</f>
        <v/>
      </c>
      <c r="K210" s="158">
        <v>45909.0</v>
      </c>
      <c r="L210" s="159">
        <f t="shared" si="17"/>
        <v>46090</v>
      </c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ht="15.75" customHeight="1">
      <c r="A211" s="9"/>
      <c r="B211" s="150">
        <v>1.00011317E8</v>
      </c>
      <c r="C211" s="151" t="s">
        <v>269</v>
      </c>
      <c r="D211" s="152" t="s">
        <v>265</v>
      </c>
      <c r="E211" s="161"/>
      <c r="F211" s="154"/>
      <c r="G211" s="154"/>
      <c r="H211" s="155">
        <f t="shared" si="1"/>
        <v>0</v>
      </c>
      <c r="I211" s="156" t="str">
        <f t="shared" si="10"/>
        <v/>
      </c>
      <c r="J211" s="157" t="str">
        <f t="shared" si="22"/>
        <v/>
      </c>
      <c r="K211" s="158">
        <v>45909.0</v>
      </c>
      <c r="L211" s="159">
        <f t="shared" si="17"/>
        <v>46090</v>
      </c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ht="15.75" customHeight="1">
      <c r="A212" s="9"/>
      <c r="B212" s="97">
        <v>1.00010219E8</v>
      </c>
      <c r="C212" s="98" t="s">
        <v>270</v>
      </c>
      <c r="D212" s="113" t="s">
        <v>271</v>
      </c>
      <c r="E212" s="100">
        <v>478.77</v>
      </c>
      <c r="F212" s="63">
        <v>437.0</v>
      </c>
      <c r="G212" s="63">
        <v>437.0</v>
      </c>
      <c r="H212" s="41">
        <f t="shared" si="1"/>
        <v>450.9233333</v>
      </c>
      <c r="I212" s="49">
        <f t="shared" si="10"/>
        <v>0.09558352403</v>
      </c>
      <c r="J212" s="43">
        <f t="shared" si="22"/>
        <v>0.06175476984</v>
      </c>
      <c r="K212" s="58">
        <v>45911.0</v>
      </c>
      <c r="L212" s="50">
        <f t="shared" si="17"/>
        <v>46092</v>
      </c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ht="15.75" customHeight="1">
      <c r="A213" s="9"/>
      <c r="B213" s="97">
        <v>1.00010219E8</v>
      </c>
      <c r="C213" s="98" t="s">
        <v>270</v>
      </c>
      <c r="D213" s="113" t="s">
        <v>272</v>
      </c>
      <c r="E213" s="100">
        <v>1189.0</v>
      </c>
      <c r="F213" s="54">
        <v>1438.9</v>
      </c>
      <c r="G213" s="54">
        <v>1349.0</v>
      </c>
      <c r="H213" s="41">
        <f t="shared" si="1"/>
        <v>1325.633333</v>
      </c>
      <c r="I213" s="49">
        <f t="shared" si="10"/>
        <v>0.210176619</v>
      </c>
      <c r="J213" s="43">
        <f t="shared" si="22"/>
        <v>0.08544343584</v>
      </c>
      <c r="K213" s="58">
        <v>45911.0</v>
      </c>
      <c r="L213" s="50">
        <f t="shared" si="17"/>
        <v>46092</v>
      </c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ht="15.75" customHeight="1">
      <c r="A214" s="9"/>
      <c r="B214" s="97">
        <v>1.00010219E8</v>
      </c>
      <c r="C214" s="98" t="s">
        <v>270</v>
      </c>
      <c r="D214" s="113" t="s">
        <v>273</v>
      </c>
      <c r="E214" s="112">
        <v>1318.9</v>
      </c>
      <c r="F214" s="57">
        <v>1199.0</v>
      </c>
      <c r="G214" s="57">
        <v>1248.0</v>
      </c>
      <c r="H214" s="41">
        <f t="shared" si="1"/>
        <v>1255.3</v>
      </c>
      <c r="I214" s="49">
        <f t="shared" si="10"/>
        <v>0.1</v>
      </c>
      <c r="J214" s="43"/>
      <c r="K214" s="58">
        <v>45911.0</v>
      </c>
      <c r="L214" s="45">
        <f t="shared" si="17"/>
        <v>46092</v>
      </c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ht="15.75" customHeight="1">
      <c r="A215" s="9"/>
      <c r="B215" s="137">
        <v>1.00012664E8</v>
      </c>
      <c r="C215" s="98" t="s">
        <v>274</v>
      </c>
      <c r="D215" s="113" t="s">
        <v>275</v>
      </c>
      <c r="E215" s="100">
        <v>1399.0</v>
      </c>
      <c r="F215" s="54">
        <v>1099.99</v>
      </c>
      <c r="G215" s="54">
        <v>1200.0</v>
      </c>
      <c r="H215" s="41">
        <f t="shared" si="1"/>
        <v>1232.996667</v>
      </c>
      <c r="I215" s="49">
        <f t="shared" si="10"/>
        <v>0.2718297439</v>
      </c>
      <c r="J215" s="43">
        <f t="shared" ref="J215:J228" si="23">IF(ISERROR(MAX(E215:G215)/H215-1),"",(MAX(E215:G215)/H215-1))</f>
        <v>0.1346340488</v>
      </c>
      <c r="K215" s="78"/>
      <c r="L215" s="50">
        <f t="shared" si="17"/>
        <v>182</v>
      </c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ht="15.75" customHeight="1">
      <c r="A216" s="9"/>
      <c r="B216" s="150">
        <v>1.00012664E8</v>
      </c>
      <c r="C216" s="151" t="s">
        <v>276</v>
      </c>
      <c r="D216" s="152" t="s">
        <v>277</v>
      </c>
      <c r="E216" s="162"/>
      <c r="F216" s="163"/>
      <c r="G216" s="164"/>
      <c r="H216" s="155">
        <f t="shared" si="1"/>
        <v>0</v>
      </c>
      <c r="I216" s="156" t="str">
        <f t="shared" si="10"/>
        <v/>
      </c>
      <c r="J216" s="157" t="str">
        <f t="shared" si="23"/>
        <v/>
      </c>
      <c r="K216" s="165"/>
      <c r="L216" s="159">
        <f t="shared" si="17"/>
        <v>182</v>
      </c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ht="15.75" customHeight="1">
      <c r="A217" s="9"/>
      <c r="B217" s="137">
        <v>1.00012664E8</v>
      </c>
      <c r="C217" s="98" t="s">
        <v>278</v>
      </c>
      <c r="D217" s="113" t="s">
        <v>279</v>
      </c>
      <c r="E217" s="112">
        <v>799.99</v>
      </c>
      <c r="F217" s="57">
        <v>899.99</v>
      </c>
      <c r="G217" s="57">
        <v>699.99</v>
      </c>
      <c r="H217" s="41">
        <f t="shared" si="1"/>
        <v>799.99</v>
      </c>
      <c r="I217" s="49">
        <f t="shared" si="10"/>
        <v>0.2857183674</v>
      </c>
      <c r="J217" s="43">
        <f t="shared" si="23"/>
        <v>0.1250015625</v>
      </c>
      <c r="K217" s="78"/>
      <c r="L217" s="50">
        <f t="shared" si="17"/>
        <v>182</v>
      </c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ht="15.75" customHeight="1">
      <c r="A218" s="9"/>
      <c r="B218" s="137">
        <v>1.0001307E8</v>
      </c>
      <c r="C218" s="98" t="s">
        <v>280</v>
      </c>
      <c r="D218" s="113" t="s">
        <v>281</v>
      </c>
      <c r="E218" s="100">
        <v>14990.0</v>
      </c>
      <c r="F218" s="54">
        <v>18190.46</v>
      </c>
      <c r="G218" s="54">
        <v>16275.71</v>
      </c>
      <c r="H218" s="41">
        <f t="shared" si="1"/>
        <v>16485.39</v>
      </c>
      <c r="I218" s="49">
        <f t="shared" si="10"/>
        <v>0.2135063376</v>
      </c>
      <c r="J218" s="43">
        <f t="shared" si="23"/>
        <v>0.1034291576</v>
      </c>
      <c r="K218" s="78"/>
      <c r="L218" s="50">
        <f t="shared" si="17"/>
        <v>182</v>
      </c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ht="15.75" customHeight="1">
      <c r="A219" s="9"/>
      <c r="B219" s="137">
        <v>1.00012664E8</v>
      </c>
      <c r="C219" s="98" t="s">
        <v>282</v>
      </c>
      <c r="D219" s="113" t="s">
        <v>283</v>
      </c>
      <c r="E219" s="112">
        <v>11797.0</v>
      </c>
      <c r="F219" s="57">
        <v>9398.0</v>
      </c>
      <c r="G219" s="56">
        <v>11197.0</v>
      </c>
      <c r="H219" s="41">
        <f t="shared" si="1"/>
        <v>10797.33333</v>
      </c>
      <c r="I219" s="49">
        <f t="shared" si="10"/>
        <v>0.2552670781</v>
      </c>
      <c r="J219" s="43">
        <f t="shared" si="23"/>
        <v>0.09258458879</v>
      </c>
      <c r="K219" s="78"/>
      <c r="L219" s="50">
        <f t="shared" si="17"/>
        <v>182</v>
      </c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ht="15.75" customHeight="1">
      <c r="A220" s="9"/>
      <c r="B220" s="137">
        <v>1.00012664E8</v>
      </c>
      <c r="C220" s="98" t="s">
        <v>284</v>
      </c>
      <c r="D220" s="113" t="s">
        <v>285</v>
      </c>
      <c r="E220" s="112">
        <v>2490.0</v>
      </c>
      <c r="F220" s="57">
        <v>2299.0</v>
      </c>
      <c r="G220" s="57">
        <v>2399.05</v>
      </c>
      <c r="H220" s="41">
        <f t="shared" si="1"/>
        <v>2396.016667</v>
      </c>
      <c r="I220" s="49">
        <f t="shared" si="10"/>
        <v>0.08307959983</v>
      </c>
      <c r="J220" s="43">
        <f t="shared" si="23"/>
        <v>0.03922482454</v>
      </c>
      <c r="K220" s="78"/>
      <c r="L220" s="50">
        <f t="shared" si="17"/>
        <v>182</v>
      </c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ht="15.75" customHeight="1">
      <c r="A221" s="9"/>
      <c r="B221" s="137">
        <v>1.00012664E8</v>
      </c>
      <c r="C221" s="98" t="s">
        <v>286</v>
      </c>
      <c r="D221" s="113" t="s">
        <v>287</v>
      </c>
      <c r="E221" s="112">
        <v>4999.0</v>
      </c>
      <c r="F221" s="57">
        <v>4400.0</v>
      </c>
      <c r="G221" s="57">
        <v>4800.0</v>
      </c>
      <c r="H221" s="41">
        <f t="shared" si="1"/>
        <v>4733</v>
      </c>
      <c r="I221" s="49">
        <f t="shared" si="10"/>
        <v>0.1361363636</v>
      </c>
      <c r="J221" s="43">
        <f t="shared" si="23"/>
        <v>0.05620114093</v>
      </c>
      <c r="K221" s="78"/>
      <c r="L221" s="50">
        <f t="shared" si="17"/>
        <v>182</v>
      </c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ht="15.75" customHeight="1">
      <c r="A222" s="9"/>
      <c r="B222" s="137">
        <v>1.00012664E8</v>
      </c>
      <c r="C222" s="98" t="s">
        <v>288</v>
      </c>
      <c r="D222" s="113" t="s">
        <v>289</v>
      </c>
      <c r="E222" s="112">
        <v>1313.1</v>
      </c>
      <c r="F222" s="57">
        <v>1197.04</v>
      </c>
      <c r="G222" s="57">
        <v>1121.0</v>
      </c>
      <c r="H222" s="41">
        <f t="shared" si="1"/>
        <v>1210.38</v>
      </c>
      <c r="I222" s="49">
        <f t="shared" si="10"/>
        <v>0.1713648528</v>
      </c>
      <c r="J222" s="43">
        <f t="shared" si="23"/>
        <v>0.08486590988</v>
      </c>
      <c r="K222" s="78"/>
      <c r="L222" s="50">
        <f t="shared" si="17"/>
        <v>182</v>
      </c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ht="15.75" customHeight="1">
      <c r="A223" s="9"/>
      <c r="B223" s="137">
        <v>1.00012664E8</v>
      </c>
      <c r="C223" s="98" t="s">
        <v>290</v>
      </c>
      <c r="D223" s="113" t="s">
        <v>291</v>
      </c>
      <c r="E223" s="112">
        <v>4899.0</v>
      </c>
      <c r="F223" s="57">
        <v>4699.0</v>
      </c>
      <c r="G223" s="56">
        <v>4734.0</v>
      </c>
      <c r="H223" s="41">
        <f t="shared" si="1"/>
        <v>4777.333333</v>
      </c>
      <c r="I223" s="49">
        <f t="shared" si="10"/>
        <v>0.04256224729</v>
      </c>
      <c r="J223" s="43">
        <f t="shared" si="23"/>
        <v>0.02546748535</v>
      </c>
      <c r="K223" s="78"/>
      <c r="L223" s="50">
        <f t="shared" si="17"/>
        <v>182</v>
      </c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ht="15.75" customHeight="1">
      <c r="A224" s="9"/>
      <c r="B224" s="150">
        <v>1.00012664E8</v>
      </c>
      <c r="C224" s="151" t="s">
        <v>292</v>
      </c>
      <c r="D224" s="152" t="s">
        <v>293</v>
      </c>
      <c r="E224" s="162"/>
      <c r="F224" s="166"/>
      <c r="G224" s="167"/>
      <c r="H224" s="155">
        <f t="shared" si="1"/>
        <v>0</v>
      </c>
      <c r="I224" s="156" t="str">
        <f t="shared" si="10"/>
        <v/>
      </c>
      <c r="J224" s="157" t="str">
        <f t="shared" si="23"/>
        <v/>
      </c>
      <c r="K224" s="165"/>
      <c r="L224" s="159">
        <f t="shared" si="17"/>
        <v>182</v>
      </c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ht="15.75" customHeight="1">
      <c r="A225" s="9"/>
      <c r="B225" s="137">
        <v>1.00012664E8</v>
      </c>
      <c r="C225" s="98" t="s">
        <v>294</v>
      </c>
      <c r="D225" s="113" t="s">
        <v>295</v>
      </c>
      <c r="E225" s="112">
        <v>964.44</v>
      </c>
      <c r="F225" s="57">
        <v>946.58</v>
      </c>
      <c r="G225" s="56">
        <v>964.44</v>
      </c>
      <c r="H225" s="41">
        <f t="shared" si="1"/>
        <v>958.4866667</v>
      </c>
      <c r="I225" s="49">
        <f t="shared" si="10"/>
        <v>0.01886792453</v>
      </c>
      <c r="J225" s="43">
        <f t="shared" si="23"/>
        <v>0.006211180124</v>
      </c>
      <c r="K225" s="78"/>
      <c r="L225" s="50">
        <f t="shared" si="17"/>
        <v>182</v>
      </c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ht="15.75" customHeight="1">
      <c r="A226" s="9"/>
      <c r="B226" s="150">
        <v>1.00012664E8</v>
      </c>
      <c r="C226" s="151" t="s">
        <v>296</v>
      </c>
      <c r="D226" s="152" t="s">
        <v>297</v>
      </c>
      <c r="E226" s="162"/>
      <c r="F226" s="166"/>
      <c r="G226" s="167"/>
      <c r="H226" s="155">
        <f t="shared" si="1"/>
        <v>0</v>
      </c>
      <c r="I226" s="156" t="str">
        <f t="shared" si="10"/>
        <v/>
      </c>
      <c r="J226" s="157" t="str">
        <f t="shared" si="23"/>
        <v/>
      </c>
      <c r="K226" s="165"/>
      <c r="L226" s="159">
        <f t="shared" si="17"/>
        <v>182</v>
      </c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ht="15.75" customHeight="1">
      <c r="A227" s="9"/>
      <c r="B227" s="97">
        <v>1.00013066E8</v>
      </c>
      <c r="C227" s="98" t="s">
        <v>298</v>
      </c>
      <c r="D227" s="83"/>
      <c r="E227" s="112">
        <v>179.9</v>
      </c>
      <c r="F227" s="57">
        <v>184.11</v>
      </c>
      <c r="G227" s="57">
        <v>195.44</v>
      </c>
      <c r="H227" s="41">
        <f t="shared" si="1"/>
        <v>186.4833333</v>
      </c>
      <c r="I227" s="49">
        <f t="shared" si="10"/>
        <v>0.08638132296</v>
      </c>
      <c r="J227" s="43">
        <f t="shared" si="23"/>
        <v>0.04802931451</v>
      </c>
      <c r="K227" s="58">
        <v>45911.0</v>
      </c>
      <c r="L227" s="50">
        <f t="shared" si="17"/>
        <v>46092</v>
      </c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ht="15.75" customHeight="1">
      <c r="A228" s="9"/>
      <c r="B228" s="97">
        <v>1.00012904E8</v>
      </c>
      <c r="C228" s="98" t="s">
        <v>299</v>
      </c>
      <c r="D228" s="113" t="s">
        <v>300</v>
      </c>
      <c r="E228" s="132">
        <v>161.21</v>
      </c>
      <c r="F228" s="57">
        <v>180.39</v>
      </c>
      <c r="G228" s="57">
        <v>166.0</v>
      </c>
      <c r="H228" s="41">
        <f t="shared" si="1"/>
        <v>169.2</v>
      </c>
      <c r="I228" s="49">
        <f t="shared" si="10"/>
        <v>0.1189752497</v>
      </c>
      <c r="J228" s="43">
        <f t="shared" si="23"/>
        <v>0.06613475177</v>
      </c>
      <c r="K228" s="58">
        <v>45911.0</v>
      </c>
      <c r="L228" s="50">
        <f t="shared" si="17"/>
        <v>46092</v>
      </c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ht="15.75" customHeight="1">
      <c r="A229" s="9"/>
      <c r="B229" s="150">
        <v>1.00012762E8</v>
      </c>
      <c r="C229" s="151" t="s">
        <v>301</v>
      </c>
      <c r="D229" s="170"/>
      <c r="E229" s="168"/>
      <c r="F229" s="166"/>
      <c r="G229" s="166"/>
      <c r="H229" s="155">
        <f t="shared" si="1"/>
        <v>0</v>
      </c>
      <c r="I229" s="156" t="str">
        <f t="shared" si="10"/>
        <v/>
      </c>
      <c r="J229" s="169">
        <v>29881.3</v>
      </c>
      <c r="K229" s="165"/>
      <c r="L229" s="159">
        <v>44680.0</v>
      </c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ht="15.75" customHeight="1">
      <c r="A230" s="9"/>
      <c r="B230" s="150">
        <v>1.00012747E8</v>
      </c>
      <c r="C230" s="151" t="s">
        <v>43</v>
      </c>
      <c r="D230" s="170"/>
      <c r="E230" s="269"/>
      <c r="F230" s="163"/>
      <c r="G230" s="163"/>
      <c r="H230" s="155">
        <f t="shared" si="1"/>
        <v>0</v>
      </c>
      <c r="I230" s="156" t="str">
        <f t="shared" si="10"/>
        <v/>
      </c>
      <c r="J230" s="157" t="str">
        <f t="shared" ref="J230:J235" si="24">IF(ISERROR(MAX(E230:G230)/H230-1),"",(MAX(E230:G230)/H230-1))</f>
        <v/>
      </c>
      <c r="K230" s="165"/>
      <c r="L230" s="159">
        <f t="shared" ref="L230:L235" si="25">EDATE(K230,6)</f>
        <v>182</v>
      </c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ht="15.75" customHeight="1">
      <c r="A231" s="9"/>
      <c r="B231" s="150">
        <v>1.00012597E8</v>
      </c>
      <c r="C231" s="151" t="s">
        <v>768</v>
      </c>
      <c r="D231" s="170"/>
      <c r="E231" s="153"/>
      <c r="F231" s="154"/>
      <c r="G231" s="154"/>
      <c r="H231" s="155">
        <f t="shared" si="1"/>
        <v>0</v>
      </c>
      <c r="I231" s="156" t="str">
        <f t="shared" si="10"/>
        <v/>
      </c>
      <c r="J231" s="157" t="str">
        <f t="shared" si="24"/>
        <v/>
      </c>
      <c r="K231" s="165"/>
      <c r="L231" s="159">
        <f t="shared" si="25"/>
        <v>182</v>
      </c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ht="15.75" customHeight="1">
      <c r="A232" s="9"/>
      <c r="B232" s="150">
        <v>1.00012552E8</v>
      </c>
      <c r="C232" s="151" t="s">
        <v>303</v>
      </c>
      <c r="D232" s="170"/>
      <c r="E232" s="153"/>
      <c r="F232" s="154"/>
      <c r="G232" s="154"/>
      <c r="H232" s="155">
        <f t="shared" si="1"/>
        <v>0</v>
      </c>
      <c r="I232" s="156" t="str">
        <f t="shared" si="10"/>
        <v/>
      </c>
      <c r="J232" s="157" t="str">
        <f t="shared" si="24"/>
        <v/>
      </c>
      <c r="K232" s="165"/>
      <c r="L232" s="159">
        <f t="shared" si="25"/>
        <v>182</v>
      </c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ht="16.5" customHeight="1">
      <c r="A233" s="9"/>
      <c r="B233" s="150">
        <v>1.00012547E8</v>
      </c>
      <c r="C233" s="151" t="s">
        <v>769</v>
      </c>
      <c r="D233" s="152" t="s">
        <v>770</v>
      </c>
      <c r="E233" s="153"/>
      <c r="F233" s="154"/>
      <c r="G233" s="154"/>
      <c r="H233" s="155">
        <f t="shared" si="1"/>
        <v>0</v>
      </c>
      <c r="I233" s="156" t="str">
        <f t="shared" si="10"/>
        <v/>
      </c>
      <c r="J233" s="157" t="str">
        <f t="shared" si="24"/>
        <v/>
      </c>
      <c r="K233" s="165"/>
      <c r="L233" s="159">
        <f t="shared" si="25"/>
        <v>182</v>
      </c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ht="15.75" customHeight="1">
      <c r="A234" s="9"/>
      <c r="B234" s="137">
        <v>1.00012877E8</v>
      </c>
      <c r="C234" s="98" t="s">
        <v>304</v>
      </c>
      <c r="D234" s="83"/>
      <c r="E234" s="132">
        <v>522.9</v>
      </c>
      <c r="F234" s="57">
        <v>529.99</v>
      </c>
      <c r="G234" s="57">
        <v>659.9</v>
      </c>
      <c r="H234" s="41">
        <f t="shared" si="1"/>
        <v>570.93</v>
      </c>
      <c r="I234" s="49">
        <f t="shared" si="10"/>
        <v>0.2620003825</v>
      </c>
      <c r="J234" s="43">
        <f t="shared" si="24"/>
        <v>0.1558334647</v>
      </c>
      <c r="K234" s="58">
        <v>45917.0</v>
      </c>
      <c r="L234" s="50">
        <f t="shared" si="25"/>
        <v>46098</v>
      </c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ht="15.75" customHeight="1">
      <c r="A235" s="9"/>
      <c r="B235" s="137">
        <v>1.00012605E8</v>
      </c>
      <c r="C235" s="98" t="s">
        <v>305</v>
      </c>
      <c r="D235" s="113" t="s">
        <v>771</v>
      </c>
      <c r="E235" s="101">
        <v>150.49</v>
      </c>
      <c r="F235" s="54">
        <v>169.58</v>
      </c>
      <c r="G235" s="54">
        <v>169.99</v>
      </c>
      <c r="H235" s="41">
        <f t="shared" si="1"/>
        <v>163.3533333</v>
      </c>
      <c r="I235" s="49">
        <f t="shared" si="10"/>
        <v>0.1295767161</v>
      </c>
      <c r="J235" s="43">
        <f t="shared" si="24"/>
        <v>0.04062767824</v>
      </c>
      <c r="K235" s="58">
        <v>45917.0</v>
      </c>
      <c r="L235" s="50">
        <f t="shared" si="25"/>
        <v>46098</v>
      </c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ht="15.75" customHeight="1">
      <c r="A236" s="9"/>
      <c r="B236" s="137">
        <v>1.00012605E8</v>
      </c>
      <c r="C236" s="98" t="s">
        <v>305</v>
      </c>
      <c r="D236" s="113" t="s">
        <v>772</v>
      </c>
      <c r="E236" s="132">
        <v>39.99</v>
      </c>
      <c r="F236" s="57">
        <v>38.9</v>
      </c>
      <c r="G236" s="57">
        <v>49.0</v>
      </c>
      <c r="H236" s="41">
        <f t="shared" si="1"/>
        <v>42.63</v>
      </c>
      <c r="I236" s="49">
        <f t="shared" si="10"/>
        <v>0.2596401028</v>
      </c>
      <c r="J236" s="93">
        <v>25089.5</v>
      </c>
      <c r="K236" s="58">
        <v>45917.0</v>
      </c>
      <c r="L236" s="50">
        <v>44680.0</v>
      </c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ht="15.75" customHeight="1">
      <c r="A237" s="9"/>
      <c r="B237" s="133">
        <v>1.00012602E8</v>
      </c>
      <c r="C237" s="134" t="s">
        <v>307</v>
      </c>
      <c r="D237" s="46"/>
      <c r="E237" s="132">
        <v>139.99</v>
      </c>
      <c r="F237" s="57">
        <v>144.94</v>
      </c>
      <c r="G237" s="57">
        <v>139.9</v>
      </c>
      <c r="H237" s="41">
        <f t="shared" si="1"/>
        <v>141.61</v>
      </c>
      <c r="I237" s="49">
        <f t="shared" si="10"/>
        <v>0.03602573267</v>
      </c>
      <c r="J237" s="43">
        <f t="shared" ref="J237:J247" si="26">IF(ISERROR(MAX(E237:G237)/H237-1),"",(MAX(E237:G237)/H237-1))</f>
        <v>0.02351528847</v>
      </c>
      <c r="K237" s="58">
        <v>45917.0</v>
      </c>
      <c r="L237" s="50">
        <f t="shared" ref="L237:L247" si="27">EDATE(K237,6)</f>
        <v>46098</v>
      </c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ht="15.75" customHeight="1">
      <c r="A238" s="9"/>
      <c r="B238" s="133">
        <v>1.00012851E8</v>
      </c>
      <c r="C238" s="134" t="s">
        <v>308</v>
      </c>
      <c r="D238" s="46"/>
      <c r="E238" s="132">
        <v>359.01</v>
      </c>
      <c r="F238" s="57">
        <v>284.99</v>
      </c>
      <c r="G238" s="57">
        <v>280.0</v>
      </c>
      <c r="H238" s="41">
        <f t="shared" si="1"/>
        <v>308</v>
      </c>
      <c r="I238" s="49">
        <f t="shared" si="10"/>
        <v>0.2821785714</v>
      </c>
      <c r="J238" s="43">
        <f t="shared" si="26"/>
        <v>0.1656168831</v>
      </c>
      <c r="K238" s="58">
        <v>45917.0</v>
      </c>
      <c r="L238" s="50">
        <f t="shared" si="27"/>
        <v>46098</v>
      </c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ht="15.75" customHeight="1">
      <c r="A239" s="9"/>
      <c r="B239" s="137">
        <v>1.00012606E8</v>
      </c>
      <c r="C239" s="98" t="s">
        <v>309</v>
      </c>
      <c r="D239" s="113" t="s">
        <v>310</v>
      </c>
      <c r="E239" s="101">
        <v>660.0</v>
      </c>
      <c r="F239" s="54">
        <v>671.04</v>
      </c>
      <c r="G239" s="54">
        <v>595.0</v>
      </c>
      <c r="H239" s="41">
        <f t="shared" si="1"/>
        <v>642.0133333</v>
      </c>
      <c r="I239" s="49">
        <f t="shared" si="10"/>
        <v>0.1277983193</v>
      </c>
      <c r="J239" s="43">
        <f t="shared" si="26"/>
        <v>0.04521193745</v>
      </c>
      <c r="K239" s="58">
        <v>45918.0</v>
      </c>
      <c r="L239" s="50">
        <f t="shared" si="27"/>
        <v>46099</v>
      </c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ht="15.75" customHeight="1">
      <c r="A240" s="9"/>
      <c r="B240" s="137">
        <v>1.00012606E8</v>
      </c>
      <c r="C240" s="98" t="s">
        <v>309</v>
      </c>
      <c r="D240" s="113" t="s">
        <v>311</v>
      </c>
      <c r="E240" s="101">
        <v>137.0</v>
      </c>
      <c r="F240" s="54">
        <v>137.0</v>
      </c>
      <c r="G240" s="54">
        <v>138.0</v>
      </c>
      <c r="H240" s="41">
        <f t="shared" si="1"/>
        <v>137.3333333</v>
      </c>
      <c r="I240" s="49">
        <f t="shared" si="10"/>
        <v>0.007299270073</v>
      </c>
      <c r="J240" s="43">
        <f t="shared" si="26"/>
        <v>0.004854368932</v>
      </c>
      <c r="K240" s="58">
        <v>45918.0</v>
      </c>
      <c r="L240" s="50">
        <f t="shared" si="27"/>
        <v>46099</v>
      </c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ht="15.75" customHeight="1">
      <c r="A241" s="9"/>
      <c r="B241" s="137">
        <v>1.00012607E8</v>
      </c>
      <c r="C241" s="98" t="s">
        <v>56</v>
      </c>
      <c r="D241" s="113" t="s">
        <v>312</v>
      </c>
      <c r="E241" s="101">
        <v>2899.0</v>
      </c>
      <c r="F241" s="54">
        <v>2499.0</v>
      </c>
      <c r="G241" s="54">
        <v>2599.99</v>
      </c>
      <c r="H241" s="41">
        <f t="shared" si="1"/>
        <v>2665.996667</v>
      </c>
      <c r="I241" s="49">
        <f t="shared" si="10"/>
        <v>0.1600640256</v>
      </c>
      <c r="J241" s="43">
        <f t="shared" si="26"/>
        <v>0.0873982088</v>
      </c>
      <c r="K241" s="58">
        <v>45918.0</v>
      </c>
      <c r="L241" s="50">
        <f t="shared" si="27"/>
        <v>46099</v>
      </c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ht="15.75" customHeight="1">
      <c r="A242" s="9"/>
      <c r="B242" s="137">
        <v>1.0000235E8</v>
      </c>
      <c r="C242" s="98" t="s">
        <v>313</v>
      </c>
      <c r="D242" s="113" t="s">
        <v>314</v>
      </c>
      <c r="E242" s="101">
        <v>528.98</v>
      </c>
      <c r="F242" s="54">
        <v>481.08</v>
      </c>
      <c r="G242" s="54">
        <v>528.98</v>
      </c>
      <c r="H242" s="41">
        <f t="shared" si="1"/>
        <v>513.0133333</v>
      </c>
      <c r="I242" s="49">
        <f t="shared" si="10"/>
        <v>0.09956763948</v>
      </c>
      <c r="J242" s="43">
        <f t="shared" si="26"/>
        <v>0.03112329764</v>
      </c>
      <c r="K242" s="58">
        <v>45918.0</v>
      </c>
      <c r="L242" s="50">
        <f t="shared" si="27"/>
        <v>46099</v>
      </c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ht="15.75" customHeight="1">
      <c r="A243" s="9"/>
      <c r="B243" s="137">
        <v>1.0000235E8</v>
      </c>
      <c r="C243" s="98" t="s">
        <v>313</v>
      </c>
      <c r="D243" s="113" t="s">
        <v>315</v>
      </c>
      <c r="E243" s="101">
        <v>427.9</v>
      </c>
      <c r="F243" s="54">
        <v>435.35</v>
      </c>
      <c r="G243" s="54">
        <v>464.71</v>
      </c>
      <c r="H243" s="41">
        <f t="shared" si="1"/>
        <v>442.6533333</v>
      </c>
      <c r="I243" s="49">
        <f t="shared" si="10"/>
        <v>0.08602477214</v>
      </c>
      <c r="J243" s="43">
        <f t="shared" si="26"/>
        <v>0.04982830808</v>
      </c>
      <c r="K243" s="78"/>
      <c r="L243" s="50">
        <f t="shared" si="27"/>
        <v>182</v>
      </c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ht="15.75" customHeight="1">
      <c r="A244" s="9"/>
      <c r="B244" s="137">
        <v>1.00010808E8</v>
      </c>
      <c r="C244" s="98" t="s">
        <v>316</v>
      </c>
      <c r="D244" s="83"/>
      <c r="E244" s="101">
        <v>680.0</v>
      </c>
      <c r="F244" s="54">
        <v>650.85</v>
      </c>
      <c r="G244" s="54">
        <v>693.06</v>
      </c>
      <c r="H244" s="41">
        <f t="shared" si="1"/>
        <v>674.6366667</v>
      </c>
      <c r="I244" s="49">
        <f t="shared" si="10"/>
        <v>0.06485365292</v>
      </c>
      <c r="J244" s="43">
        <f t="shared" si="26"/>
        <v>0.02730852656</v>
      </c>
      <c r="K244" s="78"/>
      <c r="L244" s="50">
        <f t="shared" si="27"/>
        <v>182</v>
      </c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ht="15.75" customHeight="1">
      <c r="A245" s="9"/>
      <c r="B245" s="137">
        <v>1.00010811E8</v>
      </c>
      <c r="C245" s="98" t="s">
        <v>317</v>
      </c>
      <c r="D245" s="83"/>
      <c r="E245" s="101">
        <v>236.7</v>
      </c>
      <c r="F245" s="54">
        <v>203.43</v>
      </c>
      <c r="G245" s="54">
        <v>194.72</v>
      </c>
      <c r="H245" s="41">
        <f t="shared" si="1"/>
        <v>211.6166667</v>
      </c>
      <c r="I245" s="49">
        <f t="shared" si="10"/>
        <v>0.2155916187</v>
      </c>
      <c r="J245" s="43">
        <f t="shared" si="26"/>
        <v>0.1185319367</v>
      </c>
      <c r="K245" s="78"/>
      <c r="L245" s="50">
        <f t="shared" si="27"/>
        <v>182</v>
      </c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ht="15.75" customHeight="1">
      <c r="A246" s="9"/>
      <c r="B246" s="137">
        <v>1.00012049E8</v>
      </c>
      <c r="C246" s="98" t="s">
        <v>318</v>
      </c>
      <c r="D246" s="113" t="s">
        <v>319</v>
      </c>
      <c r="E246" s="101">
        <v>1334.0</v>
      </c>
      <c r="F246" s="54">
        <v>1295.0</v>
      </c>
      <c r="G246" s="54">
        <v>1400.0</v>
      </c>
      <c r="H246" s="41">
        <f t="shared" si="1"/>
        <v>1343</v>
      </c>
      <c r="I246" s="49">
        <f t="shared" si="10"/>
        <v>0.08108108108</v>
      </c>
      <c r="J246" s="43">
        <f t="shared" si="26"/>
        <v>0.04244229337</v>
      </c>
      <c r="K246" s="78"/>
      <c r="L246" s="50">
        <f t="shared" si="27"/>
        <v>182</v>
      </c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ht="15.75" customHeight="1">
      <c r="A247" s="9"/>
      <c r="B247" s="137">
        <v>1.00012059E8</v>
      </c>
      <c r="C247" s="98" t="s">
        <v>320</v>
      </c>
      <c r="D247" s="113" t="s">
        <v>321</v>
      </c>
      <c r="E247" s="132">
        <v>1514.64</v>
      </c>
      <c r="F247" s="57">
        <v>1799.91</v>
      </c>
      <c r="G247" s="57">
        <v>1399.9</v>
      </c>
      <c r="H247" s="41">
        <f t="shared" si="1"/>
        <v>1571.483333</v>
      </c>
      <c r="I247" s="49">
        <f t="shared" si="10"/>
        <v>0.2857418387</v>
      </c>
      <c r="J247" s="43">
        <f t="shared" si="26"/>
        <v>0.1453573588</v>
      </c>
      <c r="K247" s="78"/>
      <c r="L247" s="50">
        <f t="shared" si="27"/>
        <v>182</v>
      </c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ht="15.75" customHeight="1">
      <c r="A248" s="9"/>
      <c r="B248" s="137">
        <v>1.00012523E8</v>
      </c>
      <c r="C248" s="98" t="s">
        <v>322</v>
      </c>
      <c r="D248" s="83"/>
      <c r="E248" s="132">
        <v>221.51</v>
      </c>
      <c r="F248" s="57">
        <v>260.0</v>
      </c>
      <c r="G248" s="57">
        <v>209.9</v>
      </c>
      <c r="H248" s="41">
        <f t="shared" si="1"/>
        <v>230.47</v>
      </c>
      <c r="I248" s="49">
        <f t="shared" si="10"/>
        <v>0.2386850881</v>
      </c>
      <c r="J248" s="93">
        <v>27752.0333333333</v>
      </c>
      <c r="K248" s="78"/>
      <c r="L248" s="50">
        <v>44680.0</v>
      </c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ht="15.75" customHeight="1">
      <c r="A249" s="9"/>
      <c r="B249" s="137">
        <v>1.00012655E8</v>
      </c>
      <c r="C249" s="98" t="s">
        <v>323</v>
      </c>
      <c r="D249" s="83"/>
      <c r="E249" s="132">
        <v>568.96</v>
      </c>
      <c r="F249" s="57">
        <v>520.0</v>
      </c>
      <c r="G249" s="57">
        <v>522.0</v>
      </c>
      <c r="H249" s="41">
        <f t="shared" si="1"/>
        <v>536.9866667</v>
      </c>
      <c r="I249" s="49">
        <f t="shared" si="10"/>
        <v>0.09415384615</v>
      </c>
      <c r="J249" s="43">
        <f t="shared" ref="J249:J256" si="28">IF(ISERROR(MAX(E249:G249)/H249-1),"",(MAX(E249:G249)/H249-1))</f>
        <v>0.05954213637</v>
      </c>
      <c r="K249" s="78"/>
      <c r="L249" s="50">
        <f t="shared" ref="L249:L272" si="29">EDATE(K249,6)</f>
        <v>182</v>
      </c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ht="15.75" customHeight="1">
      <c r="A250" s="9"/>
      <c r="B250" s="137">
        <v>1.00012656E8</v>
      </c>
      <c r="C250" s="98" t="s">
        <v>324</v>
      </c>
      <c r="D250" s="83"/>
      <c r="E250" s="132">
        <v>24.5</v>
      </c>
      <c r="F250" s="57">
        <v>30.0</v>
      </c>
      <c r="G250" s="132">
        <v>24.5</v>
      </c>
      <c r="H250" s="41">
        <f t="shared" si="1"/>
        <v>26.33333333</v>
      </c>
      <c r="I250" s="49">
        <f t="shared" si="10"/>
        <v>0.2244897959</v>
      </c>
      <c r="J250" s="43">
        <f t="shared" si="28"/>
        <v>0.1392405063</v>
      </c>
      <c r="K250" s="58">
        <v>45923.0</v>
      </c>
      <c r="L250" s="50">
        <f t="shared" si="29"/>
        <v>46104</v>
      </c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ht="16.5" customHeight="1">
      <c r="A251" s="9"/>
      <c r="B251" s="137">
        <v>1.00012657E8</v>
      </c>
      <c r="C251" s="173" t="s">
        <v>325</v>
      </c>
      <c r="D251" s="83"/>
      <c r="E251" s="101">
        <v>167.87</v>
      </c>
      <c r="F251" s="54">
        <v>138.0</v>
      </c>
      <c r="G251" s="54">
        <v>153.47</v>
      </c>
      <c r="H251" s="41">
        <f t="shared" si="1"/>
        <v>153.1133333</v>
      </c>
      <c r="I251" s="49">
        <f t="shared" si="10"/>
        <v>0.2164492754</v>
      </c>
      <c r="J251" s="43">
        <f t="shared" si="28"/>
        <v>0.09637741107</v>
      </c>
      <c r="K251" s="58">
        <v>45923.0</v>
      </c>
      <c r="L251" s="50">
        <f t="shared" si="29"/>
        <v>46104</v>
      </c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ht="15.75" customHeight="1">
      <c r="A252" s="9"/>
      <c r="B252" s="137">
        <v>1.00012658E8</v>
      </c>
      <c r="C252" s="98" t="s">
        <v>326</v>
      </c>
      <c r="D252" s="83"/>
      <c r="E252" s="132">
        <v>245.71</v>
      </c>
      <c r="F252" s="57">
        <v>255.5</v>
      </c>
      <c r="G252" s="57">
        <v>258.0</v>
      </c>
      <c r="H252" s="41">
        <f t="shared" si="1"/>
        <v>253.07</v>
      </c>
      <c r="I252" s="49">
        <f t="shared" si="10"/>
        <v>0.05001831427</v>
      </c>
      <c r="J252" s="43">
        <f t="shared" si="28"/>
        <v>0.01948077607</v>
      </c>
      <c r="K252" s="58">
        <v>45923.0</v>
      </c>
      <c r="L252" s="50">
        <f t="shared" si="29"/>
        <v>46104</v>
      </c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ht="15.75" customHeight="1">
      <c r="A253" s="9"/>
      <c r="B253" s="137">
        <v>1.00010011E8</v>
      </c>
      <c r="C253" s="98" t="s">
        <v>327</v>
      </c>
      <c r="D253" s="83"/>
      <c r="E253" s="132">
        <v>2973.38</v>
      </c>
      <c r="F253" s="57">
        <v>2893.35</v>
      </c>
      <c r="G253" s="57">
        <v>3050.89</v>
      </c>
      <c r="H253" s="41">
        <f t="shared" si="1"/>
        <v>2972.54</v>
      </c>
      <c r="I253" s="49">
        <f t="shared" si="10"/>
        <v>0.05444899511</v>
      </c>
      <c r="J253" s="43">
        <f t="shared" si="28"/>
        <v>0.02635792958</v>
      </c>
      <c r="K253" s="58">
        <v>45923.0</v>
      </c>
      <c r="L253" s="50">
        <f t="shared" si="29"/>
        <v>46104</v>
      </c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ht="15.75" customHeight="1">
      <c r="A254" s="9"/>
      <c r="B254" s="137">
        <v>1.00012918E8</v>
      </c>
      <c r="C254" s="98" t="s">
        <v>328</v>
      </c>
      <c r="D254" s="128"/>
      <c r="E254" s="101">
        <v>128.7</v>
      </c>
      <c r="F254" s="138">
        <v>157.0</v>
      </c>
      <c r="G254" s="138">
        <v>154.77</v>
      </c>
      <c r="H254" s="41">
        <f t="shared" si="1"/>
        <v>146.8233333</v>
      </c>
      <c r="I254" s="49">
        <f t="shared" si="10"/>
        <v>0.2198912199</v>
      </c>
      <c r="J254" s="43">
        <f t="shared" si="28"/>
        <v>0.06931232547</v>
      </c>
      <c r="K254" s="58">
        <v>45923.0</v>
      </c>
      <c r="L254" s="50">
        <f t="shared" si="29"/>
        <v>46104</v>
      </c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ht="15.75" customHeight="1">
      <c r="A255" s="9"/>
      <c r="B255" s="137">
        <v>1.00010846E8</v>
      </c>
      <c r="C255" s="98" t="s">
        <v>329</v>
      </c>
      <c r="D255" s="113" t="s">
        <v>330</v>
      </c>
      <c r="E255" s="101">
        <v>1142.39</v>
      </c>
      <c r="F255" s="54">
        <v>1188.41</v>
      </c>
      <c r="G255" s="54">
        <v>1080.0</v>
      </c>
      <c r="H255" s="41">
        <f t="shared" si="1"/>
        <v>1136.933333</v>
      </c>
      <c r="I255" s="49">
        <f t="shared" si="10"/>
        <v>0.1003796296</v>
      </c>
      <c r="J255" s="43">
        <f t="shared" si="28"/>
        <v>0.04527676791</v>
      </c>
      <c r="K255" s="58">
        <v>45923.0</v>
      </c>
      <c r="L255" s="50">
        <f t="shared" si="29"/>
        <v>46104</v>
      </c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ht="15.75" customHeight="1">
      <c r="A256" s="9"/>
      <c r="B256" s="137">
        <v>1.00012555E8</v>
      </c>
      <c r="C256" s="98" t="s">
        <v>331</v>
      </c>
      <c r="D256" s="113" t="s">
        <v>332</v>
      </c>
      <c r="E256" s="101">
        <v>2969.77</v>
      </c>
      <c r="F256" s="54">
        <v>2702.38</v>
      </c>
      <c r="G256" s="54">
        <v>2730.0</v>
      </c>
      <c r="H256" s="41">
        <f t="shared" si="1"/>
        <v>2800.716667</v>
      </c>
      <c r="I256" s="49">
        <f t="shared" si="10"/>
        <v>0.09894611417</v>
      </c>
      <c r="J256" s="43">
        <f t="shared" si="28"/>
        <v>0.060360741</v>
      </c>
      <c r="K256" s="58">
        <v>45923.0</v>
      </c>
      <c r="L256" s="50">
        <f t="shared" si="29"/>
        <v>46104</v>
      </c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ht="15.75" customHeight="1">
      <c r="A257" s="9"/>
      <c r="B257" s="137">
        <v>1.00012659E8</v>
      </c>
      <c r="C257" s="98" t="s">
        <v>333</v>
      </c>
      <c r="D257" s="83"/>
      <c r="E257" s="132">
        <v>228.95</v>
      </c>
      <c r="F257" s="57">
        <v>250.0</v>
      </c>
      <c r="G257" s="57">
        <v>250.0</v>
      </c>
      <c r="H257" s="41">
        <f t="shared" si="1"/>
        <v>242.9833333</v>
      </c>
      <c r="I257" s="49">
        <f t="shared" si="10"/>
        <v>0.09194147194</v>
      </c>
      <c r="J257" s="43"/>
      <c r="K257" s="136">
        <v>45923.0</v>
      </c>
      <c r="L257" s="45">
        <f t="shared" si="29"/>
        <v>46104</v>
      </c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ht="15.75" customHeight="1">
      <c r="A258" s="9"/>
      <c r="B258" s="137">
        <v>1.00002345E8</v>
      </c>
      <c r="C258" s="98" t="s">
        <v>334</v>
      </c>
      <c r="D258" s="83"/>
      <c r="E258" s="132">
        <v>731.0</v>
      </c>
      <c r="F258" s="57">
        <v>785.44</v>
      </c>
      <c r="G258" s="57">
        <v>709.9</v>
      </c>
      <c r="H258" s="41">
        <f t="shared" si="1"/>
        <v>742.1133333</v>
      </c>
      <c r="I258" s="49">
        <f t="shared" si="10"/>
        <v>0.1064093534</v>
      </c>
      <c r="J258" s="43">
        <f t="shared" ref="J258:J272" si="30">IF(ISERROR(MAX(E258:G258)/H258-1),"",(MAX(E258:G258)/H258-1))</f>
        <v>0.05838281664</v>
      </c>
      <c r="K258" s="58">
        <v>45923.0</v>
      </c>
      <c r="L258" s="50">
        <f t="shared" si="29"/>
        <v>46104</v>
      </c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ht="15.75" customHeight="1">
      <c r="A259" s="9"/>
      <c r="B259" s="137">
        <v>1.00010679E8</v>
      </c>
      <c r="C259" s="98" t="s">
        <v>236</v>
      </c>
      <c r="D259" s="83"/>
      <c r="E259" s="101">
        <v>131.16</v>
      </c>
      <c r="F259" s="54">
        <v>153.69</v>
      </c>
      <c r="G259" s="54">
        <v>163.95</v>
      </c>
      <c r="H259" s="41">
        <f t="shared" si="1"/>
        <v>149.6</v>
      </c>
      <c r="I259" s="49">
        <f t="shared" si="10"/>
        <v>0.25</v>
      </c>
      <c r="J259" s="43">
        <f t="shared" si="30"/>
        <v>0.09592245989</v>
      </c>
      <c r="K259" s="58">
        <v>45923.0</v>
      </c>
      <c r="L259" s="50">
        <f t="shared" si="29"/>
        <v>46104</v>
      </c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ht="15.75" customHeight="1">
      <c r="A260" s="9"/>
      <c r="B260" s="137">
        <v>1.00010677E8</v>
      </c>
      <c r="C260" s="98" t="s">
        <v>335</v>
      </c>
      <c r="D260" s="113" t="s">
        <v>336</v>
      </c>
      <c r="E260" s="101">
        <v>178.5</v>
      </c>
      <c r="F260" s="54">
        <v>165.0</v>
      </c>
      <c r="G260" s="54">
        <v>202.24</v>
      </c>
      <c r="H260" s="41">
        <f t="shared" si="1"/>
        <v>181.9133333</v>
      </c>
      <c r="I260" s="49">
        <f t="shared" si="10"/>
        <v>0.2256969697</v>
      </c>
      <c r="J260" s="43">
        <f t="shared" si="30"/>
        <v>0.1117381903</v>
      </c>
      <c r="K260" s="58">
        <v>45923.0</v>
      </c>
      <c r="L260" s="50">
        <f t="shared" si="29"/>
        <v>46104</v>
      </c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ht="15.75" customHeight="1">
      <c r="A261" s="9"/>
      <c r="B261" s="137">
        <v>1.00012799E8</v>
      </c>
      <c r="C261" s="98" t="s">
        <v>338</v>
      </c>
      <c r="D261" s="113" t="s">
        <v>339</v>
      </c>
      <c r="E261" s="101">
        <v>559.59</v>
      </c>
      <c r="F261" s="54">
        <v>630.9</v>
      </c>
      <c r="G261" s="54">
        <v>532.11</v>
      </c>
      <c r="H261" s="41">
        <f t="shared" si="1"/>
        <v>574.2</v>
      </c>
      <c r="I261" s="49">
        <f t="shared" si="10"/>
        <v>0.185657101</v>
      </c>
      <c r="J261" s="43">
        <f t="shared" si="30"/>
        <v>0.0987460815</v>
      </c>
      <c r="K261" s="58">
        <v>45924.0</v>
      </c>
      <c r="L261" s="50">
        <f t="shared" si="29"/>
        <v>46105</v>
      </c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ht="18.0" customHeight="1">
      <c r="A262" s="9"/>
      <c r="B262" s="137">
        <v>1.00012799E8</v>
      </c>
      <c r="C262" s="98" t="s">
        <v>340</v>
      </c>
      <c r="D262" s="113" t="s">
        <v>341</v>
      </c>
      <c r="E262" s="101">
        <v>1121.11</v>
      </c>
      <c r="F262" s="54">
        <v>1149.0</v>
      </c>
      <c r="G262" s="54">
        <v>1159.0</v>
      </c>
      <c r="H262" s="41">
        <f t="shared" si="1"/>
        <v>1143.036667</v>
      </c>
      <c r="I262" s="49">
        <f t="shared" si="10"/>
        <v>0.03379686204</v>
      </c>
      <c r="J262" s="43">
        <f t="shared" si="30"/>
        <v>0.01396572288</v>
      </c>
      <c r="K262" s="58">
        <v>45924.0</v>
      </c>
      <c r="L262" s="50">
        <f t="shared" si="29"/>
        <v>46105</v>
      </c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ht="15.75" customHeight="1">
      <c r="A263" s="9"/>
      <c r="B263" s="137">
        <v>1.00012799E8</v>
      </c>
      <c r="C263" s="98" t="s">
        <v>338</v>
      </c>
      <c r="D263" s="113" t="s">
        <v>342</v>
      </c>
      <c r="E263" s="101">
        <v>1729.0</v>
      </c>
      <c r="F263" s="54">
        <v>1729.0</v>
      </c>
      <c r="G263" s="54">
        <v>1729.0</v>
      </c>
      <c r="H263" s="41">
        <f t="shared" si="1"/>
        <v>1729</v>
      </c>
      <c r="I263" s="49">
        <f t="shared" si="10"/>
        <v>0</v>
      </c>
      <c r="J263" s="43">
        <f t="shared" si="30"/>
        <v>0</v>
      </c>
      <c r="K263" s="58">
        <v>45924.0</v>
      </c>
      <c r="L263" s="50">
        <f t="shared" si="29"/>
        <v>46105</v>
      </c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ht="15.75" customHeight="1">
      <c r="A264" s="9"/>
      <c r="B264" s="137">
        <v>1.00012292E8</v>
      </c>
      <c r="C264" s="98" t="s">
        <v>343</v>
      </c>
      <c r="D264" s="83"/>
      <c r="E264" s="101">
        <v>10200.0</v>
      </c>
      <c r="F264" s="54">
        <v>11047.73</v>
      </c>
      <c r="G264" s="54">
        <v>9419.99</v>
      </c>
      <c r="H264" s="41">
        <f t="shared" si="1"/>
        <v>10222.57333</v>
      </c>
      <c r="I264" s="49">
        <f t="shared" si="10"/>
        <v>0.1727963618</v>
      </c>
      <c r="J264" s="43">
        <f t="shared" si="30"/>
        <v>0.0807190753</v>
      </c>
      <c r="K264" s="58">
        <v>45924.0</v>
      </c>
      <c r="L264" s="50">
        <f t="shared" si="29"/>
        <v>46105</v>
      </c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ht="15.75" customHeight="1">
      <c r="A265" s="9"/>
      <c r="B265" s="137">
        <v>1.00012884E8</v>
      </c>
      <c r="C265" s="98" t="s">
        <v>344</v>
      </c>
      <c r="D265" s="83"/>
      <c r="E265" s="101">
        <v>845.08</v>
      </c>
      <c r="F265" s="54">
        <v>882.0</v>
      </c>
      <c r="G265" s="54">
        <v>960.07</v>
      </c>
      <c r="H265" s="41">
        <f t="shared" si="1"/>
        <v>895.7166667</v>
      </c>
      <c r="I265" s="49">
        <f t="shared" si="10"/>
        <v>0.1360699579</v>
      </c>
      <c r="J265" s="43">
        <f t="shared" si="30"/>
        <v>0.07184563571</v>
      </c>
      <c r="K265" s="58">
        <v>45925.0</v>
      </c>
      <c r="L265" s="50">
        <f t="shared" si="29"/>
        <v>46106</v>
      </c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ht="15.75" customHeight="1">
      <c r="A266" s="9"/>
      <c r="B266" s="137">
        <v>1.00012885E8</v>
      </c>
      <c r="C266" s="98" t="s">
        <v>345</v>
      </c>
      <c r="D266" s="83"/>
      <c r="E266" s="101">
        <v>209.0</v>
      </c>
      <c r="F266" s="54">
        <v>188.9</v>
      </c>
      <c r="G266" s="54">
        <v>188.1</v>
      </c>
      <c r="H266" s="41">
        <f t="shared" si="1"/>
        <v>195.3333333</v>
      </c>
      <c r="I266" s="49">
        <f t="shared" si="10"/>
        <v>0.1111111111</v>
      </c>
      <c r="J266" s="43">
        <f t="shared" si="30"/>
        <v>0.06996587031</v>
      </c>
      <c r="K266" s="58">
        <v>45925.0</v>
      </c>
      <c r="L266" s="50">
        <f t="shared" si="29"/>
        <v>46106</v>
      </c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ht="15.75" customHeight="1">
      <c r="A267" s="9"/>
      <c r="B267" s="137">
        <v>1.00012886E8</v>
      </c>
      <c r="C267" s="98" t="s">
        <v>346</v>
      </c>
      <c r="D267" s="83"/>
      <c r="E267" s="101">
        <v>439.9</v>
      </c>
      <c r="F267" s="54">
        <v>468.4</v>
      </c>
      <c r="G267" s="54">
        <v>454.98</v>
      </c>
      <c r="H267" s="41">
        <f t="shared" si="1"/>
        <v>454.4266667</v>
      </c>
      <c r="I267" s="49">
        <f t="shared" si="10"/>
        <v>0.06478745169</v>
      </c>
      <c r="J267" s="43">
        <f t="shared" si="30"/>
        <v>0.03074936917</v>
      </c>
      <c r="K267" s="58">
        <v>45925.0</v>
      </c>
      <c r="L267" s="50">
        <f t="shared" si="29"/>
        <v>46106</v>
      </c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ht="15.75" customHeight="1">
      <c r="A268" s="9"/>
      <c r="B268" s="137">
        <v>1.00013063E8</v>
      </c>
      <c r="C268" s="98" t="s">
        <v>347</v>
      </c>
      <c r="D268" s="83"/>
      <c r="E268" s="101">
        <v>1120.0</v>
      </c>
      <c r="F268" s="54">
        <v>999.0</v>
      </c>
      <c r="G268" s="54">
        <v>1144.89</v>
      </c>
      <c r="H268" s="41">
        <f t="shared" si="1"/>
        <v>1087.963333</v>
      </c>
      <c r="I268" s="49">
        <f t="shared" si="10"/>
        <v>0.146036036</v>
      </c>
      <c r="J268" s="43">
        <f t="shared" si="30"/>
        <v>0.05232406729</v>
      </c>
      <c r="K268" s="58">
        <v>45925.0</v>
      </c>
      <c r="L268" s="50">
        <f t="shared" si="29"/>
        <v>46106</v>
      </c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ht="15.75" customHeight="1">
      <c r="A269" s="9"/>
      <c r="B269" s="137">
        <v>1.00002316E8</v>
      </c>
      <c r="C269" s="98" t="s">
        <v>352</v>
      </c>
      <c r="D269" s="83"/>
      <c r="E269" s="132">
        <v>47897.58</v>
      </c>
      <c r="F269" s="57">
        <v>45204.96</v>
      </c>
      <c r="G269" s="57">
        <v>47825.94</v>
      </c>
      <c r="H269" s="41">
        <f t="shared" si="1"/>
        <v>46976.16</v>
      </c>
      <c r="I269" s="49">
        <f t="shared" si="10"/>
        <v>0.05956470263</v>
      </c>
      <c r="J269" s="43">
        <f t="shared" si="30"/>
        <v>0.01961463006</v>
      </c>
      <c r="K269" s="58">
        <v>45925.0</v>
      </c>
      <c r="L269" s="50">
        <f t="shared" si="29"/>
        <v>46106</v>
      </c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ht="15.75" customHeight="1">
      <c r="A270" s="9"/>
      <c r="B270" s="150">
        <v>1.00002317E8</v>
      </c>
      <c r="C270" s="151" t="s">
        <v>353</v>
      </c>
      <c r="D270" s="170"/>
      <c r="E270" s="153"/>
      <c r="F270" s="154"/>
      <c r="G270" s="154"/>
      <c r="H270" s="155">
        <f t="shared" si="1"/>
        <v>0</v>
      </c>
      <c r="I270" s="156" t="str">
        <f t="shared" si="10"/>
        <v/>
      </c>
      <c r="J270" s="157" t="str">
        <f t="shared" si="30"/>
        <v/>
      </c>
      <c r="K270" s="158">
        <v>45802.0</v>
      </c>
      <c r="L270" s="159">
        <f t="shared" si="29"/>
        <v>45986</v>
      </c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ht="15.75" customHeight="1">
      <c r="A271" s="9"/>
      <c r="B271" s="137">
        <v>1.00002332E8</v>
      </c>
      <c r="C271" s="98" t="s">
        <v>355</v>
      </c>
      <c r="D271" s="83"/>
      <c r="E271" s="132">
        <v>1540.0</v>
      </c>
      <c r="F271" s="57">
        <v>1530.9</v>
      </c>
      <c r="G271" s="57">
        <v>1390.79</v>
      </c>
      <c r="H271" s="41">
        <f t="shared" si="1"/>
        <v>1487.23</v>
      </c>
      <c r="I271" s="49">
        <f t="shared" si="10"/>
        <v>0.1072843492</v>
      </c>
      <c r="J271" s="43">
        <f t="shared" si="30"/>
        <v>0.0354820707</v>
      </c>
      <c r="K271" s="58">
        <v>45925.0</v>
      </c>
      <c r="L271" s="50">
        <f t="shared" si="29"/>
        <v>46106</v>
      </c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ht="15.75" customHeight="1">
      <c r="A272" s="9"/>
      <c r="B272" s="137">
        <v>1.00002357E8</v>
      </c>
      <c r="C272" s="98" t="s">
        <v>356</v>
      </c>
      <c r="D272" s="83"/>
      <c r="E272" s="132">
        <v>260.0</v>
      </c>
      <c r="F272" s="57">
        <v>204.9</v>
      </c>
      <c r="G272" s="57">
        <v>270.13</v>
      </c>
      <c r="H272" s="41">
        <f t="shared" si="1"/>
        <v>245.01</v>
      </c>
      <c r="I272" s="49">
        <f t="shared" si="10"/>
        <v>0.3183504148</v>
      </c>
      <c r="J272" s="43">
        <f t="shared" si="30"/>
        <v>0.1025264275</v>
      </c>
      <c r="K272" s="58">
        <v>45925.0</v>
      </c>
      <c r="L272" s="50">
        <f t="shared" si="29"/>
        <v>46106</v>
      </c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ht="15.75" customHeight="1">
      <c r="A273" s="9"/>
      <c r="B273" s="137">
        <v>1.00010776E8</v>
      </c>
      <c r="C273" s="98" t="s">
        <v>357</v>
      </c>
      <c r="D273" s="113" t="s">
        <v>358</v>
      </c>
      <c r="E273" s="132">
        <v>214.7</v>
      </c>
      <c r="F273" s="57">
        <v>219.68</v>
      </c>
      <c r="G273" s="57">
        <v>233.73</v>
      </c>
      <c r="H273" s="41">
        <f t="shared" si="1"/>
        <v>222.7033333</v>
      </c>
      <c r="I273" s="49">
        <f t="shared" si="10"/>
        <v>0.08863530508</v>
      </c>
      <c r="J273" s="43"/>
      <c r="K273" s="58">
        <v>45925.0</v>
      </c>
      <c r="L273" s="50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ht="15.75" customHeight="1">
      <c r="A274" s="9"/>
      <c r="B274" s="137">
        <v>1.00010776E8</v>
      </c>
      <c r="C274" s="98" t="s">
        <v>357</v>
      </c>
      <c r="D274" s="113" t="s">
        <v>359</v>
      </c>
      <c r="E274" s="132">
        <v>1550.0</v>
      </c>
      <c r="F274" s="57">
        <v>1673.38</v>
      </c>
      <c r="G274" s="57">
        <v>1422.36</v>
      </c>
      <c r="H274" s="41">
        <f t="shared" si="1"/>
        <v>1548.58</v>
      </c>
      <c r="I274" s="49">
        <f t="shared" si="10"/>
        <v>0.1764813409</v>
      </c>
      <c r="J274" s="43">
        <f t="shared" ref="J274:J323" si="31">IF(ISERROR(MAX(E274:G274)/H274-1),"",(MAX(E274:G274)/H274-1))</f>
        <v>0.08058995983</v>
      </c>
      <c r="K274" s="58">
        <v>45925.0</v>
      </c>
      <c r="L274" s="50">
        <f t="shared" ref="L274:L413" si="32">EDATE(K274,6)</f>
        <v>46106</v>
      </c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ht="15.75" customHeight="1">
      <c r="A275" s="9"/>
      <c r="B275" s="137">
        <v>1.00011313E8</v>
      </c>
      <c r="C275" s="98" t="s">
        <v>360</v>
      </c>
      <c r="D275" s="83"/>
      <c r="E275" s="132">
        <v>739.7</v>
      </c>
      <c r="F275" s="57">
        <v>799.9</v>
      </c>
      <c r="G275" s="57">
        <v>625.7</v>
      </c>
      <c r="H275" s="41">
        <f t="shared" si="1"/>
        <v>721.7666667</v>
      </c>
      <c r="I275" s="49">
        <f t="shared" si="10"/>
        <v>0.2784081828</v>
      </c>
      <c r="J275" s="43">
        <f t="shared" si="31"/>
        <v>0.108252898</v>
      </c>
      <c r="K275" s="58">
        <v>45925.0</v>
      </c>
      <c r="L275" s="50">
        <f t="shared" si="32"/>
        <v>46106</v>
      </c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ht="15.75" customHeight="1">
      <c r="A276" s="9"/>
      <c r="B276" s="137">
        <v>1.00011724E8</v>
      </c>
      <c r="D276" s="83"/>
      <c r="E276" s="101">
        <v>593.84</v>
      </c>
      <c r="F276" s="54">
        <v>511.25</v>
      </c>
      <c r="G276" s="54">
        <v>583.22</v>
      </c>
      <c r="H276" s="41">
        <f t="shared" si="1"/>
        <v>562.77</v>
      </c>
      <c r="I276" s="49">
        <f t="shared" si="10"/>
        <v>0.1615452323</v>
      </c>
      <c r="J276" s="43">
        <f t="shared" si="31"/>
        <v>0.05520905521</v>
      </c>
      <c r="K276" s="58">
        <v>45925.0</v>
      </c>
      <c r="L276" s="50">
        <f t="shared" si="32"/>
        <v>46106</v>
      </c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ht="20.25" customHeight="1">
      <c r="A277" s="9"/>
      <c r="B277" s="137">
        <v>1.00011987E8</v>
      </c>
      <c r="C277" s="98" t="s">
        <v>361</v>
      </c>
      <c r="D277" s="83"/>
      <c r="E277" s="101">
        <v>723.3</v>
      </c>
      <c r="F277" s="54">
        <v>694.73</v>
      </c>
      <c r="G277" s="54">
        <v>684.33</v>
      </c>
      <c r="H277" s="41">
        <f t="shared" si="1"/>
        <v>700.7866667</v>
      </c>
      <c r="I277" s="49">
        <f t="shared" si="10"/>
        <v>0.05694621016</v>
      </c>
      <c r="J277" s="43">
        <f t="shared" si="31"/>
        <v>0.03212580148</v>
      </c>
      <c r="K277" s="58">
        <v>45925.0</v>
      </c>
      <c r="L277" s="50">
        <f t="shared" si="32"/>
        <v>46106</v>
      </c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ht="15.75" customHeight="1">
      <c r="A278" s="9"/>
      <c r="B278" s="137">
        <v>1.00011317E8</v>
      </c>
      <c r="C278" s="98" t="s">
        <v>362</v>
      </c>
      <c r="D278" s="83"/>
      <c r="E278" s="101">
        <v>5650.7</v>
      </c>
      <c r="F278" s="54">
        <v>5654.32</v>
      </c>
      <c r="G278" s="54">
        <v>6332.84</v>
      </c>
      <c r="H278" s="41">
        <f t="shared" si="1"/>
        <v>5879.286667</v>
      </c>
      <c r="I278" s="49">
        <f t="shared" si="10"/>
        <v>0.1207177872</v>
      </c>
      <c r="J278" s="43">
        <f t="shared" si="31"/>
        <v>0.07714427941</v>
      </c>
      <c r="K278" s="58">
        <v>45925.0</v>
      </c>
      <c r="L278" s="50">
        <f t="shared" si="32"/>
        <v>46106</v>
      </c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ht="15.75" customHeight="1">
      <c r="A279" s="9"/>
      <c r="B279" s="137">
        <v>1.00011317E8</v>
      </c>
      <c r="C279" s="98" t="s">
        <v>363</v>
      </c>
      <c r="D279" s="83"/>
      <c r="E279" s="132">
        <v>281060.0</v>
      </c>
      <c r="F279" s="57">
        <v>195000.0</v>
      </c>
      <c r="G279" s="57">
        <v>299000.0</v>
      </c>
      <c r="H279" s="41">
        <f t="shared" si="1"/>
        <v>258353.3333</v>
      </c>
      <c r="I279" s="49">
        <f t="shared" si="10"/>
        <v>0.5333333333</v>
      </c>
      <c r="J279" s="43">
        <f t="shared" si="31"/>
        <v>0.1573297551</v>
      </c>
      <c r="K279" s="58">
        <v>45925.0</v>
      </c>
      <c r="L279" s="50">
        <f t="shared" si="32"/>
        <v>46106</v>
      </c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ht="15.75" customHeight="1">
      <c r="A280" s="9"/>
      <c r="B280" s="137">
        <v>1.00011994E8</v>
      </c>
      <c r="C280" s="98" t="s">
        <v>210</v>
      </c>
      <c r="D280" s="128"/>
      <c r="E280" s="101">
        <v>251.23</v>
      </c>
      <c r="F280" s="54">
        <v>251.23</v>
      </c>
      <c r="G280" s="54">
        <v>243.22</v>
      </c>
      <c r="H280" s="41">
        <f t="shared" si="1"/>
        <v>248.56</v>
      </c>
      <c r="I280" s="49">
        <f t="shared" si="10"/>
        <v>0.03293314695</v>
      </c>
      <c r="J280" s="43">
        <f t="shared" si="31"/>
        <v>0.01074187319</v>
      </c>
      <c r="K280" s="58">
        <v>45926.0</v>
      </c>
      <c r="L280" s="50">
        <f t="shared" si="32"/>
        <v>46107</v>
      </c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ht="15.75" customHeight="1">
      <c r="A281" s="9"/>
      <c r="B281" s="137">
        <v>1.0001225E8</v>
      </c>
      <c r="C281" s="98" t="s">
        <v>364</v>
      </c>
      <c r="D281" s="128"/>
      <c r="E281" s="101">
        <v>66.56</v>
      </c>
      <c r="F281" s="54">
        <v>79.9</v>
      </c>
      <c r="G281" s="54">
        <v>66.56</v>
      </c>
      <c r="H281" s="41">
        <f t="shared" si="1"/>
        <v>71.00666667</v>
      </c>
      <c r="I281" s="49">
        <f t="shared" si="10"/>
        <v>0.2004206731</v>
      </c>
      <c r="J281" s="43">
        <f t="shared" si="31"/>
        <v>0.1252464557</v>
      </c>
      <c r="K281" s="58">
        <v>45926.0</v>
      </c>
      <c r="L281" s="50">
        <f t="shared" si="32"/>
        <v>46107</v>
      </c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ht="15.75" customHeight="1">
      <c r="A282" s="9"/>
      <c r="B282" s="137">
        <v>1.00012487E8</v>
      </c>
      <c r="C282" s="98" t="s">
        <v>365</v>
      </c>
      <c r="D282" s="126"/>
      <c r="E282" s="132">
        <v>855.99</v>
      </c>
      <c r="F282" s="57">
        <v>959.0</v>
      </c>
      <c r="G282" s="57">
        <v>754.9</v>
      </c>
      <c r="H282" s="41">
        <f t="shared" si="1"/>
        <v>856.63</v>
      </c>
      <c r="I282" s="49">
        <f t="shared" si="10"/>
        <v>0.270366936</v>
      </c>
      <c r="J282" s="43">
        <f t="shared" si="31"/>
        <v>0.1195031694</v>
      </c>
      <c r="K282" s="58">
        <v>56883.0</v>
      </c>
      <c r="L282" s="50">
        <f t="shared" si="32"/>
        <v>57065</v>
      </c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ht="15.75" customHeight="1">
      <c r="A283" s="9"/>
      <c r="B283" s="137">
        <v>1.00012613E8</v>
      </c>
      <c r="C283" s="98" t="s">
        <v>366</v>
      </c>
      <c r="D283" s="83"/>
      <c r="E283" s="101">
        <v>665.56</v>
      </c>
      <c r="F283" s="54">
        <v>697.99</v>
      </c>
      <c r="G283" s="54">
        <v>750.0</v>
      </c>
      <c r="H283" s="41">
        <f t="shared" si="1"/>
        <v>704.5166667</v>
      </c>
      <c r="I283" s="49">
        <f t="shared" si="10"/>
        <v>0.1268706052</v>
      </c>
      <c r="J283" s="43">
        <f t="shared" si="31"/>
        <v>0.06455962717</v>
      </c>
      <c r="K283" s="58">
        <v>56883.0</v>
      </c>
      <c r="L283" s="50">
        <f t="shared" si="32"/>
        <v>57065</v>
      </c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ht="15.75" customHeight="1">
      <c r="A284" s="9"/>
      <c r="B284" s="137">
        <v>1.00012775E8</v>
      </c>
      <c r="C284" s="98" t="s">
        <v>367</v>
      </c>
      <c r="D284" s="83"/>
      <c r="E284" s="101">
        <v>1747.0</v>
      </c>
      <c r="F284" s="54">
        <v>1390.0</v>
      </c>
      <c r="G284" s="54">
        <v>1547.14</v>
      </c>
      <c r="H284" s="41">
        <f t="shared" si="1"/>
        <v>1561.38</v>
      </c>
      <c r="I284" s="49">
        <f t="shared" si="10"/>
        <v>0.2568345324</v>
      </c>
      <c r="J284" s="43">
        <f t="shared" si="31"/>
        <v>0.1188820146</v>
      </c>
      <c r="K284" s="58">
        <v>56883.0</v>
      </c>
      <c r="L284" s="50">
        <f t="shared" si="32"/>
        <v>57065</v>
      </c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ht="15.75" customHeight="1">
      <c r="A285" s="9"/>
      <c r="B285" s="137">
        <v>1.00012603E8</v>
      </c>
      <c r="C285" s="98" t="s">
        <v>368</v>
      </c>
      <c r="D285" s="83"/>
      <c r="E285" s="101">
        <v>1978.0</v>
      </c>
      <c r="F285" s="54">
        <v>2297.66</v>
      </c>
      <c r="G285" s="54">
        <v>2118.93</v>
      </c>
      <c r="H285" s="41">
        <f t="shared" si="1"/>
        <v>2131.53</v>
      </c>
      <c r="I285" s="49">
        <f t="shared" si="10"/>
        <v>0.1616076845</v>
      </c>
      <c r="J285" s="43">
        <f t="shared" si="31"/>
        <v>0.07793932058</v>
      </c>
      <c r="K285" s="58">
        <v>56883.0</v>
      </c>
      <c r="L285" s="50">
        <f t="shared" si="32"/>
        <v>57065</v>
      </c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ht="17.25" customHeight="1">
      <c r="A286" s="9"/>
      <c r="B286" s="137">
        <v>1.00012887E8</v>
      </c>
      <c r="C286" s="98" t="s">
        <v>369</v>
      </c>
      <c r="D286" s="83"/>
      <c r="E286" s="101">
        <v>433.22</v>
      </c>
      <c r="F286" s="54">
        <v>474.27</v>
      </c>
      <c r="G286" s="54">
        <v>515.64</v>
      </c>
      <c r="H286" s="41">
        <f t="shared" si="1"/>
        <v>474.3766667</v>
      </c>
      <c r="I286" s="49">
        <f t="shared" si="10"/>
        <v>0.1902497576</v>
      </c>
      <c r="J286" s="43">
        <f t="shared" si="31"/>
        <v>0.08698432329</v>
      </c>
      <c r="K286" s="58">
        <v>56883.0</v>
      </c>
      <c r="L286" s="50">
        <f t="shared" si="32"/>
        <v>57065</v>
      </c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ht="15.75" customHeight="1">
      <c r="A287" s="9"/>
      <c r="B287" s="137">
        <v>1.0001266E8</v>
      </c>
      <c r="C287" s="98" t="s">
        <v>370</v>
      </c>
      <c r="D287" s="83"/>
      <c r="E287" s="101">
        <v>53645.29</v>
      </c>
      <c r="F287" s="54">
        <v>47866.93</v>
      </c>
      <c r="G287" s="54">
        <v>47897.58</v>
      </c>
      <c r="H287" s="41">
        <f t="shared" si="1"/>
        <v>49803.26667</v>
      </c>
      <c r="I287" s="49">
        <f t="shared" si="10"/>
        <v>0.1207171632</v>
      </c>
      <c r="J287" s="43">
        <f t="shared" si="31"/>
        <v>0.0771440026</v>
      </c>
      <c r="K287" s="58">
        <v>45926.0</v>
      </c>
      <c r="L287" s="45">
        <f t="shared" si="32"/>
        <v>46107</v>
      </c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ht="15.75" customHeight="1">
      <c r="A288" s="9"/>
      <c r="B288" s="137">
        <v>1.00012784E8</v>
      </c>
      <c r="C288" s="98" t="s">
        <v>371</v>
      </c>
      <c r="D288" s="83"/>
      <c r="E288" s="101">
        <v>69195.0</v>
      </c>
      <c r="F288" s="54">
        <v>69990.0</v>
      </c>
      <c r="G288" s="54">
        <v>61770.1</v>
      </c>
      <c r="H288" s="41">
        <f t="shared" si="1"/>
        <v>66985.03333</v>
      </c>
      <c r="I288" s="49">
        <f t="shared" si="10"/>
        <v>0.1330724736</v>
      </c>
      <c r="J288" s="43">
        <f t="shared" si="31"/>
        <v>0.04486026978</v>
      </c>
      <c r="K288" s="58">
        <v>45926.0</v>
      </c>
      <c r="L288" s="45">
        <f t="shared" si="32"/>
        <v>46107</v>
      </c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ht="15.75" customHeight="1">
      <c r="A289" s="9"/>
      <c r="B289" s="137">
        <v>1.00012888E8</v>
      </c>
      <c r="C289" s="98" t="s">
        <v>372</v>
      </c>
      <c r="D289" s="83"/>
      <c r="E289" s="132">
        <v>1379.0</v>
      </c>
      <c r="F289" s="57">
        <v>1777.67</v>
      </c>
      <c r="G289" s="57">
        <v>1399.0</v>
      </c>
      <c r="H289" s="41">
        <f t="shared" si="1"/>
        <v>1518.556667</v>
      </c>
      <c r="I289" s="49">
        <f t="shared" si="10"/>
        <v>0.2891007977</v>
      </c>
      <c r="J289" s="43">
        <f t="shared" si="31"/>
        <v>0.1706313232</v>
      </c>
      <c r="K289" s="58">
        <v>45926.0</v>
      </c>
      <c r="L289" s="50">
        <f t="shared" si="32"/>
        <v>46107</v>
      </c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ht="15.75" customHeight="1">
      <c r="A290" s="9"/>
      <c r="B290" s="137">
        <v>1.00012891E8</v>
      </c>
      <c r="C290" s="98" t="s">
        <v>373</v>
      </c>
      <c r="D290" s="83"/>
      <c r="E290" s="101">
        <v>292.45</v>
      </c>
      <c r="F290" s="54">
        <v>246.54</v>
      </c>
      <c r="G290" s="54">
        <v>293.9</v>
      </c>
      <c r="H290" s="41">
        <f t="shared" si="1"/>
        <v>277.63</v>
      </c>
      <c r="I290" s="49">
        <f t="shared" si="10"/>
        <v>0.1920986453</v>
      </c>
      <c r="J290" s="43">
        <f t="shared" si="31"/>
        <v>0.05860317689</v>
      </c>
      <c r="K290" s="58">
        <v>45926.0</v>
      </c>
      <c r="L290" s="50">
        <f t="shared" si="32"/>
        <v>46107</v>
      </c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ht="15.75" customHeight="1">
      <c r="A291" s="9"/>
      <c r="B291" s="137">
        <v>1.00010805E8</v>
      </c>
      <c r="C291" s="98" t="s">
        <v>374</v>
      </c>
      <c r="D291" s="83"/>
      <c r="E291" s="132">
        <v>257.22</v>
      </c>
      <c r="F291" s="57">
        <v>295.34</v>
      </c>
      <c r="G291" s="57">
        <v>269.0</v>
      </c>
      <c r="H291" s="41">
        <f t="shared" si="1"/>
        <v>273.8533333</v>
      </c>
      <c r="I291" s="49">
        <f t="shared" si="10"/>
        <v>0.1481999844</v>
      </c>
      <c r="J291" s="43">
        <f t="shared" si="31"/>
        <v>0.0784604898</v>
      </c>
      <c r="K291" s="58">
        <v>45926.0</v>
      </c>
      <c r="L291" s="50">
        <f t="shared" si="32"/>
        <v>46107</v>
      </c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ht="15.75" customHeight="1">
      <c r="A292" s="9"/>
      <c r="B292" s="137">
        <v>1.00012893E8</v>
      </c>
      <c r="C292" s="98" t="s">
        <v>375</v>
      </c>
      <c r="D292" s="83"/>
      <c r="E292" s="132">
        <v>939.0</v>
      </c>
      <c r="F292" s="57">
        <v>909.99</v>
      </c>
      <c r="G292" s="57">
        <v>1017.0</v>
      </c>
      <c r="H292" s="41">
        <f t="shared" si="1"/>
        <v>955.33</v>
      </c>
      <c r="I292" s="49">
        <f t="shared" si="10"/>
        <v>0.1175946988</v>
      </c>
      <c r="J292" s="43">
        <f t="shared" si="31"/>
        <v>0.06455360975</v>
      </c>
      <c r="K292" s="58">
        <v>45929.0</v>
      </c>
      <c r="L292" s="50">
        <f t="shared" si="32"/>
        <v>46110</v>
      </c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ht="15.75" customHeight="1">
      <c r="A293" s="9"/>
      <c r="B293" s="137">
        <v>1.00012902E8</v>
      </c>
      <c r="C293" s="98" t="s">
        <v>376</v>
      </c>
      <c r="D293" s="83"/>
      <c r="E293" s="57">
        <v>4398.91</v>
      </c>
      <c r="F293" s="174">
        <v>4999.9</v>
      </c>
      <c r="G293" s="57">
        <v>5110.0</v>
      </c>
      <c r="H293" s="41">
        <f t="shared" si="1"/>
        <v>4836.27</v>
      </c>
      <c r="I293" s="49">
        <f t="shared" si="10"/>
        <v>0.1616514091</v>
      </c>
      <c r="J293" s="43">
        <f t="shared" si="31"/>
        <v>0.05659940409</v>
      </c>
      <c r="K293" s="58">
        <v>45929.0</v>
      </c>
      <c r="L293" s="50">
        <f t="shared" si="32"/>
        <v>46110</v>
      </c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ht="17.25" customHeight="1">
      <c r="A294" s="9"/>
      <c r="B294" s="137">
        <v>1.00012903E8</v>
      </c>
      <c r="C294" s="98" t="s">
        <v>377</v>
      </c>
      <c r="D294" s="126"/>
      <c r="E294" s="132">
        <v>509.57</v>
      </c>
      <c r="F294" s="57">
        <v>479.0</v>
      </c>
      <c r="G294" s="57">
        <v>479.0</v>
      </c>
      <c r="H294" s="41">
        <f t="shared" si="1"/>
        <v>489.19</v>
      </c>
      <c r="I294" s="49">
        <f t="shared" si="10"/>
        <v>0.06382045929</v>
      </c>
      <c r="J294" s="43">
        <f t="shared" si="31"/>
        <v>0.04166070443</v>
      </c>
      <c r="K294" s="58">
        <v>45929.0</v>
      </c>
      <c r="L294" s="50">
        <f t="shared" si="32"/>
        <v>46110</v>
      </c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ht="16.5" customHeight="1">
      <c r="A295" s="9"/>
      <c r="B295" s="137">
        <v>1.00012895E8</v>
      </c>
      <c r="C295" s="98" t="s">
        <v>378</v>
      </c>
      <c r="D295" s="83"/>
      <c r="E295" s="132">
        <v>293.69</v>
      </c>
      <c r="F295" s="57">
        <v>278.78</v>
      </c>
      <c r="G295" s="57">
        <v>250.6</v>
      </c>
      <c r="H295" s="41">
        <f t="shared" si="1"/>
        <v>274.3566667</v>
      </c>
      <c r="I295" s="49">
        <f t="shared" si="10"/>
        <v>0.1719473264</v>
      </c>
      <c r="J295" s="43">
        <f t="shared" si="31"/>
        <v>0.07046788244</v>
      </c>
      <c r="K295" s="58">
        <v>45929.0</v>
      </c>
      <c r="L295" s="50">
        <f t="shared" si="32"/>
        <v>46110</v>
      </c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ht="15.75" customHeight="1">
      <c r="A296" s="9"/>
      <c r="B296" s="137">
        <v>1.00010837E8</v>
      </c>
      <c r="C296" s="98" t="s">
        <v>379</v>
      </c>
      <c r="D296" s="83"/>
      <c r="E296" s="132">
        <v>299.95</v>
      </c>
      <c r="F296" s="57">
        <v>321.16</v>
      </c>
      <c r="G296" s="57">
        <v>299.0</v>
      </c>
      <c r="H296" s="41">
        <f t="shared" si="1"/>
        <v>306.7033333</v>
      </c>
      <c r="I296" s="49">
        <f t="shared" si="10"/>
        <v>0.07411371237</v>
      </c>
      <c r="J296" s="43">
        <f t="shared" si="31"/>
        <v>0.04713566856</v>
      </c>
      <c r="K296" s="58">
        <v>45929.0</v>
      </c>
      <c r="L296" s="50">
        <f t="shared" si="32"/>
        <v>46110</v>
      </c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ht="20.25" customHeight="1">
      <c r="A297" s="9"/>
      <c r="B297" s="137">
        <v>1.00010861E8</v>
      </c>
      <c r="C297" s="98" t="s">
        <v>380</v>
      </c>
      <c r="D297" s="113" t="s">
        <v>381</v>
      </c>
      <c r="E297" s="132">
        <v>7221.11</v>
      </c>
      <c r="F297" s="57">
        <v>7959.9</v>
      </c>
      <c r="G297" s="57">
        <v>7454.44</v>
      </c>
      <c r="H297" s="41">
        <f t="shared" si="1"/>
        <v>7545.15</v>
      </c>
      <c r="I297" s="49">
        <f t="shared" si="10"/>
        <v>0.1023097557</v>
      </c>
      <c r="J297" s="43">
        <f t="shared" si="31"/>
        <v>0.0549690861</v>
      </c>
      <c r="K297" s="58">
        <v>45930.0</v>
      </c>
      <c r="L297" s="50">
        <f t="shared" si="32"/>
        <v>46111</v>
      </c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ht="18.75" customHeight="1">
      <c r="A298" s="9"/>
      <c r="B298" s="137">
        <v>1.00010861E8</v>
      </c>
      <c r="C298" s="98" t="s">
        <v>382</v>
      </c>
      <c r="D298" s="113" t="s">
        <v>383</v>
      </c>
      <c r="E298" s="101">
        <v>2349.0</v>
      </c>
      <c r="F298" s="54">
        <v>1946.32</v>
      </c>
      <c r="G298" s="54">
        <v>2110.0</v>
      </c>
      <c r="H298" s="41">
        <f t="shared" si="1"/>
        <v>2135.106667</v>
      </c>
      <c r="I298" s="49">
        <f t="shared" si="10"/>
        <v>0.2068930083</v>
      </c>
      <c r="J298" s="43">
        <f t="shared" si="31"/>
        <v>0.100179226</v>
      </c>
      <c r="K298" s="58">
        <v>45930.0</v>
      </c>
      <c r="L298" s="50">
        <f t="shared" si="32"/>
        <v>46111</v>
      </c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ht="19.5" customHeight="1">
      <c r="A299" s="9"/>
      <c r="B299" s="137">
        <v>1.00010861E8</v>
      </c>
      <c r="C299" s="98" t="s">
        <v>384</v>
      </c>
      <c r="D299" s="113" t="s">
        <v>385</v>
      </c>
      <c r="E299" s="132">
        <v>2389.0</v>
      </c>
      <c r="F299" s="57">
        <v>2399.0</v>
      </c>
      <c r="G299" s="57">
        <v>2421.11</v>
      </c>
      <c r="H299" s="41">
        <f t="shared" si="1"/>
        <v>2403.036667</v>
      </c>
      <c r="I299" s="49">
        <f t="shared" si="10"/>
        <v>0.0134407702</v>
      </c>
      <c r="J299" s="43">
        <f t="shared" si="31"/>
        <v>0.007521039352</v>
      </c>
      <c r="K299" s="58">
        <v>45930.0</v>
      </c>
      <c r="L299" s="50">
        <f t="shared" si="32"/>
        <v>46111</v>
      </c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ht="16.5" customHeight="1">
      <c r="A300" s="9"/>
      <c r="B300" s="97">
        <v>1.00010864E8</v>
      </c>
      <c r="C300" s="98" t="s">
        <v>386</v>
      </c>
      <c r="D300" s="83"/>
      <c r="E300" s="101">
        <v>3499.0</v>
      </c>
      <c r="F300" s="54">
        <v>2999.9</v>
      </c>
      <c r="G300" s="54">
        <v>3470.903</v>
      </c>
      <c r="H300" s="41">
        <f t="shared" si="1"/>
        <v>3323.267667</v>
      </c>
      <c r="I300" s="49">
        <f t="shared" si="10"/>
        <v>0.1663722124</v>
      </c>
      <c r="J300" s="43">
        <f t="shared" si="31"/>
        <v>0.05287937986</v>
      </c>
      <c r="K300" s="58">
        <v>45930.0</v>
      </c>
      <c r="L300" s="50">
        <f t="shared" si="32"/>
        <v>46111</v>
      </c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ht="15.75" customHeight="1">
      <c r="A301" s="9"/>
      <c r="B301" s="137">
        <v>1.00002303E8</v>
      </c>
      <c r="C301" s="98" t="s">
        <v>387</v>
      </c>
      <c r="D301" s="83"/>
      <c r="E301" s="132">
        <v>49.9</v>
      </c>
      <c r="F301" s="132">
        <v>49.9</v>
      </c>
      <c r="G301" s="132">
        <v>49.9</v>
      </c>
      <c r="H301" s="41">
        <f t="shared" si="1"/>
        <v>49.9</v>
      </c>
      <c r="I301" s="49">
        <f t="shared" si="10"/>
        <v>0</v>
      </c>
      <c r="J301" s="43">
        <f t="shared" si="31"/>
        <v>0</v>
      </c>
      <c r="K301" s="58">
        <v>45930.0</v>
      </c>
      <c r="L301" s="50">
        <f t="shared" si="32"/>
        <v>46111</v>
      </c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ht="15.75" customHeight="1">
      <c r="A302" s="9"/>
      <c r="B302" s="137">
        <v>1.00010395E8</v>
      </c>
      <c r="C302" s="98" t="s">
        <v>388</v>
      </c>
      <c r="D302" s="113" t="s">
        <v>389</v>
      </c>
      <c r="E302" s="132">
        <v>1499.9</v>
      </c>
      <c r="F302" s="57">
        <v>1690.0</v>
      </c>
      <c r="G302" s="57">
        <v>1375.89</v>
      </c>
      <c r="H302" s="41">
        <f t="shared" si="1"/>
        <v>1521.93</v>
      </c>
      <c r="I302" s="49">
        <f t="shared" si="10"/>
        <v>0.2282958667</v>
      </c>
      <c r="J302" s="43">
        <f t="shared" si="31"/>
        <v>0.1104321487</v>
      </c>
      <c r="K302" s="58">
        <v>45930.0</v>
      </c>
      <c r="L302" s="50">
        <f t="shared" si="32"/>
        <v>46111</v>
      </c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ht="15.75" customHeight="1">
      <c r="A303" s="9"/>
      <c r="B303" s="137">
        <v>1.00010395E8</v>
      </c>
      <c r="C303" s="98" t="s">
        <v>390</v>
      </c>
      <c r="D303" s="113" t="s">
        <v>391</v>
      </c>
      <c r="E303" s="101">
        <v>1999.0</v>
      </c>
      <c r="F303" s="54">
        <v>2431.35</v>
      </c>
      <c r="G303" s="54">
        <v>1999.0</v>
      </c>
      <c r="H303" s="41">
        <f t="shared" si="1"/>
        <v>2143.116667</v>
      </c>
      <c r="I303" s="49">
        <f t="shared" si="10"/>
        <v>0.2162831416</v>
      </c>
      <c r="J303" s="43">
        <f t="shared" si="31"/>
        <v>0.1344926003</v>
      </c>
      <c r="K303" s="58">
        <v>45930.0</v>
      </c>
      <c r="L303" s="50">
        <f t="shared" si="32"/>
        <v>46111</v>
      </c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ht="15.75" customHeight="1">
      <c r="A304" s="9"/>
      <c r="B304" s="137">
        <v>1.00010395E8</v>
      </c>
      <c r="C304" s="98" t="s">
        <v>392</v>
      </c>
      <c r="D304" s="175" t="s">
        <v>393</v>
      </c>
      <c r="E304" s="101">
        <v>13999.0</v>
      </c>
      <c r="F304" s="54">
        <v>12759.0</v>
      </c>
      <c r="G304" s="54">
        <v>13999.0</v>
      </c>
      <c r="H304" s="41">
        <f t="shared" si="1"/>
        <v>13585.66667</v>
      </c>
      <c r="I304" s="49">
        <f t="shared" si="10"/>
        <v>0.09718629987</v>
      </c>
      <c r="J304" s="43">
        <f t="shared" si="31"/>
        <v>0.03042422161</v>
      </c>
      <c r="K304" s="58">
        <v>45930.0</v>
      </c>
      <c r="L304" s="50">
        <f t="shared" si="32"/>
        <v>46111</v>
      </c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ht="15.75" customHeight="1">
      <c r="A305" s="9"/>
      <c r="B305" s="137">
        <v>1.00010395E8</v>
      </c>
      <c r="C305" s="98" t="s">
        <v>394</v>
      </c>
      <c r="D305" s="175" t="s">
        <v>395</v>
      </c>
      <c r="E305" s="101">
        <v>1764.08</v>
      </c>
      <c r="F305" s="54">
        <v>2199.0</v>
      </c>
      <c r="G305" s="54">
        <v>1849.55</v>
      </c>
      <c r="H305" s="41">
        <f t="shared" si="1"/>
        <v>1937.543333</v>
      </c>
      <c r="I305" s="49">
        <f t="shared" si="10"/>
        <v>0.2465421069</v>
      </c>
      <c r="J305" s="43">
        <f t="shared" si="31"/>
        <v>0.1349423583</v>
      </c>
      <c r="K305" s="58">
        <v>45930.0</v>
      </c>
      <c r="L305" s="50">
        <f t="shared" si="32"/>
        <v>46111</v>
      </c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ht="15.75" customHeight="1">
      <c r="A306" s="9"/>
      <c r="B306" s="137">
        <v>1.00010395E8</v>
      </c>
      <c r="C306" s="98" t="s">
        <v>396</v>
      </c>
      <c r="D306" s="113" t="s">
        <v>397</v>
      </c>
      <c r="E306" s="101">
        <v>12600.0</v>
      </c>
      <c r="F306" s="54">
        <v>12467.0</v>
      </c>
      <c r="G306" s="54">
        <v>13700.0</v>
      </c>
      <c r="H306" s="41">
        <f t="shared" si="1"/>
        <v>12922.33333</v>
      </c>
      <c r="I306" s="49">
        <f t="shared" si="10"/>
        <v>0.0989010989</v>
      </c>
      <c r="J306" s="43">
        <f t="shared" si="31"/>
        <v>0.06018005004</v>
      </c>
      <c r="K306" s="58">
        <v>45930.0</v>
      </c>
      <c r="L306" s="50">
        <f t="shared" si="32"/>
        <v>46111</v>
      </c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ht="15.75" customHeight="1">
      <c r="A307" s="9"/>
      <c r="B307" s="137">
        <v>1.00010395E8</v>
      </c>
      <c r="C307" s="98" t="s">
        <v>398</v>
      </c>
      <c r="D307" s="113" t="s">
        <v>399</v>
      </c>
      <c r="E307" s="132" t="s">
        <v>400</v>
      </c>
      <c r="F307" s="57">
        <v>2750.0</v>
      </c>
      <c r="G307" s="57">
        <v>2190.0</v>
      </c>
      <c r="H307" s="41">
        <f t="shared" si="1"/>
        <v>1646.666667</v>
      </c>
      <c r="I307" s="49">
        <f t="shared" si="10"/>
        <v>0.2557077626</v>
      </c>
      <c r="J307" s="43">
        <f t="shared" si="31"/>
        <v>0.6700404858</v>
      </c>
      <c r="K307" s="58">
        <v>45930.0</v>
      </c>
      <c r="L307" s="50">
        <f t="shared" si="32"/>
        <v>46111</v>
      </c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ht="15.75" customHeight="1">
      <c r="A308" s="9"/>
      <c r="B308" s="137">
        <v>1.00010395E8</v>
      </c>
      <c r="C308" s="98" t="s">
        <v>401</v>
      </c>
      <c r="D308" s="113" t="s">
        <v>402</v>
      </c>
      <c r="E308" s="132">
        <v>4986.0</v>
      </c>
      <c r="F308" s="132">
        <v>4699.0</v>
      </c>
      <c r="G308" s="57">
        <v>4999.0</v>
      </c>
      <c r="H308" s="41">
        <f t="shared" si="1"/>
        <v>4894.666667</v>
      </c>
      <c r="I308" s="49">
        <f t="shared" si="10"/>
        <v>0.06384337093</v>
      </c>
      <c r="J308" s="43">
        <f t="shared" si="31"/>
        <v>0.02131571779</v>
      </c>
      <c r="K308" s="58">
        <v>45930.0</v>
      </c>
      <c r="L308" s="50">
        <f t="shared" si="32"/>
        <v>46111</v>
      </c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ht="21.0" customHeight="1">
      <c r="A309" s="9"/>
      <c r="B309" s="97">
        <v>1.00012272E8</v>
      </c>
      <c r="C309" s="98" t="s">
        <v>403</v>
      </c>
      <c r="D309" s="83"/>
      <c r="E309" s="101">
        <v>369.9</v>
      </c>
      <c r="F309" s="54">
        <v>414.79</v>
      </c>
      <c r="G309" s="54">
        <v>444.33</v>
      </c>
      <c r="H309" s="41">
        <f t="shared" si="1"/>
        <v>409.6733333</v>
      </c>
      <c r="I309" s="49">
        <f t="shared" si="10"/>
        <v>0.201216545</v>
      </c>
      <c r="J309" s="43">
        <f t="shared" si="31"/>
        <v>0.08459585686</v>
      </c>
      <c r="K309" s="58">
        <v>45930.0</v>
      </c>
      <c r="L309" s="50">
        <f t="shared" si="32"/>
        <v>46111</v>
      </c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ht="24.0" customHeight="1">
      <c r="A310" s="9"/>
      <c r="B310" s="97">
        <v>1.00012612E8</v>
      </c>
      <c r="C310" s="98" t="s">
        <v>404</v>
      </c>
      <c r="D310" s="83"/>
      <c r="E310" s="132">
        <v>580.23</v>
      </c>
      <c r="F310" s="57">
        <v>634.15</v>
      </c>
      <c r="G310" s="57">
        <v>580.23</v>
      </c>
      <c r="H310" s="41">
        <f t="shared" si="1"/>
        <v>598.2033333</v>
      </c>
      <c r="I310" s="49">
        <f t="shared" si="10"/>
        <v>0.09292866622</v>
      </c>
      <c r="J310" s="43">
        <f t="shared" si="31"/>
        <v>0.06009105042</v>
      </c>
      <c r="K310" s="58">
        <v>45930.0</v>
      </c>
      <c r="L310" s="50">
        <f t="shared" si="32"/>
        <v>46111</v>
      </c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ht="15.75" customHeight="1">
      <c r="A311" s="9"/>
      <c r="B311" s="97">
        <v>1.00012639E8</v>
      </c>
      <c r="C311" s="98" t="s">
        <v>405</v>
      </c>
      <c r="D311" s="128"/>
      <c r="E311" s="101">
        <v>3163.6</v>
      </c>
      <c r="F311" s="54">
        <v>2482.7</v>
      </c>
      <c r="G311" s="54">
        <v>2118.6</v>
      </c>
      <c r="H311" s="41">
        <f t="shared" si="1"/>
        <v>2588.3</v>
      </c>
      <c r="I311" s="49">
        <f t="shared" si="10"/>
        <v>0.4932502596</v>
      </c>
      <c r="J311" s="43">
        <f t="shared" si="31"/>
        <v>0.2222694433</v>
      </c>
      <c r="K311" s="58">
        <v>45930.0</v>
      </c>
      <c r="L311" s="50">
        <f t="shared" si="32"/>
        <v>46111</v>
      </c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ht="22.5" customHeight="1">
      <c r="A312" s="9"/>
      <c r="B312" s="97">
        <v>1.00012741E8</v>
      </c>
      <c r="C312" s="98" t="s">
        <v>773</v>
      </c>
      <c r="D312" s="83"/>
      <c r="E312" s="132">
        <v>396.92</v>
      </c>
      <c r="F312" s="57">
        <v>425.0</v>
      </c>
      <c r="G312" s="57">
        <v>442.75</v>
      </c>
      <c r="H312" s="41">
        <f t="shared" si="1"/>
        <v>421.5566667</v>
      </c>
      <c r="I312" s="49">
        <f t="shared" si="10"/>
        <v>0.1154640734</v>
      </c>
      <c r="J312" s="43">
        <f t="shared" si="31"/>
        <v>0.05027398452</v>
      </c>
      <c r="K312" s="58">
        <v>45930.0</v>
      </c>
      <c r="L312" s="50">
        <f t="shared" si="32"/>
        <v>46111</v>
      </c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ht="15.75" customHeight="1">
      <c r="A313" s="9"/>
      <c r="B313" s="97">
        <v>1.00012824E8</v>
      </c>
      <c r="C313" s="98" t="s">
        <v>407</v>
      </c>
      <c r="D313" s="113" t="s">
        <v>408</v>
      </c>
      <c r="E313" s="132">
        <v>3722.34</v>
      </c>
      <c r="F313" s="57">
        <v>3609.05</v>
      </c>
      <c r="G313" s="57">
        <v>3799.0</v>
      </c>
      <c r="H313" s="41">
        <f t="shared" si="1"/>
        <v>3710.13</v>
      </c>
      <c r="I313" s="49">
        <f t="shared" si="10"/>
        <v>0.05263157895</v>
      </c>
      <c r="J313" s="43">
        <f t="shared" si="31"/>
        <v>0.02395333856</v>
      </c>
      <c r="K313" s="58">
        <v>45930.0</v>
      </c>
      <c r="L313" s="50">
        <f t="shared" si="32"/>
        <v>46111</v>
      </c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ht="15.75" customHeight="1">
      <c r="A314" s="9"/>
      <c r="B314" s="97">
        <v>1.00012824E8</v>
      </c>
      <c r="C314" s="98" t="s">
        <v>407</v>
      </c>
      <c r="D314" s="113" t="s">
        <v>409</v>
      </c>
      <c r="E314" s="101">
        <v>12699.0</v>
      </c>
      <c r="F314" s="54">
        <v>12234.09</v>
      </c>
      <c r="G314" s="57">
        <v>11110.0</v>
      </c>
      <c r="H314" s="41">
        <f t="shared" si="1"/>
        <v>12014.36333</v>
      </c>
      <c r="I314" s="49">
        <f t="shared" si="10"/>
        <v>0.1430243024</v>
      </c>
      <c r="J314" s="43">
        <f t="shared" si="31"/>
        <v>0.05698484786</v>
      </c>
      <c r="K314" s="58">
        <v>45930.0</v>
      </c>
      <c r="L314" s="50">
        <f t="shared" si="32"/>
        <v>46111</v>
      </c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ht="15.75" customHeight="1">
      <c r="A315" s="9"/>
      <c r="B315" s="133">
        <v>1.0000227E8</v>
      </c>
      <c r="C315" s="134" t="s">
        <v>410</v>
      </c>
      <c r="D315" s="46"/>
      <c r="E315" s="132">
        <v>289.0</v>
      </c>
      <c r="F315" s="57">
        <v>237.9</v>
      </c>
      <c r="G315" s="57">
        <v>268.44</v>
      </c>
      <c r="H315" s="41">
        <f t="shared" si="1"/>
        <v>265.1133333</v>
      </c>
      <c r="I315" s="49">
        <f t="shared" si="10"/>
        <v>0.2147961328</v>
      </c>
      <c r="J315" s="43">
        <f t="shared" si="31"/>
        <v>0.09009983152</v>
      </c>
      <c r="K315" s="58">
        <v>45930.0</v>
      </c>
      <c r="L315" s="50">
        <f t="shared" si="32"/>
        <v>46111</v>
      </c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ht="20.25" customHeight="1">
      <c r="A316" s="9"/>
      <c r="B316" s="137">
        <v>1.00012833E8</v>
      </c>
      <c r="C316" s="98" t="s">
        <v>411</v>
      </c>
      <c r="D316" s="83"/>
      <c r="E316" s="132">
        <v>2415.54</v>
      </c>
      <c r="F316" s="57">
        <v>2020.21</v>
      </c>
      <c r="G316" s="57">
        <v>1940.4</v>
      </c>
      <c r="H316" s="41">
        <f t="shared" si="1"/>
        <v>2125.383333</v>
      </c>
      <c r="I316" s="49">
        <f t="shared" si="10"/>
        <v>0.2448670377</v>
      </c>
      <c r="J316" s="43">
        <f t="shared" si="31"/>
        <v>0.1365196866</v>
      </c>
      <c r="K316" s="58">
        <v>45930.0</v>
      </c>
      <c r="L316" s="50">
        <f t="shared" si="32"/>
        <v>46111</v>
      </c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ht="15.75" customHeight="1">
      <c r="A317" s="9"/>
      <c r="B317" s="137">
        <v>1.00012742E8</v>
      </c>
      <c r="C317" s="98" t="s">
        <v>412</v>
      </c>
      <c r="D317" s="83"/>
      <c r="E317" s="132">
        <v>2553.28</v>
      </c>
      <c r="F317" s="57">
        <v>2794.9</v>
      </c>
      <c r="G317" s="57">
        <v>3181.27</v>
      </c>
      <c r="H317" s="41">
        <f t="shared" si="1"/>
        <v>2843.15</v>
      </c>
      <c r="I317" s="49">
        <f t="shared" si="10"/>
        <v>0.2459542236</v>
      </c>
      <c r="J317" s="43">
        <f t="shared" si="31"/>
        <v>0.1189244324</v>
      </c>
      <c r="K317" s="58">
        <v>45930.0</v>
      </c>
      <c r="L317" s="50">
        <f t="shared" si="32"/>
        <v>46111</v>
      </c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ht="27.0" customHeight="1">
      <c r="A318" s="9"/>
      <c r="B318" s="137">
        <v>1.00012747E8</v>
      </c>
      <c r="C318" s="179" t="s">
        <v>413</v>
      </c>
      <c r="D318" s="83"/>
      <c r="E318" s="132">
        <v>1377.35</v>
      </c>
      <c r="F318" s="57">
        <v>1699.0</v>
      </c>
      <c r="G318" s="57">
        <v>1596.4</v>
      </c>
      <c r="H318" s="41">
        <f t="shared" si="1"/>
        <v>1557.583333</v>
      </c>
      <c r="I318" s="49">
        <f t="shared" si="10"/>
        <v>0.2335281519</v>
      </c>
      <c r="J318" s="43">
        <f t="shared" si="31"/>
        <v>0.09079235996</v>
      </c>
      <c r="K318" s="58">
        <v>45931.0</v>
      </c>
      <c r="L318" s="50">
        <f t="shared" si="32"/>
        <v>46113</v>
      </c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ht="15.75" customHeight="1">
      <c r="A319" s="9"/>
      <c r="B319" s="137">
        <v>1.00010112E8</v>
      </c>
      <c r="C319" s="98" t="s">
        <v>414</v>
      </c>
      <c r="D319" s="83"/>
      <c r="E319" s="132">
        <v>144.52</v>
      </c>
      <c r="F319" s="57">
        <v>129.0</v>
      </c>
      <c r="G319" s="57">
        <v>149.9</v>
      </c>
      <c r="H319" s="41">
        <f t="shared" si="1"/>
        <v>141.14</v>
      </c>
      <c r="I319" s="49">
        <f t="shared" si="10"/>
        <v>0.1620155039</v>
      </c>
      <c r="J319" s="43">
        <f t="shared" si="31"/>
        <v>0.06206603373</v>
      </c>
      <c r="K319" s="58">
        <v>45931.0</v>
      </c>
      <c r="L319" s="50">
        <f t="shared" si="32"/>
        <v>46113</v>
      </c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ht="15.75" customHeight="1">
      <c r="A320" s="9"/>
      <c r="B320" s="137">
        <v>1.00010123E8</v>
      </c>
      <c r="C320" s="98" t="s">
        <v>96</v>
      </c>
      <c r="D320" s="83"/>
      <c r="E320" s="101">
        <v>569.99</v>
      </c>
      <c r="F320" s="54">
        <v>699.0</v>
      </c>
      <c r="G320" s="54">
        <v>639.0</v>
      </c>
      <c r="H320" s="41">
        <f t="shared" si="1"/>
        <v>635.9966667</v>
      </c>
      <c r="I320" s="49">
        <f t="shared" si="10"/>
        <v>0.2263373042</v>
      </c>
      <c r="J320" s="43">
        <f t="shared" si="31"/>
        <v>0.09906236406</v>
      </c>
      <c r="K320" s="58">
        <v>45931.0</v>
      </c>
      <c r="L320" s="50">
        <f t="shared" si="32"/>
        <v>46113</v>
      </c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ht="15.75" customHeight="1">
      <c r="A321" s="9"/>
      <c r="B321" s="137">
        <v>1.00010125E8</v>
      </c>
      <c r="C321" s="98" t="s">
        <v>415</v>
      </c>
      <c r="D321" s="83"/>
      <c r="E321" s="101">
        <v>2961.76</v>
      </c>
      <c r="F321" s="138">
        <v>2490.37</v>
      </c>
      <c r="G321" s="138">
        <v>2519.94</v>
      </c>
      <c r="H321" s="41">
        <f t="shared" si="1"/>
        <v>2657.356667</v>
      </c>
      <c r="I321" s="49">
        <f t="shared" si="10"/>
        <v>0.1892851263</v>
      </c>
      <c r="J321" s="43">
        <f t="shared" si="31"/>
        <v>0.1145511768</v>
      </c>
      <c r="K321" s="58">
        <v>45931.0</v>
      </c>
      <c r="L321" s="50">
        <f t="shared" si="32"/>
        <v>46113</v>
      </c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ht="15.75" customHeight="1">
      <c r="A322" s="9"/>
      <c r="B322" s="137">
        <v>1.00010135E8</v>
      </c>
      <c r="C322" s="98" t="s">
        <v>416</v>
      </c>
      <c r="D322" s="128"/>
      <c r="E322" s="101">
        <v>225.9</v>
      </c>
      <c r="F322" s="54">
        <v>225.9</v>
      </c>
      <c r="G322" s="54">
        <v>199.9</v>
      </c>
      <c r="H322" s="41">
        <f t="shared" si="1"/>
        <v>217.2333333</v>
      </c>
      <c r="I322" s="49">
        <f t="shared" si="10"/>
        <v>0.1300650325</v>
      </c>
      <c r="J322" s="43">
        <f t="shared" si="31"/>
        <v>0.03989565751</v>
      </c>
      <c r="K322" s="58">
        <v>45931.0</v>
      </c>
      <c r="L322" s="50">
        <f t="shared" si="32"/>
        <v>46113</v>
      </c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ht="15.75" customHeight="1">
      <c r="A323" s="9"/>
      <c r="B323" s="137">
        <v>1.0001254E8</v>
      </c>
      <c r="C323" s="98" t="s">
        <v>417</v>
      </c>
      <c r="D323" s="83"/>
      <c r="E323" s="101">
        <v>939.58</v>
      </c>
      <c r="F323" s="54">
        <v>878.79</v>
      </c>
      <c r="G323" s="54">
        <v>949.9</v>
      </c>
      <c r="H323" s="41">
        <f t="shared" si="1"/>
        <v>922.7566667</v>
      </c>
      <c r="I323" s="49">
        <f t="shared" si="10"/>
        <v>0.08091808054</v>
      </c>
      <c r="J323" s="43">
        <f t="shared" si="31"/>
        <v>0.02941548332</v>
      </c>
      <c r="K323" s="58">
        <v>45932.0</v>
      </c>
      <c r="L323" s="50">
        <f t="shared" si="32"/>
        <v>46114</v>
      </c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ht="15.75" customHeight="1">
      <c r="A324" s="9"/>
      <c r="B324" s="137">
        <v>1.00012547E8</v>
      </c>
      <c r="C324" s="98" t="s">
        <v>418</v>
      </c>
      <c r="D324" s="83"/>
      <c r="E324" s="100">
        <v>2227.77</v>
      </c>
      <c r="F324" s="54">
        <v>2370.0</v>
      </c>
      <c r="G324" s="54">
        <v>2464.27</v>
      </c>
      <c r="H324" s="41">
        <f t="shared" si="1"/>
        <v>2354.013333</v>
      </c>
      <c r="I324" s="49">
        <f t="shared" si="10"/>
        <v>0.1061599716</v>
      </c>
      <c r="J324" s="43"/>
      <c r="K324" s="58">
        <v>45932.0</v>
      </c>
      <c r="L324" s="50">
        <f t="shared" si="32"/>
        <v>46114</v>
      </c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ht="15.75" customHeight="1">
      <c r="A325" s="9"/>
      <c r="B325" s="137">
        <v>1.00012552E8</v>
      </c>
      <c r="C325" s="98" t="s">
        <v>419</v>
      </c>
      <c r="D325" s="83"/>
      <c r="E325" s="100">
        <v>2440.86</v>
      </c>
      <c r="F325" s="54">
        <v>2440.86</v>
      </c>
      <c r="G325" s="54">
        <v>2309.0</v>
      </c>
      <c r="H325" s="41">
        <f t="shared" si="1"/>
        <v>2396.906667</v>
      </c>
      <c r="I325" s="49">
        <f t="shared" si="10"/>
        <v>0.05710697272</v>
      </c>
      <c r="J325" s="43">
        <f t="shared" ref="J325:J326" si="33">IF(ISERROR(MAX(E325:G325)/H325-1),"",(MAX(E325:G325)/H325-1))</f>
        <v>0.01833752392</v>
      </c>
      <c r="K325" s="58">
        <v>45932.0</v>
      </c>
      <c r="L325" s="50">
        <f t="shared" si="32"/>
        <v>46114</v>
      </c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ht="15.75" customHeight="1">
      <c r="A326" s="9"/>
      <c r="B326" s="97">
        <v>1.00012597E8</v>
      </c>
      <c r="C326" s="98" t="s">
        <v>420</v>
      </c>
      <c r="D326" s="113"/>
      <c r="E326" s="100">
        <v>550.0</v>
      </c>
      <c r="F326" s="54">
        <v>459.9</v>
      </c>
      <c r="G326" s="54">
        <v>499.0</v>
      </c>
      <c r="H326" s="41">
        <f t="shared" si="1"/>
        <v>502.9666667</v>
      </c>
      <c r="I326" s="49">
        <f t="shared" si="10"/>
        <v>0.1959121548</v>
      </c>
      <c r="J326" s="43">
        <f t="shared" si="33"/>
        <v>0.09351182981</v>
      </c>
      <c r="K326" s="58">
        <v>45932.0</v>
      </c>
      <c r="L326" s="50">
        <f t="shared" si="32"/>
        <v>46114</v>
      </c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ht="15.75" customHeight="1">
      <c r="A327" s="9"/>
      <c r="B327" s="97">
        <v>1.00012904E8</v>
      </c>
      <c r="C327" s="98" t="s">
        <v>421</v>
      </c>
      <c r="D327" s="83"/>
      <c r="E327" s="112">
        <v>158.88</v>
      </c>
      <c r="F327" s="57">
        <v>160.95</v>
      </c>
      <c r="G327" s="57">
        <v>139.46</v>
      </c>
      <c r="H327" s="41">
        <f t="shared" si="1"/>
        <v>153.0966667</v>
      </c>
      <c r="I327" s="49">
        <f t="shared" si="10"/>
        <v>0.154094364</v>
      </c>
      <c r="J327" s="43"/>
      <c r="K327" s="58">
        <v>45932.0</v>
      </c>
      <c r="L327" s="45">
        <f t="shared" si="32"/>
        <v>46114</v>
      </c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ht="15.75" customHeight="1">
      <c r="A328" s="9"/>
      <c r="B328" s="97">
        <v>1.00012924E8</v>
      </c>
      <c r="C328" s="98" t="s">
        <v>422</v>
      </c>
      <c r="D328" s="83"/>
      <c r="E328" s="112">
        <v>3087.0</v>
      </c>
      <c r="F328" s="57">
        <v>3899.0</v>
      </c>
      <c r="G328" s="57">
        <v>3387.99</v>
      </c>
      <c r="H328" s="41">
        <f t="shared" si="1"/>
        <v>3457.996667</v>
      </c>
      <c r="I328" s="49">
        <f t="shared" si="10"/>
        <v>0.2630385488</v>
      </c>
      <c r="J328" s="43"/>
      <c r="K328" s="58">
        <v>45932.0</v>
      </c>
      <c r="L328" s="45">
        <f t="shared" si="32"/>
        <v>46114</v>
      </c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ht="15.75" customHeight="1">
      <c r="A329" s="9"/>
      <c r="B329" s="137">
        <v>1.00010398E8</v>
      </c>
      <c r="C329" s="98" t="s">
        <v>423</v>
      </c>
      <c r="D329" s="83"/>
      <c r="E329" s="112">
        <v>2374.49</v>
      </c>
      <c r="F329" s="57">
        <v>2800.0</v>
      </c>
      <c r="G329" s="57">
        <v>2324.49</v>
      </c>
      <c r="H329" s="41">
        <f t="shared" si="1"/>
        <v>2499.66</v>
      </c>
      <c r="I329" s="49">
        <f t="shared" si="10"/>
        <v>0.2045653025</v>
      </c>
      <c r="J329" s="43">
        <f t="shared" ref="J329:J350" si="34">IF(ISERROR(MAX(E329:G329)/H329-1),"",(MAX(E329:G329)/H329-1))</f>
        <v>0.1201523407</v>
      </c>
      <c r="K329" s="78"/>
      <c r="L329" s="50">
        <f t="shared" si="32"/>
        <v>182</v>
      </c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ht="15.75" customHeight="1">
      <c r="A330" s="9"/>
      <c r="B330" s="97">
        <v>1.00002284E8</v>
      </c>
      <c r="C330" s="98" t="s">
        <v>424</v>
      </c>
      <c r="D330" s="83"/>
      <c r="E330" s="100">
        <v>2766.0</v>
      </c>
      <c r="F330" s="54">
        <v>3050.0</v>
      </c>
      <c r="G330" s="54">
        <v>3499.58</v>
      </c>
      <c r="H330" s="41">
        <f t="shared" si="1"/>
        <v>3105.193333</v>
      </c>
      <c r="I330" s="49">
        <f t="shared" si="10"/>
        <v>0.2652133044</v>
      </c>
      <c r="J330" s="43">
        <f t="shared" si="34"/>
        <v>0.1270087316</v>
      </c>
      <c r="K330" s="58">
        <v>45933.0</v>
      </c>
      <c r="L330" s="50">
        <f t="shared" si="32"/>
        <v>46115</v>
      </c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ht="15.75" customHeight="1">
      <c r="A331" s="9"/>
      <c r="B331" s="97">
        <v>1.00002343E8</v>
      </c>
      <c r="C331" s="98" t="s">
        <v>425</v>
      </c>
      <c r="D331" s="83"/>
      <c r="E331" s="132">
        <v>4260.24</v>
      </c>
      <c r="F331" s="57">
        <v>4535.03</v>
      </c>
      <c r="G331" s="57">
        <v>5574.8</v>
      </c>
      <c r="H331" s="41">
        <f t="shared" si="1"/>
        <v>4790.023333</v>
      </c>
      <c r="I331" s="49">
        <f t="shared" si="10"/>
        <v>0.3085647757</v>
      </c>
      <c r="J331" s="43">
        <f t="shared" si="34"/>
        <v>0.1638356668</v>
      </c>
      <c r="K331" s="58">
        <v>45933.0</v>
      </c>
      <c r="L331" s="50">
        <f t="shared" si="32"/>
        <v>46115</v>
      </c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ht="15.75" customHeight="1">
      <c r="A332" s="9"/>
      <c r="B332" s="137">
        <v>1.00010413E8</v>
      </c>
      <c r="C332" s="98" t="s">
        <v>426</v>
      </c>
      <c r="D332" s="113" t="s">
        <v>427</v>
      </c>
      <c r="E332" s="132">
        <v>5471.91</v>
      </c>
      <c r="F332" s="57">
        <v>4678.0</v>
      </c>
      <c r="G332" s="57">
        <v>4554.0</v>
      </c>
      <c r="H332" s="41">
        <f t="shared" si="1"/>
        <v>4901.303333</v>
      </c>
      <c r="I332" s="49">
        <f t="shared" si="10"/>
        <v>0.2015612648</v>
      </c>
      <c r="J332" s="43">
        <f t="shared" si="34"/>
        <v>0.1164193742</v>
      </c>
      <c r="K332" s="58">
        <v>45933.0</v>
      </c>
      <c r="L332" s="50">
        <f t="shared" si="32"/>
        <v>46115</v>
      </c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ht="15.75" customHeight="1">
      <c r="A333" s="9"/>
      <c r="B333" s="137">
        <v>1.00010413E8</v>
      </c>
      <c r="C333" s="98" t="s">
        <v>428</v>
      </c>
      <c r="D333" s="113" t="s">
        <v>429</v>
      </c>
      <c r="E333" s="132">
        <v>26568.27</v>
      </c>
      <c r="F333" s="57">
        <v>29900.0</v>
      </c>
      <c r="G333" s="57">
        <v>29999.0</v>
      </c>
      <c r="H333" s="41">
        <f t="shared" si="1"/>
        <v>28822.42333</v>
      </c>
      <c r="I333" s="49">
        <f t="shared" si="10"/>
        <v>0.1291288443</v>
      </c>
      <c r="J333" s="43">
        <f t="shared" si="34"/>
        <v>0.0408215733</v>
      </c>
      <c r="K333" s="58">
        <v>45933.0</v>
      </c>
      <c r="L333" s="50">
        <f t="shared" si="32"/>
        <v>46115</v>
      </c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ht="15.75" customHeight="1">
      <c r="A334" s="9"/>
      <c r="B334" s="137">
        <v>1.00010413E8</v>
      </c>
      <c r="C334" s="98" t="s">
        <v>430</v>
      </c>
      <c r="D334" s="113" t="s">
        <v>431</v>
      </c>
      <c r="E334" s="132">
        <v>5042.0</v>
      </c>
      <c r="F334" s="57">
        <v>4997.0</v>
      </c>
      <c r="G334" s="57">
        <v>4790.0</v>
      </c>
      <c r="H334" s="41">
        <f t="shared" si="1"/>
        <v>4943</v>
      </c>
      <c r="I334" s="49">
        <f t="shared" si="10"/>
        <v>0.05260960334</v>
      </c>
      <c r="J334" s="43">
        <f t="shared" si="34"/>
        <v>0.02002832288</v>
      </c>
      <c r="K334" s="58">
        <v>45933.0</v>
      </c>
      <c r="L334" s="50">
        <f t="shared" si="32"/>
        <v>46115</v>
      </c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ht="20.25" customHeight="1">
      <c r="A335" s="9"/>
      <c r="B335" s="97">
        <v>1.00012846E8</v>
      </c>
      <c r="C335" s="98" t="s">
        <v>432</v>
      </c>
      <c r="D335" s="83"/>
      <c r="E335" s="132">
        <v>20499.0</v>
      </c>
      <c r="F335" s="57">
        <v>22855.9</v>
      </c>
      <c r="G335" s="57">
        <v>17479.0</v>
      </c>
      <c r="H335" s="41">
        <f t="shared" si="1"/>
        <v>20277.96667</v>
      </c>
      <c r="I335" s="49">
        <f t="shared" si="10"/>
        <v>0.3076205733</v>
      </c>
      <c r="J335" s="43">
        <f t="shared" si="34"/>
        <v>0.1271297747</v>
      </c>
      <c r="K335" s="58">
        <v>45933.0</v>
      </c>
      <c r="L335" s="50">
        <f t="shared" si="32"/>
        <v>46115</v>
      </c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ht="15.75" customHeight="1">
      <c r="A336" s="9"/>
      <c r="B336" s="137">
        <v>1.0001232E8</v>
      </c>
      <c r="C336" s="98" t="s">
        <v>433</v>
      </c>
      <c r="D336" s="113" t="s">
        <v>434</v>
      </c>
      <c r="E336" s="101">
        <v>3890.0</v>
      </c>
      <c r="F336" s="54">
        <v>3428.0</v>
      </c>
      <c r="G336" s="54">
        <v>3580.0</v>
      </c>
      <c r="H336" s="41">
        <f t="shared" si="1"/>
        <v>3632.666667</v>
      </c>
      <c r="I336" s="49">
        <f t="shared" si="10"/>
        <v>0.1347724621</v>
      </c>
      <c r="J336" s="43">
        <f t="shared" si="34"/>
        <v>0.070838686</v>
      </c>
      <c r="K336" s="58">
        <v>45933.0</v>
      </c>
      <c r="L336" s="50">
        <f t="shared" si="32"/>
        <v>46115</v>
      </c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ht="15.75" customHeight="1">
      <c r="A337" s="9"/>
      <c r="B337" s="137">
        <v>1.00012345E8</v>
      </c>
      <c r="C337" s="98" t="s">
        <v>435</v>
      </c>
      <c r="D337" s="113" t="s">
        <v>436</v>
      </c>
      <c r="E337" s="101">
        <v>1571.55</v>
      </c>
      <c r="F337" s="54">
        <v>1484.0</v>
      </c>
      <c r="G337" s="54">
        <v>1664.4</v>
      </c>
      <c r="H337" s="41">
        <f t="shared" si="1"/>
        <v>1573.316667</v>
      </c>
      <c r="I337" s="49">
        <f t="shared" si="10"/>
        <v>0.1215633423</v>
      </c>
      <c r="J337" s="43">
        <f t="shared" si="34"/>
        <v>0.05789256242</v>
      </c>
      <c r="K337" s="58">
        <v>45933.0</v>
      </c>
      <c r="L337" s="50">
        <f t="shared" si="32"/>
        <v>46115</v>
      </c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ht="15.75" customHeight="1">
      <c r="A338" s="9"/>
      <c r="B338" s="137">
        <v>1.00012345E8</v>
      </c>
      <c r="C338" s="98" t="s">
        <v>435</v>
      </c>
      <c r="D338" s="113" t="s">
        <v>437</v>
      </c>
      <c r="E338" s="101">
        <v>5074.44</v>
      </c>
      <c r="F338" s="54">
        <v>4326.0</v>
      </c>
      <c r="G338" s="54">
        <v>4762.56</v>
      </c>
      <c r="H338" s="41">
        <f t="shared" si="1"/>
        <v>4721</v>
      </c>
      <c r="I338" s="49">
        <f t="shared" si="10"/>
        <v>0.1730097087</v>
      </c>
      <c r="J338" s="43">
        <f t="shared" si="34"/>
        <v>0.0748654946</v>
      </c>
      <c r="K338" s="58">
        <v>45933.0</v>
      </c>
      <c r="L338" s="50">
        <f t="shared" si="32"/>
        <v>46115</v>
      </c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ht="15.75" customHeight="1">
      <c r="A339" s="9"/>
      <c r="B339" s="97">
        <v>1.00012345E8</v>
      </c>
      <c r="C339" s="98" t="s">
        <v>435</v>
      </c>
      <c r="D339" s="83"/>
      <c r="E339" s="101">
        <v>12999.9</v>
      </c>
      <c r="F339" s="138">
        <v>11915.0</v>
      </c>
      <c r="G339" s="138">
        <v>10120.0</v>
      </c>
      <c r="H339" s="41">
        <f t="shared" si="1"/>
        <v>11678.3</v>
      </c>
      <c r="I339" s="49">
        <f t="shared" si="10"/>
        <v>0.2845750988</v>
      </c>
      <c r="J339" s="43">
        <f t="shared" si="34"/>
        <v>0.1131671562</v>
      </c>
      <c r="K339" s="58">
        <v>45933.0</v>
      </c>
      <c r="L339" s="50">
        <f t="shared" si="32"/>
        <v>46115</v>
      </c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ht="15.75" customHeight="1">
      <c r="A340" s="9"/>
      <c r="B340" s="97">
        <v>1.00002272E8</v>
      </c>
      <c r="C340" s="98" t="s">
        <v>438</v>
      </c>
      <c r="D340" s="83"/>
      <c r="E340" s="101">
        <v>899.0</v>
      </c>
      <c r="F340" s="54">
        <v>796.0</v>
      </c>
      <c r="G340" s="54">
        <v>699.0</v>
      </c>
      <c r="H340" s="41">
        <f t="shared" si="1"/>
        <v>798</v>
      </c>
      <c r="I340" s="49">
        <f t="shared" si="10"/>
        <v>0.2861230329</v>
      </c>
      <c r="J340" s="43">
        <f t="shared" si="34"/>
        <v>0.126566416</v>
      </c>
      <c r="K340" s="58">
        <v>45933.0</v>
      </c>
      <c r="L340" s="50">
        <f t="shared" si="32"/>
        <v>46115</v>
      </c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ht="15.75" customHeight="1">
      <c r="A341" s="9"/>
      <c r="B341" s="97">
        <v>1.00002253E8</v>
      </c>
      <c r="C341" s="98" t="s">
        <v>439</v>
      </c>
      <c r="D341" s="83"/>
      <c r="E341" s="101">
        <v>179.9</v>
      </c>
      <c r="F341" s="54">
        <v>189.9</v>
      </c>
      <c r="G341" s="54">
        <v>159.9</v>
      </c>
      <c r="H341" s="41">
        <f t="shared" si="1"/>
        <v>176.5666667</v>
      </c>
      <c r="I341" s="49">
        <f t="shared" si="10"/>
        <v>0.1876172608</v>
      </c>
      <c r="J341" s="43">
        <f t="shared" si="34"/>
        <v>0.07551444214</v>
      </c>
      <c r="K341" s="58">
        <v>45933.0</v>
      </c>
      <c r="L341" s="50">
        <f t="shared" si="32"/>
        <v>46115</v>
      </c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ht="15.75" customHeight="1">
      <c r="A342" s="9"/>
      <c r="B342" s="97">
        <v>1.00010152E8</v>
      </c>
      <c r="C342" s="98" t="s">
        <v>440</v>
      </c>
      <c r="D342" s="83"/>
      <c r="E342" s="101">
        <v>1879.0</v>
      </c>
      <c r="F342" s="54">
        <v>1879.0</v>
      </c>
      <c r="G342" s="54">
        <v>1749.97</v>
      </c>
      <c r="H342" s="41">
        <f t="shared" si="1"/>
        <v>1835.99</v>
      </c>
      <c r="I342" s="49">
        <f t="shared" si="10"/>
        <v>0.07373269256</v>
      </c>
      <c r="J342" s="43">
        <f t="shared" si="34"/>
        <v>0.02342605352</v>
      </c>
      <c r="K342" s="58">
        <v>45937.0</v>
      </c>
      <c r="L342" s="50">
        <f t="shared" si="32"/>
        <v>46119</v>
      </c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ht="15.75" customHeight="1">
      <c r="A343" s="9"/>
      <c r="B343" s="137">
        <v>1.00010193E8</v>
      </c>
      <c r="C343" s="98" t="s">
        <v>441</v>
      </c>
      <c r="D343" s="83"/>
      <c r="E343" s="101">
        <v>97.19</v>
      </c>
      <c r="F343" s="138">
        <v>81.29</v>
      </c>
      <c r="G343" s="138">
        <v>99.0</v>
      </c>
      <c r="H343" s="41">
        <f t="shared" si="1"/>
        <v>92.49333333</v>
      </c>
      <c r="I343" s="49">
        <f t="shared" si="10"/>
        <v>0.2178619756</v>
      </c>
      <c r="J343" s="43">
        <f t="shared" si="34"/>
        <v>0.07034741243</v>
      </c>
      <c r="K343" s="58">
        <v>45937.0</v>
      </c>
      <c r="L343" s="50">
        <f t="shared" si="32"/>
        <v>46119</v>
      </c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ht="15.75" customHeight="1">
      <c r="A344" s="9"/>
      <c r="B344" s="97">
        <v>1.0001025E8</v>
      </c>
      <c r="C344" s="98" t="s">
        <v>442</v>
      </c>
      <c r="D344" s="113" t="s">
        <v>443</v>
      </c>
      <c r="E344" s="101">
        <v>858.44</v>
      </c>
      <c r="F344" s="54">
        <v>739.99</v>
      </c>
      <c r="G344" s="54">
        <v>949.99</v>
      </c>
      <c r="H344" s="41">
        <f t="shared" si="1"/>
        <v>849.4733333</v>
      </c>
      <c r="I344" s="49">
        <f t="shared" si="10"/>
        <v>0.2837876188</v>
      </c>
      <c r="J344" s="43">
        <f t="shared" si="34"/>
        <v>0.1183282191</v>
      </c>
      <c r="K344" s="58">
        <v>45937.0</v>
      </c>
      <c r="L344" s="50">
        <f t="shared" si="32"/>
        <v>46119</v>
      </c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ht="15.75" customHeight="1">
      <c r="A345" s="9"/>
      <c r="B345" s="97">
        <v>1.0001025E8</v>
      </c>
      <c r="C345" s="98" t="s">
        <v>442</v>
      </c>
      <c r="D345" s="175" t="s">
        <v>444</v>
      </c>
      <c r="E345" s="132">
        <v>484.0</v>
      </c>
      <c r="F345" s="57">
        <v>383.9</v>
      </c>
      <c r="G345" s="57">
        <v>383.9</v>
      </c>
      <c r="H345" s="41">
        <f t="shared" si="1"/>
        <v>417.2666667</v>
      </c>
      <c r="I345" s="49">
        <f t="shared" si="10"/>
        <v>0.2607449857</v>
      </c>
      <c r="J345" s="43">
        <f t="shared" si="34"/>
        <v>0.1599297012</v>
      </c>
      <c r="K345" s="58">
        <v>45937.0</v>
      </c>
      <c r="L345" s="50">
        <f t="shared" si="32"/>
        <v>46119</v>
      </c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ht="15.75" customHeight="1">
      <c r="A346" s="9"/>
      <c r="B346" s="97">
        <v>1.0001025E8</v>
      </c>
      <c r="C346" s="98" t="s">
        <v>442</v>
      </c>
      <c r="D346" s="113" t="s">
        <v>445</v>
      </c>
      <c r="E346" s="101">
        <v>273.9</v>
      </c>
      <c r="F346" s="54">
        <v>273.9</v>
      </c>
      <c r="G346" s="54">
        <v>325.0</v>
      </c>
      <c r="H346" s="41">
        <f t="shared" si="1"/>
        <v>290.9333333</v>
      </c>
      <c r="I346" s="49">
        <f t="shared" si="10"/>
        <v>0.1865644396</v>
      </c>
      <c r="J346" s="43">
        <f t="shared" si="34"/>
        <v>0.1170944088</v>
      </c>
      <c r="K346" s="58">
        <v>45937.0</v>
      </c>
      <c r="L346" s="50">
        <f t="shared" si="32"/>
        <v>46119</v>
      </c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ht="15.75" customHeight="1">
      <c r="A347" s="9"/>
      <c r="B347" s="97">
        <v>1.0001025E8</v>
      </c>
      <c r="C347" s="98" t="s">
        <v>442</v>
      </c>
      <c r="D347" s="175" t="s">
        <v>446</v>
      </c>
      <c r="E347" s="132">
        <v>211.0</v>
      </c>
      <c r="F347" s="57">
        <v>175.99</v>
      </c>
      <c r="G347" s="57">
        <v>211.0</v>
      </c>
      <c r="H347" s="41">
        <f t="shared" si="1"/>
        <v>199.33</v>
      </c>
      <c r="I347" s="49">
        <f t="shared" si="10"/>
        <v>0.1989317575</v>
      </c>
      <c r="J347" s="43">
        <f t="shared" si="34"/>
        <v>0.05854612953</v>
      </c>
      <c r="K347" s="58">
        <v>45937.0</v>
      </c>
      <c r="L347" s="50">
        <f t="shared" si="32"/>
        <v>46119</v>
      </c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ht="15.75" customHeight="1">
      <c r="A348" s="9"/>
      <c r="B348" s="97">
        <v>1.00013095E8</v>
      </c>
      <c r="C348" s="98" t="s">
        <v>447</v>
      </c>
      <c r="D348" s="83"/>
      <c r="E348" s="101">
        <v>707.99</v>
      </c>
      <c r="F348" s="54">
        <v>677.0</v>
      </c>
      <c r="G348" s="54">
        <v>646.81</v>
      </c>
      <c r="H348" s="41">
        <f t="shared" si="1"/>
        <v>677.2666667</v>
      </c>
      <c r="I348" s="49">
        <f t="shared" si="10"/>
        <v>0.0945872822</v>
      </c>
      <c r="J348" s="43">
        <f t="shared" si="34"/>
        <v>0.0453637169</v>
      </c>
      <c r="K348" s="58">
        <v>45937.0</v>
      </c>
      <c r="L348" s="50">
        <f t="shared" si="32"/>
        <v>46119</v>
      </c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ht="15.75" customHeight="1">
      <c r="A349" s="9"/>
      <c r="B349" s="137">
        <v>1.00002337E8</v>
      </c>
      <c r="C349" s="98" t="s">
        <v>448</v>
      </c>
      <c r="D349" s="83"/>
      <c r="E349" s="101">
        <v>5612.75</v>
      </c>
      <c r="F349" s="54">
        <v>4591.62</v>
      </c>
      <c r="G349" s="54">
        <v>5705.71</v>
      </c>
      <c r="H349" s="41">
        <f t="shared" si="1"/>
        <v>5303.36</v>
      </c>
      <c r="I349" s="49">
        <f t="shared" si="10"/>
        <v>0.2426354968</v>
      </c>
      <c r="J349" s="43">
        <f t="shared" si="34"/>
        <v>0.07586699753</v>
      </c>
      <c r="K349" s="58">
        <v>45937.0</v>
      </c>
      <c r="L349" s="50">
        <f t="shared" si="32"/>
        <v>46119</v>
      </c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ht="18.75" customHeight="1">
      <c r="A350" s="9"/>
      <c r="B350" s="137">
        <v>1.00011701E8</v>
      </c>
      <c r="C350" s="98" t="s">
        <v>449</v>
      </c>
      <c r="D350" s="113" t="s">
        <v>450</v>
      </c>
      <c r="E350" s="132">
        <v>1579.89</v>
      </c>
      <c r="F350" s="57">
        <v>1644.33</v>
      </c>
      <c r="G350" s="57">
        <v>1444.89</v>
      </c>
      <c r="H350" s="41">
        <f t="shared" si="1"/>
        <v>1556.37</v>
      </c>
      <c r="I350" s="49">
        <f t="shared" si="10"/>
        <v>0.1380312688</v>
      </c>
      <c r="J350" s="43">
        <f t="shared" si="34"/>
        <v>0.05651612406</v>
      </c>
      <c r="K350" s="58">
        <v>45937.0</v>
      </c>
      <c r="L350" s="50">
        <f t="shared" si="32"/>
        <v>46119</v>
      </c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ht="15.75" customHeight="1">
      <c r="A351" s="9"/>
      <c r="B351" s="97">
        <v>1.00012802E8</v>
      </c>
      <c r="C351" s="98" t="s">
        <v>451</v>
      </c>
      <c r="D351" s="113" t="s">
        <v>452</v>
      </c>
      <c r="E351" s="101">
        <v>986.25</v>
      </c>
      <c r="F351" s="54">
        <v>911.9</v>
      </c>
      <c r="G351" s="54">
        <v>849.0</v>
      </c>
      <c r="H351" s="41">
        <f t="shared" si="1"/>
        <v>915.7166667</v>
      </c>
      <c r="I351" s="49">
        <f t="shared" si="10"/>
        <v>0.1616607774</v>
      </c>
      <c r="J351" s="43"/>
      <c r="K351" s="58">
        <v>45937.0</v>
      </c>
      <c r="L351" s="45">
        <f t="shared" si="32"/>
        <v>46119</v>
      </c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ht="15.75" customHeight="1">
      <c r="A352" s="9"/>
      <c r="B352" s="137">
        <v>1.00012271E8</v>
      </c>
      <c r="C352" s="98" t="s">
        <v>453</v>
      </c>
      <c r="D352" s="113" t="s">
        <v>454</v>
      </c>
      <c r="E352" s="101">
        <v>906.5</v>
      </c>
      <c r="F352" s="54">
        <v>899.0</v>
      </c>
      <c r="G352" s="54">
        <v>757.9</v>
      </c>
      <c r="H352" s="41">
        <f t="shared" si="1"/>
        <v>854.4666667</v>
      </c>
      <c r="I352" s="49">
        <f t="shared" si="10"/>
        <v>0.1960680829</v>
      </c>
      <c r="J352" s="43">
        <f t="shared" ref="J352:J356" si="35">IF(ISERROR(MAX(E352:G352)/H352-1),"",(MAX(E352:G352)/H352-1))</f>
        <v>0.06089568542</v>
      </c>
      <c r="K352" s="58">
        <v>45937.0</v>
      </c>
      <c r="L352" s="50">
        <f t="shared" si="32"/>
        <v>46119</v>
      </c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ht="15.75" customHeight="1">
      <c r="A353" s="9"/>
      <c r="B353" s="97">
        <v>1.00012916E8</v>
      </c>
      <c r="C353" s="98" t="s">
        <v>455</v>
      </c>
      <c r="D353" s="113" t="s">
        <v>456</v>
      </c>
      <c r="E353" s="101">
        <v>312.9</v>
      </c>
      <c r="F353" s="54">
        <v>299.0</v>
      </c>
      <c r="G353" s="54">
        <v>268.32</v>
      </c>
      <c r="H353" s="41">
        <f t="shared" si="1"/>
        <v>293.4066667</v>
      </c>
      <c r="I353" s="49">
        <f t="shared" si="10"/>
        <v>0.1661449016</v>
      </c>
      <c r="J353" s="43">
        <f t="shared" si="35"/>
        <v>0.06643793597</v>
      </c>
      <c r="K353" s="58">
        <v>45938.0</v>
      </c>
      <c r="L353" s="50">
        <f t="shared" si="32"/>
        <v>46120</v>
      </c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ht="15.75" customHeight="1">
      <c r="A354" s="9"/>
      <c r="B354" s="97">
        <v>1.00013053E8</v>
      </c>
      <c r="C354" s="98" t="s">
        <v>457</v>
      </c>
      <c r="D354" s="83"/>
      <c r="E354" s="101">
        <v>2540.0</v>
      </c>
      <c r="F354" s="54">
        <v>2280.0</v>
      </c>
      <c r="G354" s="54">
        <v>2094.9</v>
      </c>
      <c r="H354" s="41">
        <f t="shared" si="1"/>
        <v>2304.966667</v>
      </c>
      <c r="I354" s="49">
        <f t="shared" si="10"/>
        <v>0.2124683756</v>
      </c>
      <c r="J354" s="43">
        <f t="shared" si="35"/>
        <v>0.1019682136</v>
      </c>
      <c r="K354" s="58">
        <v>45938.0</v>
      </c>
      <c r="L354" s="50">
        <f t="shared" si="32"/>
        <v>46120</v>
      </c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ht="15.75" customHeight="1">
      <c r="A355" s="9"/>
      <c r="B355" s="97">
        <v>1.0001283E8</v>
      </c>
      <c r="C355" s="98" t="s">
        <v>458</v>
      </c>
      <c r="D355" s="83"/>
      <c r="E355" s="101">
        <v>1965.52</v>
      </c>
      <c r="F355" s="54">
        <v>2054.0</v>
      </c>
      <c r="G355" s="54">
        <v>2054.0</v>
      </c>
      <c r="H355" s="41">
        <f t="shared" si="1"/>
        <v>2024.506667</v>
      </c>
      <c r="I355" s="49">
        <f t="shared" si="10"/>
        <v>0.04501607717</v>
      </c>
      <c r="J355" s="43">
        <f t="shared" si="35"/>
        <v>0.01456815817</v>
      </c>
      <c r="K355" s="58">
        <v>45938.0</v>
      </c>
      <c r="L355" s="50">
        <f t="shared" si="32"/>
        <v>46120</v>
      </c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ht="15.75" customHeight="1">
      <c r="A356" s="9"/>
      <c r="B356" s="97">
        <v>1.00012748E8</v>
      </c>
      <c r="C356" s="98" t="s">
        <v>459</v>
      </c>
      <c r="D356" s="83"/>
      <c r="E356" s="101">
        <v>699.0</v>
      </c>
      <c r="F356" s="54">
        <v>834.9</v>
      </c>
      <c r="G356" s="54">
        <v>869.9</v>
      </c>
      <c r="H356" s="41">
        <f t="shared" si="1"/>
        <v>801.2666667</v>
      </c>
      <c r="I356" s="49">
        <f t="shared" si="10"/>
        <v>0.2444921316</v>
      </c>
      <c r="J356" s="43">
        <f t="shared" si="35"/>
        <v>0.0856560446</v>
      </c>
      <c r="K356" s="58">
        <v>45938.0</v>
      </c>
      <c r="L356" s="50">
        <f t="shared" si="32"/>
        <v>46120</v>
      </c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ht="15.75" customHeight="1">
      <c r="A357" s="9"/>
      <c r="B357" s="97">
        <v>1.00010013E8</v>
      </c>
      <c r="C357" s="98" t="s">
        <v>460</v>
      </c>
      <c r="D357" s="83"/>
      <c r="E357" s="101">
        <v>249.9</v>
      </c>
      <c r="F357" s="54">
        <v>249.9</v>
      </c>
      <c r="G357" s="54">
        <v>249.9</v>
      </c>
      <c r="H357" s="41">
        <f t="shared" si="1"/>
        <v>249.9</v>
      </c>
      <c r="I357" s="49">
        <f t="shared" si="10"/>
        <v>0</v>
      </c>
      <c r="J357" s="43"/>
      <c r="K357" s="58">
        <v>45938.0</v>
      </c>
      <c r="L357" s="45">
        <f t="shared" si="32"/>
        <v>46120</v>
      </c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ht="15.75" customHeight="1">
      <c r="A358" s="9"/>
      <c r="B358" s="97">
        <v>1.00010036E8</v>
      </c>
      <c r="C358" s="98" t="s">
        <v>461</v>
      </c>
      <c r="D358" s="83"/>
      <c r="E358" s="101">
        <v>67.65</v>
      </c>
      <c r="F358" s="54">
        <v>75.99</v>
      </c>
      <c r="G358" s="54">
        <v>59.5</v>
      </c>
      <c r="H358" s="41">
        <f t="shared" si="1"/>
        <v>67.71333333</v>
      </c>
      <c r="I358" s="49">
        <f t="shared" si="10"/>
        <v>0.2771428571</v>
      </c>
      <c r="J358" s="43"/>
      <c r="K358" s="78"/>
      <c r="L358" s="45">
        <f t="shared" si="32"/>
        <v>182</v>
      </c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ht="15.75" customHeight="1">
      <c r="A359" s="9"/>
      <c r="B359" s="97">
        <v>1.00012778E8</v>
      </c>
      <c r="C359" s="98" t="s">
        <v>462</v>
      </c>
      <c r="D359" s="83"/>
      <c r="E359" s="101">
        <v>1419.0</v>
      </c>
      <c r="F359" s="54">
        <v>1111.67</v>
      </c>
      <c r="G359" s="54">
        <v>1350.0</v>
      </c>
      <c r="H359" s="41">
        <f t="shared" si="1"/>
        <v>1293.556667</v>
      </c>
      <c r="I359" s="49">
        <f t="shared" si="10"/>
        <v>0.2764579417</v>
      </c>
      <c r="J359" s="43"/>
      <c r="K359" s="58">
        <v>45938.0</v>
      </c>
      <c r="L359" s="45">
        <f t="shared" si="32"/>
        <v>46120</v>
      </c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ht="15.75" customHeight="1">
      <c r="A360" s="9"/>
      <c r="B360" s="97">
        <v>1.0001014E8</v>
      </c>
      <c r="C360" s="98" t="s">
        <v>463</v>
      </c>
      <c r="D360" s="113"/>
      <c r="E360" s="132">
        <v>1146.85</v>
      </c>
      <c r="F360" s="57">
        <v>1177.99</v>
      </c>
      <c r="G360" s="57">
        <v>1146.85</v>
      </c>
      <c r="H360" s="41">
        <f t="shared" si="1"/>
        <v>1157.23</v>
      </c>
      <c r="I360" s="49">
        <f t="shared" si="10"/>
        <v>0.02715263548</v>
      </c>
      <c r="J360" s="43">
        <f t="shared" ref="J360:J362" si="36">IF(ISERROR(MAX(E360:G360)/H360-1),"",(MAX(E360:G360)/H360-1))</f>
        <v>0.01793938975</v>
      </c>
      <c r="K360" s="78"/>
      <c r="L360" s="50">
        <f t="shared" si="32"/>
        <v>182</v>
      </c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ht="15.75" customHeight="1">
      <c r="A361" s="9"/>
      <c r="B361" s="97">
        <v>1.00012778E8</v>
      </c>
      <c r="C361" s="98" t="s">
        <v>464</v>
      </c>
      <c r="D361" s="83"/>
      <c r="E361" s="132">
        <v>3866.0</v>
      </c>
      <c r="F361" s="57">
        <v>3648.0</v>
      </c>
      <c r="G361" s="57">
        <v>4114.07</v>
      </c>
      <c r="H361" s="41">
        <f t="shared" si="1"/>
        <v>3876.023333</v>
      </c>
      <c r="I361" s="49">
        <f t="shared" si="10"/>
        <v>0.1277604167</v>
      </c>
      <c r="J361" s="43">
        <f t="shared" si="36"/>
        <v>0.06141517896</v>
      </c>
      <c r="K361" s="58">
        <v>45938.0</v>
      </c>
      <c r="L361" s="50">
        <f t="shared" si="32"/>
        <v>46120</v>
      </c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ht="15.75" customHeight="1">
      <c r="A362" s="9"/>
      <c r="B362" s="97">
        <v>1.00012289E8</v>
      </c>
      <c r="C362" s="98" t="s">
        <v>465</v>
      </c>
      <c r="D362" s="83"/>
      <c r="E362" s="132">
        <v>36068.44</v>
      </c>
      <c r="F362" s="180">
        <v>39500.0</v>
      </c>
      <c r="G362" s="180">
        <v>31022.72</v>
      </c>
      <c r="H362" s="41">
        <f t="shared" si="1"/>
        <v>35530.38667</v>
      </c>
      <c r="I362" s="49">
        <f t="shared" si="10"/>
        <v>0.2732603718</v>
      </c>
      <c r="J362" s="43">
        <f t="shared" si="36"/>
        <v>0.111724462</v>
      </c>
      <c r="K362" s="58">
        <v>45938.0</v>
      </c>
      <c r="L362" s="50">
        <f t="shared" si="32"/>
        <v>46120</v>
      </c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ht="15.75" customHeight="1">
      <c r="A363" s="9"/>
      <c r="B363" s="97">
        <v>1.00012415E8</v>
      </c>
      <c r="C363" s="98" t="s">
        <v>466</v>
      </c>
      <c r="D363" s="83"/>
      <c r="E363" s="101">
        <v>14989.0</v>
      </c>
      <c r="F363" s="54">
        <v>14089.9</v>
      </c>
      <c r="G363" s="54">
        <v>13954.44</v>
      </c>
      <c r="H363" s="41">
        <f t="shared" si="1"/>
        <v>14344.44667</v>
      </c>
      <c r="I363" s="49">
        <f t="shared" si="10"/>
        <v>0.07413841043</v>
      </c>
      <c r="J363" s="43"/>
      <c r="K363" s="58">
        <v>45938.0</v>
      </c>
      <c r="L363" s="45">
        <f t="shared" si="32"/>
        <v>46120</v>
      </c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ht="15.75" customHeight="1">
      <c r="A364" s="9"/>
      <c r="B364" s="97">
        <v>1.00012464E8</v>
      </c>
      <c r="C364" s="98" t="s">
        <v>467</v>
      </c>
      <c r="D364" s="83"/>
      <c r="E364" s="101">
        <v>3090.0</v>
      </c>
      <c r="F364" s="54">
        <v>3459.26</v>
      </c>
      <c r="G364" s="54">
        <v>3457.96</v>
      </c>
      <c r="H364" s="41">
        <f t="shared" si="1"/>
        <v>3335.74</v>
      </c>
      <c r="I364" s="49">
        <f t="shared" si="10"/>
        <v>0.1195016181</v>
      </c>
      <c r="J364" s="43"/>
      <c r="K364" s="58">
        <v>45938.0</v>
      </c>
      <c r="L364" s="45">
        <f t="shared" si="32"/>
        <v>46120</v>
      </c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ht="15.75" customHeight="1">
      <c r="A365" s="9"/>
      <c r="B365" s="97">
        <v>1.00010684E8</v>
      </c>
      <c r="C365" s="98" t="s">
        <v>468</v>
      </c>
      <c r="D365" s="83"/>
      <c r="E365" s="101">
        <v>95.64</v>
      </c>
      <c r="F365" s="54">
        <v>87.89</v>
      </c>
      <c r="G365" s="54">
        <v>79.9</v>
      </c>
      <c r="H365" s="41">
        <f t="shared" si="1"/>
        <v>87.81</v>
      </c>
      <c r="I365" s="49">
        <f t="shared" si="10"/>
        <v>0.1969962453</v>
      </c>
      <c r="J365" s="43"/>
      <c r="K365" s="58">
        <v>45938.0</v>
      </c>
      <c r="L365" s="45">
        <f t="shared" si="32"/>
        <v>46120</v>
      </c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ht="15.75" customHeight="1">
      <c r="A366" s="9"/>
      <c r="B366" s="97">
        <v>1.00012618E8</v>
      </c>
      <c r="C366" s="98" t="s">
        <v>469</v>
      </c>
      <c r="D366" s="83"/>
      <c r="E366" s="101">
        <v>19350.0</v>
      </c>
      <c r="F366" s="54">
        <v>17582.2</v>
      </c>
      <c r="G366" s="54">
        <v>17848.0</v>
      </c>
      <c r="H366" s="41">
        <f t="shared" si="1"/>
        <v>18260.06667</v>
      </c>
      <c r="I366" s="49">
        <f t="shared" si="10"/>
        <v>0.1005448692</v>
      </c>
      <c r="J366" s="43"/>
      <c r="K366" s="58">
        <v>45938.0</v>
      </c>
      <c r="L366" s="45">
        <f t="shared" si="32"/>
        <v>46120</v>
      </c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ht="20.25" customHeight="1">
      <c r="A367" s="9"/>
      <c r="B367" s="97">
        <v>1.00013052E8</v>
      </c>
      <c r="C367" s="98" t="s">
        <v>470</v>
      </c>
      <c r="D367" s="83"/>
      <c r="E367" s="101">
        <v>5790.01</v>
      </c>
      <c r="F367" s="54">
        <v>5790.0</v>
      </c>
      <c r="G367" s="54">
        <v>5174.1</v>
      </c>
      <c r="H367" s="41">
        <f t="shared" si="1"/>
        <v>5584.703333</v>
      </c>
      <c r="I367" s="49">
        <f t="shared" si="10"/>
        <v>0.1190371272</v>
      </c>
      <c r="J367" s="43"/>
      <c r="K367" s="58">
        <v>45938.0</v>
      </c>
      <c r="L367" s="45">
        <f t="shared" si="32"/>
        <v>46120</v>
      </c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ht="15.75" customHeight="1">
      <c r="A368" s="9"/>
      <c r="B368" s="97">
        <v>1.00012468E8</v>
      </c>
      <c r="C368" s="98" t="s">
        <v>471</v>
      </c>
      <c r="D368" s="83"/>
      <c r="E368" s="132">
        <v>5830.69</v>
      </c>
      <c r="F368" s="180">
        <v>6444.33</v>
      </c>
      <c r="G368" s="180">
        <v>6273.76</v>
      </c>
      <c r="H368" s="41">
        <f t="shared" si="1"/>
        <v>6182.926667</v>
      </c>
      <c r="I368" s="49">
        <f t="shared" si="10"/>
        <v>0.1052431187</v>
      </c>
      <c r="J368" s="43">
        <f>IF(ISERROR(MAX(E368:G368)/H368-1),"",(MAX(E368:G368)/H368-1))</f>
        <v>0.04227825226</v>
      </c>
      <c r="K368" s="58">
        <v>45938.0</v>
      </c>
      <c r="L368" s="50">
        <f t="shared" si="32"/>
        <v>46120</v>
      </c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ht="15.75" customHeight="1">
      <c r="A369" s="9"/>
      <c r="B369" s="150">
        <v>1.00010069E8</v>
      </c>
      <c r="C369" s="151" t="s">
        <v>774</v>
      </c>
      <c r="D369" s="170"/>
      <c r="E369" s="269"/>
      <c r="F369" s="163"/>
      <c r="G369" s="163"/>
      <c r="H369" s="155">
        <f t="shared" si="1"/>
        <v>0</v>
      </c>
      <c r="I369" s="156" t="str">
        <f t="shared" si="10"/>
        <v/>
      </c>
      <c r="J369" s="157"/>
      <c r="K369" s="158">
        <v>45938.0</v>
      </c>
      <c r="L369" s="160">
        <f t="shared" si="32"/>
        <v>46120</v>
      </c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ht="15.75" customHeight="1">
      <c r="A370" s="9"/>
      <c r="B370" s="97">
        <v>1.0001014E8</v>
      </c>
      <c r="C370" s="98" t="s">
        <v>472</v>
      </c>
      <c r="D370" s="83"/>
      <c r="E370" s="132">
        <v>1044.42</v>
      </c>
      <c r="F370" s="57">
        <v>1083.04</v>
      </c>
      <c r="G370" s="57">
        <v>1159.78</v>
      </c>
      <c r="H370" s="41">
        <f t="shared" si="1"/>
        <v>1095.746667</v>
      </c>
      <c r="I370" s="49">
        <f t="shared" si="10"/>
        <v>0.1104536489</v>
      </c>
      <c r="J370" s="43">
        <f t="shared" ref="J370:J371" si="37">IF(ISERROR(MAX(E370:G370)/H370-1),"",(MAX(E370:G370)/H370-1))</f>
        <v>0.0584380818</v>
      </c>
      <c r="K370" s="58">
        <v>45938.0</v>
      </c>
      <c r="L370" s="50">
        <f t="shared" si="32"/>
        <v>46120</v>
      </c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ht="15.75" customHeight="1">
      <c r="A371" s="9"/>
      <c r="B371" s="97">
        <v>1.00012616E8</v>
      </c>
      <c r="C371" s="98" t="s">
        <v>473</v>
      </c>
      <c r="D371" s="83"/>
      <c r="E371" s="132">
        <v>7257.59</v>
      </c>
      <c r="F371" s="57">
        <v>7590.0</v>
      </c>
      <c r="G371" s="57">
        <v>6499.99</v>
      </c>
      <c r="H371" s="41">
        <f t="shared" si="1"/>
        <v>7115.86</v>
      </c>
      <c r="I371" s="49">
        <f t="shared" si="10"/>
        <v>0.1676941041</v>
      </c>
      <c r="J371" s="43">
        <f t="shared" si="37"/>
        <v>0.06663144019</v>
      </c>
      <c r="K371" s="58">
        <v>45938.0</v>
      </c>
      <c r="L371" s="50">
        <f t="shared" si="32"/>
        <v>46120</v>
      </c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ht="15.75" customHeight="1">
      <c r="A372" s="9"/>
      <c r="B372" s="97">
        <v>1.00010069E8</v>
      </c>
      <c r="C372" s="98" t="s">
        <v>474</v>
      </c>
      <c r="D372" s="113"/>
      <c r="E372" s="101">
        <v>393.33</v>
      </c>
      <c r="F372" s="54">
        <v>339.9</v>
      </c>
      <c r="G372" s="54">
        <v>318.9</v>
      </c>
      <c r="H372" s="41">
        <f t="shared" si="1"/>
        <v>350.71</v>
      </c>
      <c r="I372" s="49">
        <f t="shared" si="10"/>
        <v>0.2333960489</v>
      </c>
      <c r="J372" s="43"/>
      <c r="K372" s="58">
        <v>45938.0</v>
      </c>
      <c r="L372" s="45">
        <f t="shared" si="32"/>
        <v>46120</v>
      </c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ht="15.75" customHeight="1">
      <c r="A373" s="9"/>
      <c r="B373" s="97">
        <v>1.00012417E8</v>
      </c>
      <c r="C373" s="98" t="s">
        <v>475</v>
      </c>
      <c r="D373" s="83"/>
      <c r="E373" s="132">
        <v>13999.0</v>
      </c>
      <c r="F373" s="57">
        <v>12498.0</v>
      </c>
      <c r="G373" s="57">
        <v>11868.27</v>
      </c>
      <c r="H373" s="41">
        <f t="shared" si="1"/>
        <v>12788.42333</v>
      </c>
      <c r="I373" s="49">
        <f t="shared" si="10"/>
        <v>0.1795316419</v>
      </c>
      <c r="J373" s="43"/>
      <c r="K373" s="58">
        <v>45938.0</v>
      </c>
      <c r="L373" s="45">
        <f t="shared" si="32"/>
        <v>46120</v>
      </c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ht="15.75" customHeight="1">
      <c r="A374" s="9"/>
      <c r="B374" s="97">
        <v>1.0001014E8</v>
      </c>
      <c r="C374" s="98" t="s">
        <v>476</v>
      </c>
      <c r="D374" s="83"/>
      <c r="E374" s="101">
        <v>1109.99</v>
      </c>
      <c r="F374" s="54">
        <v>1109.99</v>
      </c>
      <c r="G374" s="54">
        <v>1119.9</v>
      </c>
      <c r="H374" s="41">
        <f t="shared" si="1"/>
        <v>1113.293333</v>
      </c>
      <c r="I374" s="49">
        <f t="shared" si="10"/>
        <v>0.00892800836</v>
      </c>
      <c r="J374" s="43"/>
      <c r="K374" s="58">
        <v>45938.0</v>
      </c>
      <c r="L374" s="45">
        <f t="shared" si="32"/>
        <v>46120</v>
      </c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ht="15.75" customHeight="1">
      <c r="A375" s="9"/>
      <c r="B375" s="97">
        <v>1.00010734E8</v>
      </c>
      <c r="C375" s="98" t="s">
        <v>477</v>
      </c>
      <c r="D375" s="83"/>
      <c r="E375" s="101">
        <v>650.07</v>
      </c>
      <c r="F375" s="54">
        <v>655.5</v>
      </c>
      <c r="G375" s="54">
        <v>990.0</v>
      </c>
      <c r="H375" s="41">
        <f t="shared" si="1"/>
        <v>765.19</v>
      </c>
      <c r="I375" s="49">
        <f t="shared" si="10"/>
        <v>0.5229129171</v>
      </c>
      <c r="J375" s="43"/>
      <c r="K375" s="58">
        <v>45938.0</v>
      </c>
      <c r="L375" s="45">
        <f t="shared" si="32"/>
        <v>46120</v>
      </c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ht="15.75" customHeight="1">
      <c r="A376" s="9"/>
      <c r="B376" s="150"/>
      <c r="C376" s="151"/>
      <c r="D376" s="170"/>
      <c r="E376" s="171">
        <v>1199.9</v>
      </c>
      <c r="F376" s="172">
        <v>1042.23</v>
      </c>
      <c r="G376" s="172">
        <v>990.0</v>
      </c>
      <c r="H376" s="155">
        <f t="shared" si="1"/>
        <v>1077.376667</v>
      </c>
      <c r="I376" s="156">
        <f t="shared" si="10"/>
        <v>0.212020202</v>
      </c>
      <c r="J376" s="157">
        <f t="shared" ref="J376:J396" si="38">IF(ISERROR(MAX(E376:G376)/H376-1),"",(MAX(E376:G376)/H376-1))</f>
        <v>0.1137237673</v>
      </c>
      <c r="K376" s="158">
        <v>45938.0</v>
      </c>
      <c r="L376" s="159">
        <f t="shared" si="32"/>
        <v>46120</v>
      </c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ht="15.75" customHeight="1">
      <c r="A377" s="9"/>
      <c r="B377" s="137">
        <v>1.00012465E8</v>
      </c>
      <c r="C377" s="98" t="s">
        <v>478</v>
      </c>
      <c r="D377" s="113" t="s">
        <v>479</v>
      </c>
      <c r="E377" s="132">
        <v>299.0</v>
      </c>
      <c r="F377" s="57">
        <v>354.44</v>
      </c>
      <c r="G377" s="57">
        <v>387.5</v>
      </c>
      <c r="H377" s="41">
        <f t="shared" si="1"/>
        <v>346.98</v>
      </c>
      <c r="I377" s="49">
        <f t="shared" si="10"/>
        <v>0.2959866221</v>
      </c>
      <c r="J377" s="43">
        <f t="shared" si="38"/>
        <v>0.1167790651</v>
      </c>
      <c r="K377" s="58">
        <v>45938.0</v>
      </c>
      <c r="L377" s="50">
        <f t="shared" si="32"/>
        <v>46120</v>
      </c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ht="15.75" customHeight="1">
      <c r="A378" s="9"/>
      <c r="B378" s="137">
        <v>1.00012465E8</v>
      </c>
      <c r="C378" s="98" t="s">
        <v>478</v>
      </c>
      <c r="D378" s="113" t="s">
        <v>480</v>
      </c>
      <c r="E378" s="132">
        <v>629.0</v>
      </c>
      <c r="F378" s="57">
        <v>556.9</v>
      </c>
      <c r="G378" s="57">
        <v>627.49</v>
      </c>
      <c r="H378" s="41">
        <f t="shared" si="1"/>
        <v>604.4633333</v>
      </c>
      <c r="I378" s="49">
        <f t="shared" si="10"/>
        <v>0.1294666906</v>
      </c>
      <c r="J378" s="43">
        <f t="shared" si="38"/>
        <v>0.04059248148</v>
      </c>
      <c r="K378" s="58">
        <v>45938.0</v>
      </c>
      <c r="L378" s="50">
        <f t="shared" si="32"/>
        <v>46120</v>
      </c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ht="15.75" customHeight="1">
      <c r="A379" s="9"/>
      <c r="B379" s="137">
        <v>1.00012465E8</v>
      </c>
      <c r="C379" s="98" t="s">
        <v>478</v>
      </c>
      <c r="D379" s="113" t="s">
        <v>481</v>
      </c>
      <c r="E379" s="132">
        <v>379.0</v>
      </c>
      <c r="F379" s="57">
        <v>419.0</v>
      </c>
      <c r="G379" s="57">
        <v>444.43</v>
      </c>
      <c r="H379" s="41">
        <f t="shared" si="1"/>
        <v>414.1433333</v>
      </c>
      <c r="I379" s="49">
        <f t="shared" si="10"/>
        <v>0.1726385224</v>
      </c>
      <c r="J379" s="43">
        <f t="shared" si="38"/>
        <v>0.07313088061</v>
      </c>
      <c r="K379" s="58">
        <v>45938.0</v>
      </c>
      <c r="L379" s="50">
        <f t="shared" si="32"/>
        <v>46120</v>
      </c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ht="15.75" customHeight="1">
      <c r="A380" s="9"/>
      <c r="B380" s="137">
        <v>1.00012465E8</v>
      </c>
      <c r="C380" s="98" t="s">
        <v>478</v>
      </c>
      <c r="D380" s="113" t="s">
        <v>482</v>
      </c>
      <c r="E380" s="132">
        <v>498.0</v>
      </c>
      <c r="F380" s="57">
        <v>514.43</v>
      </c>
      <c r="G380" s="57">
        <v>549.0</v>
      </c>
      <c r="H380" s="41">
        <f t="shared" si="1"/>
        <v>520.4766667</v>
      </c>
      <c r="I380" s="49">
        <f t="shared" si="10"/>
        <v>0.1024096386</v>
      </c>
      <c r="J380" s="43">
        <f t="shared" si="38"/>
        <v>0.05480232863</v>
      </c>
      <c r="K380" s="58">
        <v>45938.0</v>
      </c>
      <c r="L380" s="50">
        <f t="shared" si="32"/>
        <v>46120</v>
      </c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ht="15.75" customHeight="1">
      <c r="A381" s="9"/>
      <c r="B381" s="137">
        <v>1.00012465E8</v>
      </c>
      <c r="C381" s="98" t="s">
        <v>478</v>
      </c>
      <c r="D381" s="113" t="s">
        <v>483</v>
      </c>
      <c r="E381" s="132">
        <v>1084.5</v>
      </c>
      <c r="F381" s="57">
        <v>1035.31</v>
      </c>
      <c r="G381" s="57">
        <v>905.9</v>
      </c>
      <c r="H381" s="41">
        <f t="shared" si="1"/>
        <v>1008.57</v>
      </c>
      <c r="I381" s="49">
        <f t="shared" si="10"/>
        <v>0.1971520035</v>
      </c>
      <c r="J381" s="43">
        <f t="shared" si="38"/>
        <v>0.07528480919</v>
      </c>
      <c r="K381" s="58">
        <v>45938.0</v>
      </c>
      <c r="L381" s="50">
        <f t="shared" si="32"/>
        <v>46120</v>
      </c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ht="15.75" customHeight="1">
      <c r="A382" s="9"/>
      <c r="B382" s="137">
        <v>1.00012465E8</v>
      </c>
      <c r="C382" s="98" t="s">
        <v>478</v>
      </c>
      <c r="D382" s="113" t="s">
        <v>484</v>
      </c>
      <c r="E382" s="101">
        <v>717.32</v>
      </c>
      <c r="F382" s="54">
        <v>599.99</v>
      </c>
      <c r="G382" s="54">
        <v>599.99</v>
      </c>
      <c r="H382" s="41">
        <f t="shared" si="1"/>
        <v>639.1</v>
      </c>
      <c r="I382" s="49">
        <f t="shared" si="10"/>
        <v>0.1955532592</v>
      </c>
      <c r="J382" s="43">
        <f t="shared" si="38"/>
        <v>0.1223908621</v>
      </c>
      <c r="K382" s="58">
        <v>45938.0</v>
      </c>
      <c r="L382" s="50">
        <f t="shared" si="32"/>
        <v>46120</v>
      </c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ht="15.75" customHeight="1">
      <c r="A383" s="9"/>
      <c r="B383" s="137">
        <v>1.00012465E8</v>
      </c>
      <c r="C383" s="98" t="s">
        <v>478</v>
      </c>
      <c r="D383" s="113" t="s">
        <v>485</v>
      </c>
      <c r="E383" s="101">
        <v>2569.95</v>
      </c>
      <c r="F383" s="54">
        <v>2293.92</v>
      </c>
      <c r="G383" s="54">
        <v>2179.99</v>
      </c>
      <c r="H383" s="41">
        <f t="shared" si="1"/>
        <v>2347.953333</v>
      </c>
      <c r="I383" s="49">
        <f t="shared" si="10"/>
        <v>0.1788815545</v>
      </c>
      <c r="J383" s="43">
        <f t="shared" si="38"/>
        <v>0.09454901148</v>
      </c>
      <c r="K383" s="58">
        <v>45938.0</v>
      </c>
      <c r="L383" s="50">
        <f t="shared" si="32"/>
        <v>46120</v>
      </c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ht="15.75" customHeight="1">
      <c r="A384" s="9"/>
      <c r="B384" s="137">
        <v>1.00012465E8</v>
      </c>
      <c r="C384" s="98" t="s">
        <v>478</v>
      </c>
      <c r="D384" s="113" t="s">
        <v>486</v>
      </c>
      <c r="E384" s="101">
        <v>1207.39</v>
      </c>
      <c r="F384" s="138">
        <v>1478.0</v>
      </c>
      <c r="G384" s="54" t="s">
        <v>487</v>
      </c>
      <c r="H384" s="41">
        <f t="shared" si="1"/>
        <v>895.13</v>
      </c>
      <c r="I384" s="49">
        <f t="shared" si="10"/>
        <v>0.2241280779</v>
      </c>
      <c r="J384" s="43">
        <f t="shared" si="38"/>
        <v>0.6511568152</v>
      </c>
      <c r="K384" s="58">
        <v>45938.0</v>
      </c>
      <c r="L384" s="50">
        <f t="shared" si="32"/>
        <v>46120</v>
      </c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ht="15.75" customHeight="1">
      <c r="A385" s="9"/>
      <c r="B385" s="137">
        <v>1.00012465E8</v>
      </c>
      <c r="C385" s="98" t="s">
        <v>478</v>
      </c>
      <c r="D385" s="175" t="s">
        <v>488</v>
      </c>
      <c r="E385" s="101">
        <v>2287.0</v>
      </c>
      <c r="F385" s="54">
        <v>2188.42</v>
      </c>
      <c r="G385" s="54">
        <v>2287.0</v>
      </c>
      <c r="H385" s="41">
        <f t="shared" si="1"/>
        <v>2254.14</v>
      </c>
      <c r="I385" s="49">
        <f t="shared" si="10"/>
        <v>0.04504619771</v>
      </c>
      <c r="J385" s="43">
        <f t="shared" si="38"/>
        <v>0.01457762162</v>
      </c>
      <c r="K385" s="58">
        <v>45938.0</v>
      </c>
      <c r="L385" s="50">
        <f t="shared" si="32"/>
        <v>46120</v>
      </c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ht="15.75" customHeight="1">
      <c r="A386" s="9"/>
      <c r="B386" s="137">
        <v>1.00012465E8</v>
      </c>
      <c r="C386" s="98" t="s">
        <v>478</v>
      </c>
      <c r="D386" s="113" t="s">
        <v>489</v>
      </c>
      <c r="E386" s="57">
        <v>5959.0</v>
      </c>
      <c r="F386" s="57">
        <v>4809.0</v>
      </c>
      <c r="G386" s="57">
        <v>6111.0</v>
      </c>
      <c r="H386" s="41">
        <f t="shared" si="1"/>
        <v>5626.333333</v>
      </c>
      <c r="I386" s="49">
        <f t="shared" si="10"/>
        <v>0.2707423581</v>
      </c>
      <c r="J386" s="43">
        <f t="shared" si="38"/>
        <v>0.08614254399</v>
      </c>
      <c r="K386" s="58">
        <v>45938.0</v>
      </c>
      <c r="L386" s="50">
        <f t="shared" si="32"/>
        <v>46120</v>
      </c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ht="15.75" customHeight="1">
      <c r="A387" s="9"/>
      <c r="B387" s="137">
        <v>1.00012465E8</v>
      </c>
      <c r="C387" s="98" t="s">
        <v>478</v>
      </c>
      <c r="D387" s="113" t="s">
        <v>490</v>
      </c>
      <c r="E387" s="132">
        <v>5794.0</v>
      </c>
      <c r="F387" s="57">
        <v>5163.17</v>
      </c>
      <c r="G387" s="57">
        <v>6299.0</v>
      </c>
      <c r="H387" s="41">
        <f t="shared" si="1"/>
        <v>5752.056667</v>
      </c>
      <c r="I387" s="49">
        <f t="shared" si="10"/>
        <v>0.219986946</v>
      </c>
      <c r="J387" s="43">
        <f t="shared" si="38"/>
        <v>0.09508656904</v>
      </c>
      <c r="K387" s="58">
        <v>45939.0</v>
      </c>
      <c r="L387" s="50">
        <f t="shared" si="32"/>
        <v>46121</v>
      </c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ht="18.0" customHeight="1">
      <c r="A388" s="9"/>
      <c r="B388" s="97">
        <v>1.00010206E8</v>
      </c>
      <c r="C388" s="98" t="s">
        <v>491</v>
      </c>
      <c r="D388" s="83"/>
      <c r="E388" s="132">
        <v>1677.43</v>
      </c>
      <c r="F388" s="57">
        <v>1702.08</v>
      </c>
      <c r="G388" s="57">
        <v>1396.0</v>
      </c>
      <c r="H388" s="41">
        <f t="shared" si="1"/>
        <v>1591.836667</v>
      </c>
      <c r="I388" s="49">
        <f t="shared" si="10"/>
        <v>0.2192550143</v>
      </c>
      <c r="J388" s="43">
        <f t="shared" si="38"/>
        <v>0.06925543031</v>
      </c>
      <c r="K388" s="58">
        <v>45939.0</v>
      </c>
      <c r="L388" s="50">
        <f t="shared" si="32"/>
        <v>46121</v>
      </c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ht="18.0" customHeight="1">
      <c r="A389" s="9"/>
      <c r="B389" s="97">
        <v>1.00010149E8</v>
      </c>
      <c r="C389" s="98" t="s">
        <v>775</v>
      </c>
      <c r="D389" s="83"/>
      <c r="E389" s="132">
        <v>1131.05</v>
      </c>
      <c r="F389" s="57">
        <v>1049.0</v>
      </c>
      <c r="G389" s="57">
        <v>1111.09</v>
      </c>
      <c r="H389" s="41">
        <f t="shared" si="1"/>
        <v>1097.046667</v>
      </c>
      <c r="I389" s="49">
        <f t="shared" si="10"/>
        <v>0.07821734986</v>
      </c>
      <c r="J389" s="43">
        <f t="shared" si="38"/>
        <v>0.030995339</v>
      </c>
      <c r="K389" s="58">
        <v>45939.0</v>
      </c>
      <c r="L389" s="50">
        <f t="shared" si="32"/>
        <v>46121</v>
      </c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ht="15.75" customHeight="1">
      <c r="A390" s="9"/>
      <c r="B390" s="97">
        <v>1.00010219E8</v>
      </c>
      <c r="C390" s="98" t="s">
        <v>493</v>
      </c>
      <c r="D390" s="83"/>
      <c r="E390" s="132">
        <v>691.15</v>
      </c>
      <c r="F390" s="57">
        <v>657.09</v>
      </c>
      <c r="G390" s="57">
        <v>681.42</v>
      </c>
      <c r="H390" s="41">
        <f t="shared" si="1"/>
        <v>676.5533333</v>
      </c>
      <c r="I390" s="49">
        <f t="shared" si="10"/>
        <v>0.05183460409</v>
      </c>
      <c r="J390" s="43">
        <f t="shared" si="38"/>
        <v>0.02157504213</v>
      </c>
      <c r="K390" s="58">
        <v>45939.0</v>
      </c>
      <c r="L390" s="50">
        <f t="shared" si="32"/>
        <v>46121</v>
      </c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ht="15.75" customHeight="1">
      <c r="A391" s="9"/>
      <c r="B391" s="97">
        <v>1.00010219E8</v>
      </c>
      <c r="C391" s="98" t="s">
        <v>494</v>
      </c>
      <c r="D391" s="83"/>
      <c r="E391" s="132">
        <v>1289.0</v>
      </c>
      <c r="F391" s="57">
        <v>1483.9</v>
      </c>
      <c r="G391" s="57">
        <v>1349.0</v>
      </c>
      <c r="H391" s="41">
        <f t="shared" si="1"/>
        <v>1373.966667</v>
      </c>
      <c r="I391" s="49">
        <f t="shared" si="10"/>
        <v>0.1512024825</v>
      </c>
      <c r="J391" s="43">
        <f t="shared" si="38"/>
        <v>0.08001164512</v>
      </c>
      <c r="K391" s="58">
        <v>45939.0</v>
      </c>
      <c r="L391" s="50">
        <f t="shared" si="32"/>
        <v>46121</v>
      </c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ht="15.75" customHeight="1">
      <c r="A392" s="9"/>
      <c r="B392" s="97">
        <v>1.00010219E8</v>
      </c>
      <c r="C392" s="98" t="s">
        <v>495</v>
      </c>
      <c r="D392" s="83"/>
      <c r="E392" s="101">
        <v>1318.9</v>
      </c>
      <c r="F392" s="54">
        <v>1199.0</v>
      </c>
      <c r="G392" s="54">
        <v>1248.0</v>
      </c>
      <c r="H392" s="41">
        <f t="shared" si="1"/>
        <v>1255.3</v>
      </c>
      <c r="I392" s="49">
        <f t="shared" si="10"/>
        <v>0.1</v>
      </c>
      <c r="J392" s="43">
        <f t="shared" si="38"/>
        <v>0.05066517964</v>
      </c>
      <c r="K392" s="58">
        <v>45939.0</v>
      </c>
      <c r="L392" s="50">
        <f t="shared" si="32"/>
        <v>46121</v>
      </c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ht="18.0" customHeight="1">
      <c r="A393" s="9"/>
      <c r="B393" s="97">
        <v>1.00010773E8</v>
      </c>
      <c r="C393" s="98" t="s">
        <v>496</v>
      </c>
      <c r="D393" s="113" t="s">
        <v>497</v>
      </c>
      <c r="E393" s="101">
        <v>739.0</v>
      </c>
      <c r="F393" s="54">
        <v>739.0</v>
      </c>
      <c r="G393" s="54">
        <v>641.0</v>
      </c>
      <c r="H393" s="41">
        <f t="shared" si="1"/>
        <v>706.3333333</v>
      </c>
      <c r="I393" s="49">
        <f t="shared" si="10"/>
        <v>0.1528861154</v>
      </c>
      <c r="J393" s="43">
        <f t="shared" si="38"/>
        <v>0.0462482303</v>
      </c>
      <c r="K393" s="136">
        <v>45939.0</v>
      </c>
      <c r="L393" s="50">
        <f t="shared" si="32"/>
        <v>46121</v>
      </c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ht="15.75" customHeight="1">
      <c r="A394" s="9"/>
      <c r="B394" s="97">
        <v>1.00010773E8</v>
      </c>
      <c r="C394" s="98" t="s">
        <v>498</v>
      </c>
      <c r="D394" s="113" t="s">
        <v>499</v>
      </c>
      <c r="E394" s="132">
        <v>8636.96</v>
      </c>
      <c r="F394" s="57">
        <v>7790.25</v>
      </c>
      <c r="G394" s="57">
        <v>10199.0</v>
      </c>
      <c r="H394" s="41">
        <f t="shared" si="1"/>
        <v>8875.403333</v>
      </c>
      <c r="I394" s="49">
        <f t="shared" si="10"/>
        <v>0.3092006033</v>
      </c>
      <c r="J394" s="43">
        <f t="shared" si="38"/>
        <v>0.1491308752</v>
      </c>
      <c r="K394" s="58">
        <v>45939.0</v>
      </c>
      <c r="L394" s="50">
        <f t="shared" si="32"/>
        <v>46121</v>
      </c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ht="15.75" customHeight="1">
      <c r="A395" s="9"/>
      <c r="B395" s="97">
        <v>1.00012262E8</v>
      </c>
      <c r="C395" s="98" t="s">
        <v>500</v>
      </c>
      <c r="D395" s="83"/>
      <c r="E395" s="101">
        <v>1199.9</v>
      </c>
      <c r="F395" s="54">
        <v>1199.9</v>
      </c>
      <c r="G395" s="54">
        <v>999.0</v>
      </c>
      <c r="H395" s="41">
        <f t="shared" si="1"/>
        <v>1132.933333</v>
      </c>
      <c r="I395" s="49">
        <f t="shared" si="10"/>
        <v>0.2011011011</v>
      </c>
      <c r="J395" s="43">
        <f t="shared" si="38"/>
        <v>0.05910909733</v>
      </c>
      <c r="K395" s="58">
        <v>45939.0</v>
      </c>
      <c r="L395" s="50">
        <f t="shared" si="32"/>
        <v>46121</v>
      </c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ht="15.75" customHeight="1">
      <c r="A396" s="9"/>
      <c r="B396" s="97">
        <v>1.00012474E8</v>
      </c>
      <c r="C396" s="181" t="s">
        <v>501</v>
      </c>
      <c r="D396" s="83"/>
      <c r="E396" s="132">
        <v>4600.0</v>
      </c>
      <c r="F396" s="57">
        <v>4390.0</v>
      </c>
      <c r="G396" s="57">
        <v>5313.79</v>
      </c>
      <c r="H396" s="41">
        <f t="shared" si="1"/>
        <v>4767.93</v>
      </c>
      <c r="I396" s="49">
        <f t="shared" si="10"/>
        <v>0.2104305239</v>
      </c>
      <c r="J396" s="43">
        <f t="shared" si="38"/>
        <v>0.1144857412</v>
      </c>
      <c r="K396" s="58">
        <v>45939.0</v>
      </c>
      <c r="L396" s="50">
        <f t="shared" si="32"/>
        <v>46121</v>
      </c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ht="23.25" customHeight="1">
      <c r="A397" s="9"/>
      <c r="B397" s="97">
        <v>1.00012005E8</v>
      </c>
      <c r="C397" s="98" t="s">
        <v>502</v>
      </c>
      <c r="D397" s="83"/>
      <c r="E397" s="101">
        <v>499.0</v>
      </c>
      <c r="F397" s="54">
        <v>565.8</v>
      </c>
      <c r="G397" s="54">
        <v>499.0</v>
      </c>
      <c r="H397" s="41">
        <f t="shared" si="1"/>
        <v>521.2666667</v>
      </c>
      <c r="I397" s="49">
        <f t="shared" si="10"/>
        <v>0.1338677355</v>
      </c>
      <c r="J397" s="43"/>
      <c r="K397" s="58">
        <v>45939.0</v>
      </c>
      <c r="L397" s="45">
        <f t="shared" si="32"/>
        <v>46121</v>
      </c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ht="20.25" customHeight="1">
      <c r="A398" s="9"/>
      <c r="B398" s="97">
        <v>1.00012245E8</v>
      </c>
      <c r="C398" s="98" t="s">
        <v>503</v>
      </c>
      <c r="D398" s="83"/>
      <c r="E398" s="101">
        <v>251.44</v>
      </c>
      <c r="F398" s="54">
        <v>233.21</v>
      </c>
      <c r="G398" s="54">
        <v>248.64</v>
      </c>
      <c r="H398" s="41">
        <f t="shared" si="1"/>
        <v>244.43</v>
      </c>
      <c r="I398" s="49">
        <f t="shared" si="10"/>
        <v>0.0781698898</v>
      </c>
      <c r="J398" s="43"/>
      <c r="K398" s="58">
        <v>45939.0</v>
      </c>
      <c r="L398" s="45">
        <f t="shared" si="32"/>
        <v>46121</v>
      </c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ht="15.75" customHeight="1">
      <c r="A399" s="9"/>
      <c r="B399" s="97">
        <v>1.00010146E8</v>
      </c>
      <c r="C399" s="98" t="s">
        <v>504</v>
      </c>
      <c r="D399" s="83"/>
      <c r="E399" s="101">
        <v>497.94</v>
      </c>
      <c r="F399" s="54">
        <v>497.94</v>
      </c>
      <c r="G399" s="54">
        <v>497.94</v>
      </c>
      <c r="H399" s="41">
        <f t="shared" si="1"/>
        <v>497.94</v>
      </c>
      <c r="I399" s="49">
        <f t="shared" si="10"/>
        <v>0</v>
      </c>
      <c r="J399" s="43">
        <f t="shared" ref="J399:J423" si="39">IF(ISERROR(MAX(E399:G399)/H399-1),"",(MAX(E399:G399)/H399-1))</f>
        <v>0</v>
      </c>
      <c r="K399" s="58">
        <v>45939.0</v>
      </c>
      <c r="L399" s="50">
        <f t="shared" si="32"/>
        <v>46121</v>
      </c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ht="15.75" customHeight="1">
      <c r="A400" s="9"/>
      <c r="B400" s="97">
        <v>1.00010146E8</v>
      </c>
      <c r="C400" s="98" t="s">
        <v>505</v>
      </c>
      <c r="D400" s="83"/>
      <c r="E400" s="101">
        <v>287.77</v>
      </c>
      <c r="F400" s="54">
        <v>336.9</v>
      </c>
      <c r="G400" s="54">
        <v>299.0</v>
      </c>
      <c r="H400" s="41">
        <f t="shared" si="1"/>
        <v>307.89</v>
      </c>
      <c r="I400" s="49">
        <f t="shared" si="10"/>
        <v>0.170726622</v>
      </c>
      <c r="J400" s="43">
        <f t="shared" si="39"/>
        <v>0.09422196239</v>
      </c>
      <c r="K400" s="58">
        <v>45939.0</v>
      </c>
      <c r="L400" s="50">
        <f t="shared" si="32"/>
        <v>46121</v>
      </c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ht="15.75" customHeight="1">
      <c r="A401" s="9"/>
      <c r="B401" s="97">
        <v>1.00010146E8</v>
      </c>
      <c r="C401" s="98" t="s">
        <v>506</v>
      </c>
      <c r="D401" s="83"/>
      <c r="E401" s="101">
        <v>739.0</v>
      </c>
      <c r="F401" s="54">
        <v>739.0</v>
      </c>
      <c r="G401" s="54">
        <v>739.0</v>
      </c>
      <c r="H401" s="41">
        <f t="shared" si="1"/>
        <v>739</v>
      </c>
      <c r="I401" s="49">
        <f t="shared" si="10"/>
        <v>0</v>
      </c>
      <c r="J401" s="43">
        <f t="shared" si="39"/>
        <v>0</v>
      </c>
      <c r="K401" s="58">
        <v>45939.0</v>
      </c>
      <c r="L401" s="50">
        <f t="shared" si="32"/>
        <v>46121</v>
      </c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ht="15.75" customHeight="1">
      <c r="A402" s="9"/>
      <c r="B402" s="97">
        <v>1.00012614E8</v>
      </c>
      <c r="C402" s="98" t="s">
        <v>507</v>
      </c>
      <c r="D402" s="113" t="s">
        <v>508</v>
      </c>
      <c r="E402" s="101">
        <v>257.9</v>
      </c>
      <c r="F402" s="54">
        <v>289.9</v>
      </c>
      <c r="G402" s="54">
        <v>290.9</v>
      </c>
      <c r="H402" s="41">
        <f t="shared" si="1"/>
        <v>279.5666667</v>
      </c>
      <c r="I402" s="49">
        <f t="shared" si="10"/>
        <v>0.1279565723</v>
      </c>
      <c r="J402" s="43">
        <f t="shared" si="39"/>
        <v>0.0405389293</v>
      </c>
      <c r="K402" s="58">
        <v>45939.0</v>
      </c>
      <c r="L402" s="50">
        <f t="shared" si="32"/>
        <v>46121</v>
      </c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ht="15.75" customHeight="1">
      <c r="A403" s="9"/>
      <c r="B403" s="97">
        <v>1.00012614E8</v>
      </c>
      <c r="C403" s="98" t="s">
        <v>507</v>
      </c>
      <c r="D403" s="113" t="s">
        <v>509</v>
      </c>
      <c r="E403" s="132">
        <v>111.1</v>
      </c>
      <c r="F403" s="57">
        <v>125.6</v>
      </c>
      <c r="G403" s="57">
        <v>111.1</v>
      </c>
      <c r="H403" s="41">
        <f t="shared" si="1"/>
        <v>115.9333333</v>
      </c>
      <c r="I403" s="49">
        <f t="shared" si="10"/>
        <v>0.1305130513</v>
      </c>
      <c r="J403" s="43">
        <f t="shared" si="39"/>
        <v>0.08338125359</v>
      </c>
      <c r="K403" s="58">
        <v>45939.0</v>
      </c>
      <c r="L403" s="50">
        <f t="shared" si="32"/>
        <v>46121</v>
      </c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ht="18.75" customHeight="1">
      <c r="A404" s="9"/>
      <c r="B404" s="97">
        <v>1.00012356E8</v>
      </c>
      <c r="C404" s="98" t="s">
        <v>510</v>
      </c>
      <c r="D404" s="83"/>
      <c r="E404" s="132">
        <v>838.48</v>
      </c>
      <c r="F404" s="57">
        <v>867.0</v>
      </c>
      <c r="G404" s="57">
        <v>955.53</v>
      </c>
      <c r="H404" s="41">
        <f t="shared" si="1"/>
        <v>887.0033333</v>
      </c>
      <c r="I404" s="49">
        <f t="shared" si="10"/>
        <v>0.1395978437</v>
      </c>
      <c r="J404" s="43">
        <f t="shared" si="39"/>
        <v>0.0772563801</v>
      </c>
      <c r="K404" s="58">
        <v>45939.0</v>
      </c>
      <c r="L404" s="50">
        <f t="shared" si="32"/>
        <v>46121</v>
      </c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ht="18.75" customHeight="1">
      <c r="A405" s="9"/>
      <c r="B405" s="97">
        <v>1.00012461E8</v>
      </c>
      <c r="C405" s="98" t="s">
        <v>511</v>
      </c>
      <c r="D405" s="83"/>
      <c r="E405" s="132">
        <v>288.87</v>
      </c>
      <c r="F405" s="57">
        <v>248.99</v>
      </c>
      <c r="G405" s="57">
        <v>299.98</v>
      </c>
      <c r="H405" s="41">
        <f t="shared" si="1"/>
        <v>279.28</v>
      </c>
      <c r="I405" s="49">
        <f t="shared" si="10"/>
        <v>0.2047873409</v>
      </c>
      <c r="J405" s="43">
        <f t="shared" si="39"/>
        <v>0.07411916356</v>
      </c>
      <c r="K405" s="58">
        <v>45939.0</v>
      </c>
      <c r="L405" s="50">
        <f t="shared" si="32"/>
        <v>46121</v>
      </c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ht="15.75" customHeight="1">
      <c r="A406" s="9"/>
      <c r="B406" s="97">
        <v>1.00012511E8</v>
      </c>
      <c r="C406" s="98" t="s">
        <v>512</v>
      </c>
      <c r="D406" s="113" t="s">
        <v>513</v>
      </c>
      <c r="E406" s="101">
        <v>48578.01</v>
      </c>
      <c r="F406" s="54">
        <v>45936.48</v>
      </c>
      <c r="G406" s="54">
        <v>46369.14</v>
      </c>
      <c r="H406" s="41">
        <f t="shared" si="1"/>
        <v>46961.21</v>
      </c>
      <c r="I406" s="49">
        <f t="shared" si="10"/>
        <v>0.0575039707</v>
      </c>
      <c r="J406" s="43">
        <f t="shared" si="39"/>
        <v>0.03442841443</v>
      </c>
      <c r="K406" s="58">
        <v>45940.0</v>
      </c>
      <c r="L406" s="50">
        <f t="shared" si="32"/>
        <v>46122</v>
      </c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ht="15.75" customHeight="1">
      <c r="A407" s="9"/>
      <c r="B407" s="97">
        <v>1.00010152E8</v>
      </c>
      <c r="C407" s="98" t="s">
        <v>514</v>
      </c>
      <c r="D407" s="83"/>
      <c r="E407" s="101"/>
      <c r="F407" s="54">
        <v>1879.0</v>
      </c>
      <c r="G407" s="54">
        <v>1699.0</v>
      </c>
      <c r="H407" s="41">
        <f t="shared" si="1"/>
        <v>1192.666667</v>
      </c>
      <c r="I407" s="49">
        <f t="shared" si="10"/>
        <v>0.1059446733</v>
      </c>
      <c r="J407" s="43">
        <f t="shared" si="39"/>
        <v>0.5754611515</v>
      </c>
      <c r="K407" s="182">
        <v>45940.0</v>
      </c>
      <c r="L407" s="50">
        <f t="shared" si="32"/>
        <v>46122</v>
      </c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ht="15.75" customHeight="1">
      <c r="A408" s="9"/>
      <c r="B408" s="97">
        <v>1.00012468E8</v>
      </c>
      <c r="C408" s="98" t="s">
        <v>515</v>
      </c>
      <c r="D408" s="83"/>
      <c r="E408" s="101">
        <v>11111.0</v>
      </c>
      <c r="F408" s="54">
        <v>13843.17</v>
      </c>
      <c r="G408" s="54">
        <v>11339.7</v>
      </c>
      <c r="H408" s="41">
        <f t="shared" si="1"/>
        <v>12097.95667</v>
      </c>
      <c r="I408" s="49">
        <f t="shared" si="10"/>
        <v>0.245897759</v>
      </c>
      <c r="J408" s="43">
        <f t="shared" si="39"/>
        <v>0.1442568676</v>
      </c>
      <c r="K408" s="58">
        <v>45940.0</v>
      </c>
      <c r="L408" s="50">
        <f t="shared" si="32"/>
        <v>46122</v>
      </c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ht="17.25" customHeight="1">
      <c r="A409" s="9"/>
      <c r="B409" s="97">
        <v>1.0001279E8</v>
      </c>
      <c r="C409" s="98" t="s">
        <v>516</v>
      </c>
      <c r="D409" s="83"/>
      <c r="E409" s="101">
        <v>1890.0</v>
      </c>
      <c r="F409" s="54">
        <v>1843.0</v>
      </c>
      <c r="G409" s="54">
        <v>1900.0</v>
      </c>
      <c r="H409" s="41">
        <f t="shared" si="1"/>
        <v>1877.666667</v>
      </c>
      <c r="I409" s="49">
        <f t="shared" si="10"/>
        <v>0.03092783505</v>
      </c>
      <c r="J409" s="43">
        <f t="shared" si="39"/>
        <v>0.01189419492</v>
      </c>
      <c r="K409" s="58">
        <v>45940.0</v>
      </c>
      <c r="L409" s="50">
        <f t="shared" si="32"/>
        <v>46122</v>
      </c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ht="21.0" customHeight="1">
      <c r="A410" s="9"/>
      <c r="B410" s="97">
        <v>1.00012813E8</v>
      </c>
      <c r="C410" s="98" t="s">
        <v>517</v>
      </c>
      <c r="D410" s="83"/>
      <c r="E410" s="132">
        <v>777.76</v>
      </c>
      <c r="F410" s="57">
        <v>897.87</v>
      </c>
      <c r="G410" s="57">
        <v>738.52</v>
      </c>
      <c r="H410" s="41">
        <f t="shared" si="1"/>
        <v>804.7166667</v>
      </c>
      <c r="I410" s="49">
        <f t="shared" si="10"/>
        <v>0.2157693766</v>
      </c>
      <c r="J410" s="43">
        <f t="shared" si="39"/>
        <v>0.1157591699</v>
      </c>
      <c r="K410" s="58">
        <v>45940.0</v>
      </c>
      <c r="L410" s="50">
        <f t="shared" si="32"/>
        <v>46122</v>
      </c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ht="15.75" customHeight="1">
      <c r="A411" s="9"/>
      <c r="B411" s="97">
        <v>1.00013119E8</v>
      </c>
      <c r="C411" s="98" t="s">
        <v>518</v>
      </c>
      <c r="D411" s="83"/>
      <c r="E411" s="101">
        <v>1129.0</v>
      </c>
      <c r="F411" s="54">
        <v>1254.44</v>
      </c>
      <c r="G411" s="54">
        <v>1452.98</v>
      </c>
      <c r="H411" s="41">
        <f t="shared" si="1"/>
        <v>1278.806667</v>
      </c>
      <c r="I411" s="49">
        <f t="shared" si="10"/>
        <v>0.2869619132</v>
      </c>
      <c r="J411" s="43">
        <f t="shared" si="39"/>
        <v>0.1361998947</v>
      </c>
      <c r="K411" s="58">
        <v>45940.0</v>
      </c>
      <c r="L411" s="50">
        <f t="shared" si="32"/>
        <v>46122</v>
      </c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ht="15.75" customHeight="1">
      <c r="A412" s="9"/>
      <c r="B412" s="97">
        <v>1.00013058E8</v>
      </c>
      <c r="C412" s="98" t="s">
        <v>519</v>
      </c>
      <c r="D412" s="83"/>
      <c r="E412" s="101">
        <v>1795.0</v>
      </c>
      <c r="F412" s="54">
        <v>1483.96</v>
      </c>
      <c r="G412" s="54">
        <v>1792.0</v>
      </c>
      <c r="H412" s="41">
        <f t="shared" si="1"/>
        <v>1690.32</v>
      </c>
      <c r="I412" s="49">
        <f t="shared" si="10"/>
        <v>0.209601337</v>
      </c>
      <c r="J412" s="43">
        <f t="shared" si="39"/>
        <v>0.06192910218</v>
      </c>
      <c r="K412" s="58">
        <v>45940.0</v>
      </c>
      <c r="L412" s="50">
        <f t="shared" si="32"/>
        <v>46122</v>
      </c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ht="15.75" customHeight="1">
      <c r="A413" s="9"/>
      <c r="B413" s="97">
        <v>1.00013081E8</v>
      </c>
      <c r="C413" s="98" t="s">
        <v>520</v>
      </c>
      <c r="D413" s="113">
        <v>5638.0</v>
      </c>
      <c r="E413" s="132">
        <v>5013.0</v>
      </c>
      <c r="F413" s="57">
        <v>5154.44</v>
      </c>
      <c r="G413" s="57">
        <v>4490.0</v>
      </c>
      <c r="H413" s="41">
        <f t="shared" si="1"/>
        <v>4885.813333</v>
      </c>
      <c r="I413" s="49">
        <f t="shared" si="10"/>
        <v>0.1479821826</v>
      </c>
      <c r="J413" s="43">
        <f t="shared" si="39"/>
        <v>0.05498095165</v>
      </c>
      <c r="K413" s="58">
        <v>45940.0</v>
      </c>
      <c r="L413" s="50">
        <f t="shared" si="32"/>
        <v>46122</v>
      </c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ht="15.75" customHeight="1">
      <c r="A414" s="9"/>
      <c r="B414" s="97">
        <v>1.00013081E8</v>
      </c>
      <c r="C414" s="98" t="s">
        <v>520</v>
      </c>
      <c r="D414" s="113" t="s">
        <v>521</v>
      </c>
      <c r="E414" s="132">
        <v>2595.0</v>
      </c>
      <c r="F414" s="57">
        <v>2333.32</v>
      </c>
      <c r="G414" s="57">
        <v>2333.32</v>
      </c>
      <c r="H414" s="41">
        <f t="shared" si="1"/>
        <v>2420.546667</v>
      </c>
      <c r="I414" s="49">
        <f t="shared" si="10"/>
        <v>0.1121492123</v>
      </c>
      <c r="J414" s="43">
        <f t="shared" si="39"/>
        <v>0.07207187357</v>
      </c>
      <c r="K414" s="58">
        <v>45940.0</v>
      </c>
      <c r="L414" s="50">
        <f t="shared" ref="L414:L417" si="40">EDATE(K415,6)</f>
        <v>46122</v>
      </c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ht="15.75" customHeight="1">
      <c r="A415" s="9"/>
      <c r="B415" s="97">
        <v>1.00012635E8</v>
      </c>
      <c r="C415" s="183" t="s">
        <v>522</v>
      </c>
      <c r="D415" s="83"/>
      <c r="E415" s="132">
        <v>1012.37</v>
      </c>
      <c r="F415" s="57">
        <v>805.98</v>
      </c>
      <c r="G415" s="181">
        <v>826.2</v>
      </c>
      <c r="H415" s="41">
        <f t="shared" si="1"/>
        <v>881.5166667</v>
      </c>
      <c r="I415" s="49">
        <f t="shared" si="10"/>
        <v>0.2560733517</v>
      </c>
      <c r="J415" s="43">
        <f t="shared" si="39"/>
        <v>0.1484411337</v>
      </c>
      <c r="K415" s="58">
        <v>45940.0</v>
      </c>
      <c r="L415" s="50">
        <f t="shared" si="40"/>
        <v>46122</v>
      </c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ht="15.75" customHeight="1">
      <c r="A416" s="9"/>
      <c r="B416" s="97">
        <v>1.00013086E8</v>
      </c>
      <c r="C416" s="98" t="s">
        <v>523</v>
      </c>
      <c r="D416" s="135" t="s">
        <v>524</v>
      </c>
      <c r="E416" s="101">
        <v>1349.0</v>
      </c>
      <c r="F416" s="54">
        <v>1411.74</v>
      </c>
      <c r="G416" s="54">
        <v>1493.29</v>
      </c>
      <c r="H416" s="41">
        <f t="shared" si="1"/>
        <v>1418.01</v>
      </c>
      <c r="I416" s="49">
        <f t="shared" si="10"/>
        <v>0.1069607116</v>
      </c>
      <c r="J416" s="43">
        <f t="shared" si="39"/>
        <v>0.05308848316</v>
      </c>
      <c r="K416" s="58">
        <v>45940.0</v>
      </c>
      <c r="L416" s="50">
        <f t="shared" si="40"/>
        <v>46122</v>
      </c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ht="15.75" customHeight="1">
      <c r="A417" s="9"/>
      <c r="B417" s="97">
        <v>1.00013086E8</v>
      </c>
      <c r="C417" s="98" t="s">
        <v>523</v>
      </c>
      <c r="D417" s="113" t="s">
        <v>525</v>
      </c>
      <c r="E417" s="132">
        <v>1849.0</v>
      </c>
      <c r="F417" s="57">
        <v>1941.15</v>
      </c>
      <c r="G417" s="57">
        <v>1941.15</v>
      </c>
      <c r="H417" s="41">
        <f t="shared" si="1"/>
        <v>1910.433333</v>
      </c>
      <c r="I417" s="49">
        <f t="shared" si="10"/>
        <v>0.04983775014</v>
      </c>
      <c r="J417" s="43">
        <f t="shared" si="39"/>
        <v>0.01607837663</v>
      </c>
      <c r="K417" s="58">
        <v>45940.0</v>
      </c>
      <c r="L417" s="50">
        <f t="shared" si="40"/>
        <v>46122</v>
      </c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ht="15.75" customHeight="1">
      <c r="A418" s="9"/>
      <c r="B418" s="137">
        <v>1.00012737E8</v>
      </c>
      <c r="C418" s="98" t="s">
        <v>526</v>
      </c>
      <c r="D418" s="175" t="s">
        <v>527</v>
      </c>
      <c r="E418" s="101">
        <v>4657.61</v>
      </c>
      <c r="F418" s="54">
        <v>5500.0</v>
      </c>
      <c r="G418" s="54">
        <v>4444.9</v>
      </c>
      <c r="H418" s="41">
        <f t="shared" si="1"/>
        <v>4867.503333</v>
      </c>
      <c r="I418" s="49">
        <f t="shared" si="10"/>
        <v>0.2373731693</v>
      </c>
      <c r="J418" s="43">
        <f t="shared" si="39"/>
        <v>0.129942729</v>
      </c>
      <c r="K418" s="58">
        <v>45940.0</v>
      </c>
      <c r="L418" s="50">
        <f t="shared" ref="L418:L435" si="41">EDATE(K418,6)</f>
        <v>46122</v>
      </c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ht="15.75" customHeight="1">
      <c r="A419" s="9"/>
      <c r="B419" s="137">
        <v>1.00012737E8</v>
      </c>
      <c r="C419" s="98" t="s">
        <v>526</v>
      </c>
      <c r="D419" s="113" t="s">
        <v>528</v>
      </c>
      <c r="E419" s="132">
        <v>629.99</v>
      </c>
      <c r="F419" s="57">
        <v>594.0</v>
      </c>
      <c r="G419" s="57">
        <v>555.5</v>
      </c>
      <c r="H419" s="41">
        <f t="shared" si="1"/>
        <v>593.1633333</v>
      </c>
      <c r="I419" s="49">
        <f t="shared" si="10"/>
        <v>0.1340954095</v>
      </c>
      <c r="J419" s="43">
        <f t="shared" si="39"/>
        <v>0.06208520419</v>
      </c>
      <c r="K419" s="58">
        <v>45940.0</v>
      </c>
      <c r="L419" s="50">
        <f t="shared" si="41"/>
        <v>46122</v>
      </c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ht="15.75" customHeight="1">
      <c r="A420" s="9"/>
      <c r="B420" s="137">
        <v>1.00012737E8</v>
      </c>
      <c r="C420" s="98" t="s">
        <v>526</v>
      </c>
      <c r="D420" s="113" t="s">
        <v>529</v>
      </c>
      <c r="E420" s="132">
        <v>1205.8</v>
      </c>
      <c r="F420" s="184">
        <v>1325.06</v>
      </c>
      <c r="G420" s="57">
        <v>1299.0</v>
      </c>
      <c r="H420" s="41">
        <f t="shared" si="1"/>
        <v>1276.62</v>
      </c>
      <c r="I420" s="49">
        <f t="shared" si="10"/>
        <v>0.09890529109</v>
      </c>
      <c r="J420" s="43">
        <f t="shared" si="39"/>
        <v>0.03794394573</v>
      </c>
      <c r="K420" s="182">
        <v>45940.0</v>
      </c>
      <c r="L420" s="50">
        <f t="shared" si="41"/>
        <v>46122</v>
      </c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ht="15.75" customHeight="1">
      <c r="A421" s="9"/>
      <c r="B421" s="97">
        <v>1.00013081E8</v>
      </c>
      <c r="C421" s="98" t="s">
        <v>530</v>
      </c>
      <c r="D421" s="113" t="s">
        <v>531</v>
      </c>
      <c r="E421" s="132">
        <v>805.0</v>
      </c>
      <c r="F421" s="57">
        <v>640.9</v>
      </c>
      <c r="G421" s="57">
        <v>754.0</v>
      </c>
      <c r="H421" s="41">
        <f t="shared" si="1"/>
        <v>733.3</v>
      </c>
      <c r="I421" s="49">
        <f t="shared" si="10"/>
        <v>0.2560461851</v>
      </c>
      <c r="J421" s="43">
        <f t="shared" si="39"/>
        <v>0.09777717169</v>
      </c>
      <c r="K421" s="58">
        <v>45940.0</v>
      </c>
      <c r="L421" s="50">
        <f t="shared" si="41"/>
        <v>46122</v>
      </c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ht="15.75" customHeight="1">
      <c r="A422" s="9"/>
      <c r="B422" s="97">
        <v>1.00013081E8</v>
      </c>
      <c r="C422" s="98" t="s">
        <v>530</v>
      </c>
      <c r="D422" s="113" t="s">
        <v>532</v>
      </c>
      <c r="E422" s="101">
        <v>592.52</v>
      </c>
      <c r="F422" s="54">
        <v>559.99</v>
      </c>
      <c r="G422" s="54">
        <v>469.0</v>
      </c>
      <c r="H422" s="41">
        <f t="shared" si="1"/>
        <v>540.5033333</v>
      </c>
      <c r="I422" s="49">
        <f t="shared" si="10"/>
        <v>0.2633688699</v>
      </c>
      <c r="J422" s="43">
        <f t="shared" si="39"/>
        <v>0.09623745768</v>
      </c>
      <c r="K422" s="58">
        <v>45940.0</v>
      </c>
      <c r="L422" s="50">
        <f t="shared" si="41"/>
        <v>46122</v>
      </c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ht="15.75" customHeight="1">
      <c r="A423" s="9"/>
      <c r="B423" s="97">
        <v>1.00013081E8</v>
      </c>
      <c r="C423" s="98" t="s">
        <v>530</v>
      </c>
      <c r="D423" s="113" t="s">
        <v>533</v>
      </c>
      <c r="E423" s="101">
        <v>776.09</v>
      </c>
      <c r="F423" s="54">
        <v>776.09</v>
      </c>
      <c r="G423" s="54">
        <v>890.0</v>
      </c>
      <c r="H423" s="41">
        <f t="shared" si="1"/>
        <v>814.06</v>
      </c>
      <c r="I423" s="49">
        <f t="shared" si="10"/>
        <v>0.1467742143</v>
      </c>
      <c r="J423" s="43">
        <f t="shared" si="39"/>
        <v>0.09328550721</v>
      </c>
      <c r="K423" s="58">
        <v>45940.0</v>
      </c>
      <c r="L423" s="50">
        <f t="shared" si="41"/>
        <v>46122</v>
      </c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ht="15.75" customHeight="1">
      <c r="A424" s="9"/>
      <c r="B424" s="97">
        <v>1.00013081E8</v>
      </c>
      <c r="C424" s="98" t="s">
        <v>530</v>
      </c>
      <c r="D424" s="113" t="s">
        <v>534</v>
      </c>
      <c r="E424" s="101">
        <v>950.62</v>
      </c>
      <c r="F424" s="54">
        <v>1118.38</v>
      </c>
      <c r="G424" s="54">
        <v>1210.93</v>
      </c>
      <c r="H424" s="41">
        <f t="shared" si="1"/>
        <v>1093.31</v>
      </c>
      <c r="I424" s="49">
        <f t="shared" si="10"/>
        <v>0.273831815</v>
      </c>
      <c r="J424" s="125"/>
      <c r="K424" s="185">
        <v>45943.0</v>
      </c>
      <c r="L424" s="50">
        <f t="shared" si="41"/>
        <v>46125</v>
      </c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ht="15.75" customHeight="1">
      <c r="A425" s="9"/>
      <c r="B425" s="97">
        <v>1.00012819E8</v>
      </c>
      <c r="C425" s="98" t="s">
        <v>535</v>
      </c>
      <c r="D425" s="83"/>
      <c r="E425" s="101">
        <v>7079.4</v>
      </c>
      <c r="F425" s="54">
        <v>5929.4</v>
      </c>
      <c r="G425" s="54">
        <v>5756.57</v>
      </c>
      <c r="H425" s="41">
        <f t="shared" si="1"/>
        <v>6255.123333</v>
      </c>
      <c r="I425" s="49">
        <f t="shared" si="10"/>
        <v>0.2297948257</v>
      </c>
      <c r="J425" s="43">
        <f t="shared" ref="J425:J437" si="42">IF(ISERROR(MAX(E425:G425)/H425-1),"",(MAX(E425:G425)/H425-1))</f>
        <v>0.1317762453</v>
      </c>
      <c r="K425" s="58">
        <v>45943.0</v>
      </c>
      <c r="L425" s="50">
        <f t="shared" si="41"/>
        <v>46125</v>
      </c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ht="15.75" customHeight="1">
      <c r="A426" s="9"/>
      <c r="B426" s="97">
        <v>1.00013086E8</v>
      </c>
      <c r="C426" s="98" t="s">
        <v>536</v>
      </c>
      <c r="D426" s="113" t="s">
        <v>537</v>
      </c>
      <c r="E426" s="101">
        <v>1169.9</v>
      </c>
      <c r="F426" s="54">
        <v>1187.9</v>
      </c>
      <c r="G426" s="54">
        <v>1165.9</v>
      </c>
      <c r="H426" s="41">
        <f t="shared" si="1"/>
        <v>1174.566667</v>
      </c>
      <c r="I426" s="49">
        <f t="shared" si="10"/>
        <v>0.01886954284</v>
      </c>
      <c r="J426" s="43">
        <f t="shared" si="42"/>
        <v>0.01135170417</v>
      </c>
      <c r="K426" s="185">
        <v>45940.0</v>
      </c>
      <c r="L426" s="50">
        <f t="shared" si="41"/>
        <v>46122</v>
      </c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ht="15.75" customHeight="1">
      <c r="A427" s="9"/>
      <c r="B427" s="97">
        <v>1.00013086E8</v>
      </c>
      <c r="C427" s="98" t="s">
        <v>536</v>
      </c>
      <c r="D427" s="113" t="s">
        <v>538</v>
      </c>
      <c r="E427" s="132">
        <v>1708.9</v>
      </c>
      <c r="F427" s="57">
        <v>1678.9</v>
      </c>
      <c r="G427" s="57">
        <v>1499.0</v>
      </c>
      <c r="H427" s="41">
        <f t="shared" si="1"/>
        <v>1628.933333</v>
      </c>
      <c r="I427" s="49">
        <f t="shared" si="10"/>
        <v>0.1400266845</v>
      </c>
      <c r="J427" s="43">
        <f t="shared" si="42"/>
        <v>0.04909142997</v>
      </c>
      <c r="K427" s="185">
        <v>45940.0</v>
      </c>
      <c r="L427" s="50">
        <f t="shared" si="41"/>
        <v>46122</v>
      </c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ht="15.75" customHeight="1">
      <c r="A428" s="9"/>
      <c r="B428" s="97">
        <v>1.00013095E8</v>
      </c>
      <c r="C428" s="98" t="s">
        <v>539</v>
      </c>
      <c r="D428" s="113" t="s">
        <v>540</v>
      </c>
      <c r="E428" s="101">
        <v>707.99</v>
      </c>
      <c r="F428" s="54">
        <v>677.0</v>
      </c>
      <c r="G428" s="54">
        <v>707.99</v>
      </c>
      <c r="H428" s="41">
        <f t="shared" si="1"/>
        <v>697.66</v>
      </c>
      <c r="I428" s="49">
        <f t="shared" si="10"/>
        <v>0.04577548006</v>
      </c>
      <c r="J428" s="43">
        <f t="shared" si="42"/>
        <v>0.01480663934</v>
      </c>
      <c r="K428" s="185">
        <v>45940.0</v>
      </c>
      <c r="L428" s="50">
        <f t="shared" si="41"/>
        <v>46122</v>
      </c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ht="15.75" customHeight="1">
      <c r="A429" s="9"/>
      <c r="B429" s="137">
        <v>1.00013121E8</v>
      </c>
      <c r="C429" s="98" t="s">
        <v>541</v>
      </c>
      <c r="D429" s="113" t="s">
        <v>542</v>
      </c>
      <c r="E429" s="101">
        <v>2512.9</v>
      </c>
      <c r="F429" s="54">
        <v>2499.0</v>
      </c>
      <c r="G429" s="54">
        <v>1918.73</v>
      </c>
      <c r="H429" s="41">
        <f t="shared" si="1"/>
        <v>2310.21</v>
      </c>
      <c r="I429" s="49">
        <f t="shared" si="10"/>
        <v>0.3096683744</v>
      </c>
      <c r="J429" s="43">
        <f t="shared" si="42"/>
        <v>0.08773661269</v>
      </c>
      <c r="K429" s="185">
        <v>45940.0</v>
      </c>
      <c r="L429" s="50">
        <f t="shared" si="41"/>
        <v>46122</v>
      </c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ht="15.75" customHeight="1">
      <c r="A430" s="9"/>
      <c r="B430" s="137">
        <v>1.00013121E8</v>
      </c>
      <c r="C430" s="98" t="s">
        <v>541</v>
      </c>
      <c r="D430" s="113" t="s">
        <v>543</v>
      </c>
      <c r="E430" s="101">
        <v>1658.4</v>
      </c>
      <c r="F430" s="54">
        <v>1690.0</v>
      </c>
      <c r="G430" s="54">
        <v>1500.1</v>
      </c>
      <c r="H430" s="41">
        <f t="shared" si="1"/>
        <v>1616.166667</v>
      </c>
      <c r="I430" s="49">
        <f t="shared" si="10"/>
        <v>0.1265915606</v>
      </c>
      <c r="J430" s="43">
        <f t="shared" si="42"/>
        <v>0.04568423224</v>
      </c>
      <c r="K430" s="185">
        <v>45940.0</v>
      </c>
      <c r="L430" s="50">
        <f t="shared" si="41"/>
        <v>46122</v>
      </c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ht="15.75" customHeight="1">
      <c r="A431" s="9"/>
      <c r="B431" s="150">
        <v>1.00013121E8</v>
      </c>
      <c r="C431" s="151" t="s">
        <v>541</v>
      </c>
      <c r="D431" s="152" t="s">
        <v>544</v>
      </c>
      <c r="E431" s="171"/>
      <c r="F431" s="172"/>
      <c r="G431" s="172"/>
      <c r="H431" s="155">
        <f t="shared" si="1"/>
        <v>0</v>
      </c>
      <c r="I431" s="156" t="str">
        <f t="shared" si="10"/>
        <v/>
      </c>
      <c r="J431" s="157" t="str">
        <f t="shared" si="42"/>
        <v/>
      </c>
      <c r="K431" s="186">
        <v>45940.0</v>
      </c>
      <c r="L431" s="159">
        <f t="shared" si="41"/>
        <v>46122</v>
      </c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ht="15.75" customHeight="1">
      <c r="A432" s="9"/>
      <c r="B432" s="97">
        <v>1.0001311E8</v>
      </c>
      <c r="C432" s="98" t="s">
        <v>545</v>
      </c>
      <c r="D432" s="113" t="s">
        <v>546</v>
      </c>
      <c r="E432" s="101">
        <v>1998.0</v>
      </c>
      <c r="F432" s="54">
        <v>1742.3</v>
      </c>
      <c r="G432" s="54">
        <v>1892.83</v>
      </c>
      <c r="H432" s="41">
        <f t="shared" si="1"/>
        <v>1877.71</v>
      </c>
      <c r="I432" s="49">
        <f t="shared" si="10"/>
        <v>0.1467600298</v>
      </c>
      <c r="J432" s="43">
        <f t="shared" si="42"/>
        <v>0.06406207561</v>
      </c>
      <c r="K432" s="185">
        <v>45940.0</v>
      </c>
      <c r="L432" s="50">
        <f t="shared" si="41"/>
        <v>46122</v>
      </c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ht="15.75" customHeight="1">
      <c r="A433" s="9"/>
      <c r="B433" s="97">
        <v>1.0001311E8</v>
      </c>
      <c r="C433" s="98" t="s">
        <v>545</v>
      </c>
      <c r="D433" s="113" t="s">
        <v>547</v>
      </c>
      <c r="E433" s="101">
        <v>1285.0</v>
      </c>
      <c r="F433" s="54">
        <v>1257.7</v>
      </c>
      <c r="G433" s="54">
        <v>1048.0</v>
      </c>
      <c r="H433" s="41">
        <f t="shared" si="1"/>
        <v>1196.9</v>
      </c>
      <c r="I433" s="49">
        <f t="shared" si="10"/>
        <v>0.2261450382</v>
      </c>
      <c r="J433" s="43">
        <f t="shared" si="42"/>
        <v>0.07360681761</v>
      </c>
      <c r="K433" s="58">
        <v>45943.0</v>
      </c>
      <c r="L433" s="50">
        <f t="shared" si="41"/>
        <v>46125</v>
      </c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ht="15.75" customHeight="1">
      <c r="A434" s="9"/>
      <c r="B434" s="97">
        <v>1.00013096E8</v>
      </c>
      <c r="C434" s="98" t="s">
        <v>548</v>
      </c>
      <c r="D434" s="126"/>
      <c r="E434" s="132">
        <v>524.46</v>
      </c>
      <c r="F434" s="57">
        <v>549.0</v>
      </c>
      <c r="G434" s="57">
        <v>619.0</v>
      </c>
      <c r="H434" s="41">
        <f t="shared" si="1"/>
        <v>564.1533333</v>
      </c>
      <c r="I434" s="49">
        <f t="shared" si="10"/>
        <v>0.1802616024</v>
      </c>
      <c r="J434" s="43">
        <f t="shared" si="42"/>
        <v>0.09721943207</v>
      </c>
      <c r="K434" s="58">
        <v>45943.0</v>
      </c>
      <c r="L434" s="50">
        <f t="shared" si="41"/>
        <v>46125</v>
      </c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ht="15.75" customHeight="1">
      <c r="A435" s="9"/>
      <c r="B435" s="97">
        <v>1.00010291E8</v>
      </c>
      <c r="C435" s="98" t="s">
        <v>549</v>
      </c>
      <c r="D435" s="83"/>
      <c r="E435" s="132">
        <v>466.66</v>
      </c>
      <c r="F435" s="57">
        <v>480.21</v>
      </c>
      <c r="G435" s="57">
        <v>440.1</v>
      </c>
      <c r="H435" s="41">
        <f t="shared" si="1"/>
        <v>462.3233333</v>
      </c>
      <c r="I435" s="49">
        <f t="shared" si="10"/>
        <v>0.09113837764</v>
      </c>
      <c r="J435" s="43">
        <f t="shared" si="42"/>
        <v>0.03868865224</v>
      </c>
      <c r="K435" s="58">
        <v>45943.0</v>
      </c>
      <c r="L435" s="50">
        <f t="shared" si="41"/>
        <v>46125</v>
      </c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ht="15.75" customHeight="1">
      <c r="A436" s="187"/>
      <c r="B436" s="97">
        <v>1.00002248E8</v>
      </c>
      <c r="C436" s="98" t="s">
        <v>105</v>
      </c>
      <c r="D436" s="188" t="s">
        <v>550</v>
      </c>
      <c r="E436" s="101">
        <v>23838.22</v>
      </c>
      <c r="F436" s="54">
        <v>20555.29</v>
      </c>
      <c r="G436" s="54">
        <v>21990.0</v>
      </c>
      <c r="H436" s="41">
        <f t="shared" si="1"/>
        <v>22127.83667</v>
      </c>
      <c r="I436" s="49">
        <f t="shared" si="10"/>
        <v>0.1597121714</v>
      </c>
      <c r="J436" s="43">
        <f t="shared" si="42"/>
        <v>0.07729555126</v>
      </c>
      <c r="K436" s="182">
        <v>45943.0</v>
      </c>
      <c r="L436" s="50">
        <f>EDATE(K435,6)</f>
        <v>46125</v>
      </c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ht="15.75" customHeight="1">
      <c r="A437" s="9"/>
      <c r="B437" s="97">
        <v>1.0000225E8</v>
      </c>
      <c r="C437" s="98" t="s">
        <v>551</v>
      </c>
      <c r="D437" s="113"/>
      <c r="E437" s="132">
        <v>45979.0</v>
      </c>
      <c r="F437" s="57">
        <v>44799.84</v>
      </c>
      <c r="G437" s="57">
        <v>44500.0</v>
      </c>
      <c r="H437" s="41">
        <f t="shared" si="1"/>
        <v>45092.94667</v>
      </c>
      <c r="I437" s="49">
        <f t="shared" si="10"/>
        <v>0.03323595506</v>
      </c>
      <c r="J437" s="43">
        <f t="shared" si="42"/>
        <v>0.01964948842</v>
      </c>
      <c r="K437" s="58">
        <v>45943.0</v>
      </c>
      <c r="L437" s="50">
        <f t="shared" ref="L437:L500" si="43">EDATE(K437,6)</f>
        <v>46125</v>
      </c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ht="15.75" customHeight="1">
      <c r="A438" s="9"/>
      <c r="B438" s="97">
        <v>1.0000225E8</v>
      </c>
      <c r="C438" s="98" t="s">
        <v>551</v>
      </c>
      <c r="D438" s="113" t="s">
        <v>552</v>
      </c>
      <c r="E438" s="132">
        <v>5900.0</v>
      </c>
      <c r="F438" s="57">
        <v>5451.0</v>
      </c>
      <c r="G438" s="57">
        <v>5150.0</v>
      </c>
      <c r="H438" s="41">
        <f t="shared" si="1"/>
        <v>5500.333333</v>
      </c>
      <c r="I438" s="49">
        <f t="shared" si="10"/>
        <v>0.145631068</v>
      </c>
      <c r="J438" s="43"/>
      <c r="K438" s="58">
        <v>45943.0</v>
      </c>
      <c r="L438" s="50">
        <f t="shared" si="43"/>
        <v>46125</v>
      </c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ht="15.75" customHeight="1">
      <c r="A439" s="9"/>
      <c r="B439" s="97">
        <v>1.00010717E8</v>
      </c>
      <c r="C439" s="98" t="s">
        <v>553</v>
      </c>
      <c r="D439" s="113" t="s">
        <v>552</v>
      </c>
      <c r="E439" s="132">
        <v>2959.99</v>
      </c>
      <c r="F439" s="57">
        <v>2690.0</v>
      </c>
      <c r="G439" s="57">
        <v>2773.0</v>
      </c>
      <c r="H439" s="41">
        <f t="shared" si="1"/>
        <v>2807.663333</v>
      </c>
      <c r="I439" s="49">
        <f t="shared" si="10"/>
        <v>0.1003680297</v>
      </c>
      <c r="J439" s="43"/>
      <c r="K439" s="58">
        <v>45944.0</v>
      </c>
      <c r="L439" s="50">
        <f t="shared" si="43"/>
        <v>46126</v>
      </c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ht="15.75" customHeight="1">
      <c r="A440" s="9"/>
      <c r="B440" s="97">
        <v>1.00010717E8</v>
      </c>
      <c r="C440" s="98" t="s">
        <v>553</v>
      </c>
      <c r="D440" s="113" t="s">
        <v>554</v>
      </c>
      <c r="E440" s="132">
        <v>3770.1</v>
      </c>
      <c r="F440" s="57">
        <v>3550.0</v>
      </c>
      <c r="G440" s="57">
        <v>3550.0</v>
      </c>
      <c r="H440" s="41">
        <f t="shared" si="1"/>
        <v>3623.366667</v>
      </c>
      <c r="I440" s="49">
        <f t="shared" si="10"/>
        <v>0.062</v>
      </c>
      <c r="J440" s="43"/>
      <c r="K440" s="58">
        <v>45944.0</v>
      </c>
      <c r="L440" s="50">
        <f t="shared" si="43"/>
        <v>46126</v>
      </c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ht="15.75" customHeight="1">
      <c r="A441" s="9"/>
      <c r="B441" s="97">
        <v>1.00012829E8</v>
      </c>
      <c r="C441" s="98" t="s">
        <v>555</v>
      </c>
      <c r="D441" s="83"/>
      <c r="E441" s="101">
        <v>1179.55</v>
      </c>
      <c r="F441" s="54">
        <v>1050.0</v>
      </c>
      <c r="G441" s="54">
        <v>1188.42</v>
      </c>
      <c r="H441" s="41">
        <f t="shared" si="1"/>
        <v>1139.323333</v>
      </c>
      <c r="I441" s="49">
        <f t="shared" si="10"/>
        <v>0.1318285714</v>
      </c>
      <c r="J441" s="43">
        <f t="shared" ref="J441:J468" si="44">IF(ISERROR(MAX(E441:G441)/H441-1),"",(MAX(E441:G441)/H441-1))</f>
        <v>0.04309282995</v>
      </c>
      <c r="K441" s="182">
        <v>45943.0</v>
      </c>
      <c r="L441" s="50">
        <f t="shared" si="43"/>
        <v>46125</v>
      </c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ht="15.75" customHeight="1">
      <c r="A442" s="9"/>
      <c r="B442" s="97">
        <v>1.00013113E8</v>
      </c>
      <c r="C442" s="98" t="s">
        <v>556</v>
      </c>
      <c r="D442" s="113" t="s">
        <v>557</v>
      </c>
      <c r="E442" s="101">
        <v>1447.9</v>
      </c>
      <c r="F442" s="54">
        <v>1369.77</v>
      </c>
      <c r="G442" s="54">
        <v>1275.0</v>
      </c>
      <c r="H442" s="41">
        <f t="shared" si="1"/>
        <v>1364.223333</v>
      </c>
      <c r="I442" s="49">
        <f t="shared" si="10"/>
        <v>0.1356078431</v>
      </c>
      <c r="J442" s="43">
        <f t="shared" si="44"/>
        <v>0.06133648694</v>
      </c>
      <c r="K442" s="58">
        <v>45943.0</v>
      </c>
      <c r="L442" s="50">
        <f t="shared" si="43"/>
        <v>46125</v>
      </c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ht="15.75" customHeight="1">
      <c r="A443" s="9"/>
      <c r="B443" s="97">
        <v>1.0001261E8</v>
      </c>
      <c r="C443" s="98" t="s">
        <v>558</v>
      </c>
      <c r="D443" s="83"/>
      <c r="E443" s="101">
        <v>988.0</v>
      </c>
      <c r="F443" s="54">
        <v>872.98</v>
      </c>
      <c r="G443" s="54">
        <v>999.0</v>
      </c>
      <c r="H443" s="41">
        <f t="shared" si="1"/>
        <v>953.3266667</v>
      </c>
      <c r="I443" s="49">
        <f t="shared" si="10"/>
        <v>0.1443561135</v>
      </c>
      <c r="J443" s="43">
        <f t="shared" si="44"/>
        <v>0.04790942594</v>
      </c>
      <c r="K443" s="58">
        <v>45943.0</v>
      </c>
      <c r="L443" s="50">
        <f t="shared" si="43"/>
        <v>46125</v>
      </c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ht="15.75" customHeight="1">
      <c r="A444" s="9"/>
      <c r="B444" s="97">
        <v>1.00013113E8</v>
      </c>
      <c r="C444" s="98" t="s">
        <v>556</v>
      </c>
      <c r="D444" s="128"/>
      <c r="E444" s="101">
        <v>2545.0</v>
      </c>
      <c r="F444" s="54">
        <v>2442.0</v>
      </c>
      <c r="G444" s="54">
        <v>2442.0</v>
      </c>
      <c r="H444" s="41">
        <f t="shared" si="1"/>
        <v>2476.333333</v>
      </c>
      <c r="I444" s="49">
        <f t="shared" si="10"/>
        <v>0.04217854218</v>
      </c>
      <c r="J444" s="43">
        <f t="shared" si="44"/>
        <v>0.02772916947</v>
      </c>
      <c r="K444" s="58">
        <v>45943.0</v>
      </c>
      <c r="L444" s="50">
        <f t="shared" si="43"/>
        <v>46125</v>
      </c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ht="15.75" customHeight="1">
      <c r="A445" s="9"/>
      <c r="B445" s="97">
        <v>1.00012873E8</v>
      </c>
      <c r="C445" s="98" t="s">
        <v>559</v>
      </c>
      <c r="D445" s="83"/>
      <c r="E445" s="101">
        <v>77714.61</v>
      </c>
      <c r="F445" s="54">
        <v>70371.51</v>
      </c>
      <c r="G445" s="54">
        <v>71595.37</v>
      </c>
      <c r="H445" s="41">
        <f t="shared" si="1"/>
        <v>73227.16333</v>
      </c>
      <c r="I445" s="49">
        <f t="shared" si="10"/>
        <v>0.1043476259</v>
      </c>
      <c r="J445" s="43">
        <f t="shared" si="44"/>
        <v>0.06128117576</v>
      </c>
      <c r="K445" s="58">
        <v>45944.0</v>
      </c>
      <c r="L445" s="50">
        <f t="shared" si="43"/>
        <v>46126</v>
      </c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ht="15.75" customHeight="1">
      <c r="A446" s="9"/>
      <c r="B446" s="97">
        <v>1.00012751E8</v>
      </c>
      <c r="C446" s="98" t="s">
        <v>560</v>
      </c>
      <c r="D446" s="83"/>
      <c r="E446" s="101">
        <v>1107.96</v>
      </c>
      <c r="F446" s="54">
        <v>1107.96</v>
      </c>
      <c r="G446" s="54">
        <v>1154.99</v>
      </c>
      <c r="H446" s="41">
        <f t="shared" si="1"/>
        <v>1123.636667</v>
      </c>
      <c r="I446" s="49">
        <f t="shared" si="10"/>
        <v>0.04244738077</v>
      </c>
      <c r="J446" s="43">
        <f t="shared" si="44"/>
        <v>0.02790344447</v>
      </c>
      <c r="K446" s="58">
        <v>45944.0</v>
      </c>
      <c r="L446" s="50">
        <f t="shared" si="43"/>
        <v>46126</v>
      </c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ht="15.75" customHeight="1">
      <c r="A447" s="9"/>
      <c r="B447" s="97">
        <v>1.00012783E8</v>
      </c>
      <c r="C447" s="98" t="s">
        <v>561</v>
      </c>
      <c r="D447" s="83"/>
      <c r="E447" s="132">
        <v>89.19</v>
      </c>
      <c r="F447" s="57">
        <v>79.36</v>
      </c>
      <c r="G447" s="57">
        <v>82.0</v>
      </c>
      <c r="H447" s="41">
        <f t="shared" si="1"/>
        <v>83.51666667</v>
      </c>
      <c r="I447" s="49">
        <f t="shared" si="10"/>
        <v>0.1238659274</v>
      </c>
      <c r="J447" s="43">
        <f t="shared" si="44"/>
        <v>0.06793055278</v>
      </c>
      <c r="K447" s="58">
        <v>45944.0</v>
      </c>
      <c r="L447" s="50">
        <f t="shared" si="43"/>
        <v>46126</v>
      </c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ht="15.75" customHeight="1">
      <c r="A448" s="9"/>
      <c r="B448" s="97">
        <v>1.00012806E8</v>
      </c>
      <c r="C448" s="98" t="s">
        <v>562</v>
      </c>
      <c r="D448" s="83"/>
      <c r="E448" s="101">
        <v>142.7</v>
      </c>
      <c r="F448" s="54">
        <v>152.0</v>
      </c>
      <c r="G448" s="54">
        <v>136.67</v>
      </c>
      <c r="H448" s="41">
        <f t="shared" si="1"/>
        <v>143.79</v>
      </c>
      <c r="I448" s="49">
        <f t="shared" si="10"/>
        <v>0.1121679959</v>
      </c>
      <c r="J448" s="43">
        <f t="shared" si="44"/>
        <v>0.05709715557</v>
      </c>
      <c r="K448" s="58">
        <v>45944.0</v>
      </c>
      <c r="L448" s="50">
        <f t="shared" si="43"/>
        <v>46126</v>
      </c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ht="15.75" customHeight="1">
      <c r="A449" s="9"/>
      <c r="B449" s="97">
        <v>1.00012841E8</v>
      </c>
      <c r="C449" s="98" t="s">
        <v>563</v>
      </c>
      <c r="D449" s="83"/>
      <c r="E449" s="132">
        <v>9790.0</v>
      </c>
      <c r="F449" s="57">
        <v>9842.9</v>
      </c>
      <c r="G449" s="57">
        <v>9898.0</v>
      </c>
      <c r="H449" s="41">
        <f t="shared" si="1"/>
        <v>9843.633333</v>
      </c>
      <c r="I449" s="49">
        <f t="shared" si="10"/>
        <v>0.01103166496</v>
      </c>
      <c r="J449" s="43">
        <f t="shared" si="44"/>
        <v>0.005523028421</v>
      </c>
      <c r="K449" s="58">
        <v>45944.0</v>
      </c>
      <c r="L449" s="50">
        <f t="shared" si="43"/>
        <v>46126</v>
      </c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ht="15.75" customHeight="1">
      <c r="A450" s="9"/>
      <c r="B450" s="97"/>
      <c r="C450" s="98"/>
      <c r="D450" s="83"/>
      <c r="E450" s="101">
        <v>9490.0</v>
      </c>
      <c r="F450" s="54">
        <v>7990.0</v>
      </c>
      <c r="G450" s="54">
        <v>9932.42</v>
      </c>
      <c r="H450" s="41">
        <f t="shared" si="1"/>
        <v>9137.473333</v>
      </c>
      <c r="I450" s="49">
        <f t="shared" si="10"/>
        <v>0.243106383</v>
      </c>
      <c r="J450" s="43">
        <f t="shared" si="44"/>
        <v>0.08699852111</v>
      </c>
      <c r="K450" s="58">
        <v>45943.0</v>
      </c>
      <c r="L450" s="50">
        <f t="shared" si="43"/>
        <v>46125</v>
      </c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ht="15.75" customHeight="1">
      <c r="A451" s="9"/>
      <c r="B451" s="97">
        <v>1.00012843E8</v>
      </c>
      <c r="C451" s="98" t="s">
        <v>564</v>
      </c>
      <c r="D451" s="83"/>
      <c r="E451" s="132">
        <v>299.8</v>
      </c>
      <c r="F451" s="57">
        <v>299.0</v>
      </c>
      <c r="G451" s="57">
        <v>304.0</v>
      </c>
      <c r="H451" s="41">
        <f t="shared" si="1"/>
        <v>300.9333333</v>
      </c>
      <c r="I451" s="49">
        <f t="shared" si="10"/>
        <v>0.01672240803</v>
      </c>
      <c r="J451" s="43">
        <f t="shared" si="44"/>
        <v>0.01019051839</v>
      </c>
      <c r="K451" s="58">
        <v>45944.0</v>
      </c>
      <c r="L451" s="50">
        <f t="shared" si="43"/>
        <v>46126</v>
      </c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ht="15.75" customHeight="1">
      <c r="A452" s="9"/>
      <c r="B452" s="97">
        <v>1.00013093E8</v>
      </c>
      <c r="C452" s="98" t="s">
        <v>565</v>
      </c>
      <c r="D452" s="83"/>
      <c r="E452" s="101">
        <v>30500.0</v>
      </c>
      <c r="F452" s="54">
        <v>35499.0</v>
      </c>
      <c r="G452" s="54">
        <v>31110.71</v>
      </c>
      <c r="H452" s="41">
        <f t="shared" si="1"/>
        <v>32369.90333</v>
      </c>
      <c r="I452" s="49">
        <f t="shared" si="10"/>
        <v>0.1639016393</v>
      </c>
      <c r="J452" s="43">
        <f t="shared" si="44"/>
        <v>0.09666685237</v>
      </c>
      <c r="K452" s="58">
        <v>45944.0</v>
      </c>
      <c r="L452" s="50">
        <f t="shared" si="43"/>
        <v>46126</v>
      </c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ht="20.25" customHeight="1">
      <c r="A453" s="9"/>
      <c r="B453" s="97">
        <v>1.00002274E8</v>
      </c>
      <c r="C453" s="98" t="s">
        <v>566</v>
      </c>
      <c r="D453" s="83"/>
      <c r="E453" s="101">
        <v>1149.0</v>
      </c>
      <c r="F453" s="54">
        <v>1378.55</v>
      </c>
      <c r="G453" s="54">
        <v>1533.22</v>
      </c>
      <c r="H453" s="41">
        <f t="shared" si="1"/>
        <v>1353.59</v>
      </c>
      <c r="I453" s="49">
        <f t="shared" si="10"/>
        <v>0.3343951262</v>
      </c>
      <c r="J453" s="43">
        <f t="shared" si="44"/>
        <v>0.1327063586</v>
      </c>
      <c r="K453" s="58">
        <v>45944.0</v>
      </c>
      <c r="L453" s="50">
        <f t="shared" si="43"/>
        <v>46126</v>
      </c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ht="15.75" customHeight="1">
      <c r="A454" s="9"/>
      <c r="B454" s="97">
        <v>1.00010841E8</v>
      </c>
      <c r="C454" s="98" t="s">
        <v>567</v>
      </c>
      <c r="D454" s="83"/>
      <c r="E454" s="101" t="s">
        <v>568</v>
      </c>
      <c r="F454" s="54">
        <v>1903.41</v>
      </c>
      <c r="G454" s="54">
        <v>1999.0</v>
      </c>
      <c r="H454" s="41">
        <f t="shared" si="1"/>
        <v>1300.803333</v>
      </c>
      <c r="I454" s="49">
        <f t="shared" si="10"/>
        <v>0.05022039392</v>
      </c>
      <c r="J454" s="43">
        <f t="shared" si="44"/>
        <v>0.5367426795</v>
      </c>
      <c r="K454" s="58">
        <v>45944.0</v>
      </c>
      <c r="L454" s="50">
        <f t="shared" si="43"/>
        <v>46126</v>
      </c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ht="15.75" customHeight="1">
      <c r="A455" s="9"/>
      <c r="B455" s="97">
        <v>1.00012906E8</v>
      </c>
      <c r="C455" s="179" t="s">
        <v>569</v>
      </c>
      <c r="D455" s="83"/>
      <c r="E455" s="101">
        <v>21688.28</v>
      </c>
      <c r="F455" s="54">
        <v>26900.0</v>
      </c>
      <c r="G455" s="54">
        <v>22468.39</v>
      </c>
      <c r="H455" s="41">
        <f t="shared" si="1"/>
        <v>23685.55667</v>
      </c>
      <c r="I455" s="49">
        <f t="shared" si="10"/>
        <v>0.2403012134</v>
      </c>
      <c r="J455" s="43">
        <f t="shared" si="44"/>
        <v>0.1357132272</v>
      </c>
      <c r="K455" s="58">
        <v>45944.0</v>
      </c>
      <c r="L455" s="50">
        <f t="shared" si="43"/>
        <v>46126</v>
      </c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ht="15.75" customHeight="1">
      <c r="A456" s="9"/>
      <c r="B456" s="97">
        <v>1.00010105E8</v>
      </c>
      <c r="C456" s="98" t="s">
        <v>570</v>
      </c>
      <c r="D456" s="83"/>
      <c r="E456" s="101">
        <v>510.0</v>
      </c>
      <c r="F456" s="54">
        <v>540.0</v>
      </c>
      <c r="G456" s="54">
        <v>629.0</v>
      </c>
      <c r="H456" s="41">
        <f t="shared" si="1"/>
        <v>559.6666667</v>
      </c>
      <c r="I456" s="49">
        <f t="shared" si="10"/>
        <v>0.2333333333</v>
      </c>
      <c r="J456" s="43">
        <f t="shared" si="44"/>
        <v>0.1238832638</v>
      </c>
      <c r="K456" s="78"/>
      <c r="L456" s="50">
        <f t="shared" si="43"/>
        <v>182</v>
      </c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ht="15.75" customHeight="1">
      <c r="A457" s="9"/>
      <c r="B457" s="97">
        <v>1.00012354E8</v>
      </c>
      <c r="C457" s="98" t="s">
        <v>571</v>
      </c>
      <c r="D457" s="83"/>
      <c r="E457" s="132">
        <v>1051.63</v>
      </c>
      <c r="F457" s="57">
        <v>900.78</v>
      </c>
      <c r="G457" s="57">
        <v>910.48</v>
      </c>
      <c r="H457" s="41">
        <f t="shared" si="1"/>
        <v>954.2966667</v>
      </c>
      <c r="I457" s="49">
        <f t="shared" si="10"/>
        <v>0.1674659739</v>
      </c>
      <c r="J457" s="43">
        <f t="shared" si="44"/>
        <v>0.1019948374</v>
      </c>
      <c r="K457" s="78"/>
      <c r="L457" s="50">
        <f t="shared" si="43"/>
        <v>182</v>
      </c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ht="15.75" customHeight="1">
      <c r="A458" s="9"/>
      <c r="B458" s="97">
        <v>1.00010711E8</v>
      </c>
      <c r="C458" s="98" t="s">
        <v>572</v>
      </c>
      <c r="D458" s="83"/>
      <c r="E458" s="132">
        <v>9457.0</v>
      </c>
      <c r="F458" s="57">
        <v>10835.8</v>
      </c>
      <c r="G458" s="57">
        <v>10836.0</v>
      </c>
      <c r="H458" s="41">
        <f t="shared" si="1"/>
        <v>10376.26667</v>
      </c>
      <c r="I458" s="49">
        <f t="shared" si="10"/>
        <v>0.1458179127</v>
      </c>
      <c r="J458" s="43">
        <f t="shared" si="44"/>
        <v>0.04430623731</v>
      </c>
      <c r="K458" s="58">
        <v>45944.0</v>
      </c>
      <c r="L458" s="50">
        <f t="shared" si="43"/>
        <v>46126</v>
      </c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ht="18.75" customHeight="1">
      <c r="A459" s="9"/>
      <c r="B459" s="97">
        <v>1.00010571E8</v>
      </c>
      <c r="C459" s="98" t="s">
        <v>573</v>
      </c>
      <c r="D459" s="83"/>
      <c r="E459" s="132">
        <v>41.6</v>
      </c>
      <c r="F459" s="57">
        <v>43.9</v>
      </c>
      <c r="G459" s="57">
        <v>39.9</v>
      </c>
      <c r="H459" s="41">
        <f t="shared" si="1"/>
        <v>41.8</v>
      </c>
      <c r="I459" s="49">
        <f t="shared" si="10"/>
        <v>0.1002506266</v>
      </c>
      <c r="J459" s="43">
        <f t="shared" si="44"/>
        <v>0.05023923445</v>
      </c>
      <c r="K459" s="58">
        <v>45945.0</v>
      </c>
      <c r="L459" s="50">
        <f t="shared" si="43"/>
        <v>46127</v>
      </c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ht="15.75" customHeight="1">
      <c r="A460" s="9"/>
      <c r="B460" s="97">
        <v>1.00010572E8</v>
      </c>
      <c r="C460" s="98" t="s">
        <v>574</v>
      </c>
      <c r="D460" s="83"/>
      <c r="E460" s="101">
        <v>45.9</v>
      </c>
      <c r="F460" s="54">
        <v>47.9</v>
      </c>
      <c r="G460" s="54">
        <v>47.6</v>
      </c>
      <c r="H460" s="41">
        <f t="shared" si="1"/>
        <v>47.13333333</v>
      </c>
      <c r="I460" s="49">
        <f t="shared" si="10"/>
        <v>0.04357298475</v>
      </c>
      <c r="J460" s="43">
        <f t="shared" si="44"/>
        <v>0.01626591231</v>
      </c>
      <c r="K460" s="58">
        <v>45945.0</v>
      </c>
      <c r="L460" s="50">
        <f t="shared" si="43"/>
        <v>46127</v>
      </c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ht="15.75" customHeight="1">
      <c r="A461" s="9"/>
      <c r="B461" s="137">
        <v>1.00013082E8</v>
      </c>
      <c r="C461" s="189" t="s">
        <v>575</v>
      </c>
      <c r="D461" s="113" t="s">
        <v>576</v>
      </c>
      <c r="E461" s="101">
        <v>931.61</v>
      </c>
      <c r="F461" s="54">
        <v>1178.78</v>
      </c>
      <c r="G461" s="54">
        <v>931.61</v>
      </c>
      <c r="H461" s="41">
        <f t="shared" si="1"/>
        <v>1014</v>
      </c>
      <c r="I461" s="49">
        <f t="shared" si="10"/>
        <v>0.265314885</v>
      </c>
      <c r="J461" s="43">
        <f t="shared" si="44"/>
        <v>0.162504931</v>
      </c>
      <c r="K461" s="78"/>
      <c r="L461" s="50">
        <f t="shared" si="43"/>
        <v>182</v>
      </c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ht="15.75" customHeight="1">
      <c r="A462" s="9"/>
      <c r="B462" s="137">
        <v>1.00013082E8</v>
      </c>
      <c r="C462" s="189" t="s">
        <v>575</v>
      </c>
      <c r="D462" s="113" t="s">
        <v>577</v>
      </c>
      <c r="E462" s="101">
        <v>3790.0</v>
      </c>
      <c r="F462" s="54">
        <v>3445.44</v>
      </c>
      <c r="G462" s="54">
        <v>3589.0</v>
      </c>
      <c r="H462" s="41">
        <f t="shared" si="1"/>
        <v>3608.146667</v>
      </c>
      <c r="I462" s="49">
        <f t="shared" si="10"/>
        <v>0.1000046438</v>
      </c>
      <c r="J462" s="43">
        <f t="shared" si="44"/>
        <v>0.05040075976</v>
      </c>
      <c r="K462" s="78"/>
      <c r="L462" s="50">
        <f t="shared" si="43"/>
        <v>182</v>
      </c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ht="15.75" customHeight="1">
      <c r="A463" s="9"/>
      <c r="B463" s="137">
        <v>1.00013082E8</v>
      </c>
      <c r="C463" s="189" t="s">
        <v>575</v>
      </c>
      <c r="D463" s="113" t="s">
        <v>578</v>
      </c>
      <c r="E463" s="101">
        <v>2100.0</v>
      </c>
      <c r="F463" s="54">
        <v>2390.0</v>
      </c>
      <c r="G463" s="54">
        <v>2489.0</v>
      </c>
      <c r="H463" s="41">
        <f t="shared" si="1"/>
        <v>2326.333333</v>
      </c>
      <c r="I463" s="49">
        <f t="shared" si="10"/>
        <v>0.1852380952</v>
      </c>
      <c r="J463" s="43">
        <f t="shared" si="44"/>
        <v>0.06992405789</v>
      </c>
      <c r="K463" s="78"/>
      <c r="L463" s="50">
        <f t="shared" si="43"/>
        <v>182</v>
      </c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ht="15.75" customHeight="1">
      <c r="A464" s="9"/>
      <c r="B464" s="137">
        <v>1.00013082E8</v>
      </c>
      <c r="C464" s="189" t="s">
        <v>575</v>
      </c>
      <c r="D464" s="113" t="s">
        <v>579</v>
      </c>
      <c r="E464" s="101">
        <v>4526.55</v>
      </c>
      <c r="F464" s="54">
        <v>3914.91</v>
      </c>
      <c r="G464" s="54">
        <v>3505.5</v>
      </c>
      <c r="H464" s="41">
        <f t="shared" si="1"/>
        <v>3982.32</v>
      </c>
      <c r="I464" s="49">
        <f t="shared" si="10"/>
        <v>0.2912708601</v>
      </c>
      <c r="J464" s="43">
        <f t="shared" si="44"/>
        <v>0.136661544</v>
      </c>
      <c r="K464" s="78"/>
      <c r="L464" s="50">
        <f t="shared" si="43"/>
        <v>182</v>
      </c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ht="15.75" customHeight="1">
      <c r="A465" s="9"/>
      <c r="B465" s="150">
        <v>1.00013082E8</v>
      </c>
      <c r="C465" s="270" t="s">
        <v>575</v>
      </c>
      <c r="D465" s="152" t="s">
        <v>580</v>
      </c>
      <c r="E465" s="171">
        <v>7900.0</v>
      </c>
      <c r="F465" s="172">
        <v>9900.0</v>
      </c>
      <c r="G465" s="172"/>
      <c r="H465" s="155">
        <f t="shared" si="1"/>
        <v>5933.333333</v>
      </c>
      <c r="I465" s="156">
        <f t="shared" si="10"/>
        <v>0.253164557</v>
      </c>
      <c r="J465" s="157">
        <f t="shared" si="44"/>
        <v>0.6685393258</v>
      </c>
      <c r="K465" s="165"/>
      <c r="L465" s="159">
        <f t="shared" si="43"/>
        <v>182</v>
      </c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ht="21.0" customHeight="1">
      <c r="A466" s="9"/>
      <c r="B466" s="97">
        <v>1.00010579E8</v>
      </c>
      <c r="C466" s="98" t="s">
        <v>581</v>
      </c>
      <c r="D466" s="83"/>
      <c r="E466" s="101">
        <v>56.9</v>
      </c>
      <c r="F466" s="54">
        <v>46.0</v>
      </c>
      <c r="G466" s="54">
        <v>52.33</v>
      </c>
      <c r="H466" s="41">
        <f t="shared" si="1"/>
        <v>51.74333333</v>
      </c>
      <c r="I466" s="49">
        <f t="shared" si="10"/>
        <v>0.2369565217</v>
      </c>
      <c r="J466" s="43">
        <f t="shared" si="44"/>
        <v>0.09965857115</v>
      </c>
      <c r="K466" s="58">
        <v>45945.0</v>
      </c>
      <c r="L466" s="50">
        <f t="shared" si="43"/>
        <v>46127</v>
      </c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ht="15.75" customHeight="1">
      <c r="A467" s="9"/>
      <c r="B467" s="97">
        <v>1.00010626E8</v>
      </c>
      <c r="C467" s="98" t="s">
        <v>582</v>
      </c>
      <c r="D467" s="83"/>
      <c r="E467" s="101">
        <v>64.9</v>
      </c>
      <c r="F467" s="54">
        <v>63.66</v>
      </c>
      <c r="G467" s="54">
        <v>63.99</v>
      </c>
      <c r="H467" s="41">
        <f t="shared" si="1"/>
        <v>64.18333333</v>
      </c>
      <c r="I467" s="49">
        <f t="shared" si="10"/>
        <v>0.01947847942</v>
      </c>
      <c r="J467" s="43">
        <f t="shared" si="44"/>
        <v>0.01116593093</v>
      </c>
      <c r="K467" s="58">
        <v>45945.0</v>
      </c>
      <c r="L467" s="50">
        <f t="shared" si="43"/>
        <v>46127</v>
      </c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ht="15.75" customHeight="1">
      <c r="A468" s="9"/>
      <c r="B468" s="97">
        <v>1.00012856E8</v>
      </c>
      <c r="C468" s="98" t="s">
        <v>583</v>
      </c>
      <c r="D468" s="83"/>
      <c r="E468" s="101">
        <v>23.7</v>
      </c>
      <c r="F468" s="54">
        <v>23.99</v>
      </c>
      <c r="G468" s="54">
        <v>23.6</v>
      </c>
      <c r="H468" s="41">
        <f t="shared" si="1"/>
        <v>23.76333333</v>
      </c>
      <c r="I468" s="49">
        <f t="shared" si="10"/>
        <v>0.01652542373</v>
      </c>
      <c r="J468" s="43">
        <f t="shared" si="44"/>
        <v>0.009538504699</v>
      </c>
      <c r="K468" s="58">
        <v>45945.0</v>
      </c>
      <c r="L468" s="50">
        <f t="shared" si="43"/>
        <v>46127</v>
      </c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ht="15.75" customHeight="1">
      <c r="A469" s="9"/>
      <c r="B469" s="97">
        <v>1.00012857E8</v>
      </c>
      <c r="C469" s="98" t="s">
        <v>584</v>
      </c>
      <c r="D469" s="83"/>
      <c r="E469" s="101">
        <v>81.39</v>
      </c>
      <c r="F469" s="54">
        <v>69.9</v>
      </c>
      <c r="G469" s="54">
        <v>74.18</v>
      </c>
      <c r="H469" s="41">
        <f t="shared" si="1"/>
        <v>75.15666667</v>
      </c>
      <c r="I469" s="49">
        <f t="shared" si="10"/>
        <v>0.1643776824</v>
      </c>
      <c r="J469" s="43"/>
      <c r="K469" s="58">
        <v>45945.0</v>
      </c>
      <c r="L469" s="50">
        <f t="shared" si="43"/>
        <v>46127</v>
      </c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ht="15.75" customHeight="1">
      <c r="A470" s="9"/>
      <c r="B470" s="97">
        <v>1.00012883E8</v>
      </c>
      <c r="C470" s="98" t="s">
        <v>585</v>
      </c>
      <c r="D470" s="83"/>
      <c r="E470" s="101">
        <v>280.0</v>
      </c>
      <c r="F470" s="54">
        <v>352.0</v>
      </c>
      <c r="G470" s="54">
        <v>296.0</v>
      </c>
      <c r="H470" s="41">
        <f t="shared" si="1"/>
        <v>309.3333333</v>
      </c>
      <c r="I470" s="49">
        <f t="shared" si="10"/>
        <v>0.2571428571</v>
      </c>
      <c r="J470" s="43">
        <f t="shared" ref="J470:J472" si="45">IF(ISERROR(MAX(E470:G470)/H470-1),"",(MAX(E470:G470)/H470-1))</f>
        <v>0.1379310345</v>
      </c>
      <c r="K470" s="58">
        <v>45945.0</v>
      </c>
      <c r="L470" s="50">
        <f t="shared" si="43"/>
        <v>46127</v>
      </c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ht="15.75" customHeight="1">
      <c r="A471" s="9"/>
      <c r="B471" s="193">
        <v>1.00010239E8</v>
      </c>
      <c r="C471" s="189" t="s">
        <v>586</v>
      </c>
      <c r="D471" s="113"/>
      <c r="E471" s="101">
        <v>965.0</v>
      </c>
      <c r="F471" s="54">
        <v>799.0</v>
      </c>
      <c r="G471" s="54">
        <v>799.0</v>
      </c>
      <c r="H471" s="41">
        <f t="shared" si="1"/>
        <v>854.3333333</v>
      </c>
      <c r="I471" s="49">
        <f t="shared" si="10"/>
        <v>0.2077596996</v>
      </c>
      <c r="J471" s="43">
        <f t="shared" si="45"/>
        <v>0.1295357004</v>
      </c>
      <c r="K471" s="58">
        <v>45945.0</v>
      </c>
      <c r="L471" s="50">
        <f t="shared" si="43"/>
        <v>46127</v>
      </c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ht="15.75" customHeight="1">
      <c r="A472" s="9"/>
      <c r="B472" s="97">
        <v>1.00002319E8</v>
      </c>
      <c r="C472" s="98" t="s">
        <v>588</v>
      </c>
      <c r="D472" s="83"/>
      <c r="E472" s="132">
        <v>1590.0</v>
      </c>
      <c r="F472" s="57">
        <v>2000.0</v>
      </c>
      <c r="G472" s="57">
        <v>1750.0</v>
      </c>
      <c r="H472" s="41">
        <f t="shared" si="1"/>
        <v>1780</v>
      </c>
      <c r="I472" s="49">
        <f t="shared" si="10"/>
        <v>0.2578616352</v>
      </c>
      <c r="J472" s="43">
        <f t="shared" si="45"/>
        <v>0.1235955056</v>
      </c>
      <c r="K472" s="58">
        <v>45945.0</v>
      </c>
      <c r="L472" s="50">
        <f t="shared" si="43"/>
        <v>46127</v>
      </c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ht="15.75" customHeight="1">
      <c r="A473" s="9"/>
      <c r="B473" s="97">
        <v>1.000126E8</v>
      </c>
      <c r="C473" s="98" t="s">
        <v>590</v>
      </c>
      <c r="D473" s="83"/>
      <c r="E473" s="101">
        <v>2379.0</v>
      </c>
      <c r="F473" s="54">
        <v>2423.22</v>
      </c>
      <c r="G473" s="54">
        <v>2399.0</v>
      </c>
      <c r="H473" s="41">
        <f t="shared" si="1"/>
        <v>2400.406667</v>
      </c>
      <c r="I473" s="49">
        <f t="shared" si="10"/>
        <v>0.01858764187</v>
      </c>
      <c r="J473" s="43"/>
      <c r="K473" s="58">
        <v>45945.0</v>
      </c>
      <c r="L473" s="50">
        <f t="shared" si="43"/>
        <v>46127</v>
      </c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ht="15.75" customHeight="1">
      <c r="A474" s="9"/>
      <c r="B474" s="97">
        <v>1.00012605E8</v>
      </c>
      <c r="C474" s="98" t="s">
        <v>591</v>
      </c>
      <c r="D474" s="83"/>
      <c r="E474" s="101">
        <v>32.4</v>
      </c>
      <c r="F474" s="54">
        <v>32.35</v>
      </c>
      <c r="G474" s="54">
        <v>29.9</v>
      </c>
      <c r="H474" s="41">
        <f t="shared" si="1"/>
        <v>31.55</v>
      </c>
      <c r="I474" s="49">
        <f t="shared" si="10"/>
        <v>0.08361204013</v>
      </c>
      <c r="J474" s="43">
        <f t="shared" ref="J474:J493" si="46">IF(ISERROR(MAX(E474:G474)/H474-1),"",(MAX(E474:G474)/H474-1))</f>
        <v>0.02694136292</v>
      </c>
      <c r="K474" s="58">
        <v>45945.0</v>
      </c>
      <c r="L474" s="50">
        <f t="shared" si="43"/>
        <v>46127</v>
      </c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ht="15.75" customHeight="1">
      <c r="A475" s="9"/>
      <c r="B475" s="97">
        <v>1.00013123E8</v>
      </c>
      <c r="C475" s="98" t="s">
        <v>592</v>
      </c>
      <c r="D475" s="83"/>
      <c r="E475" s="101">
        <v>9831.58</v>
      </c>
      <c r="F475" s="138">
        <v>10000.0</v>
      </c>
      <c r="G475" s="54">
        <v>8961.54</v>
      </c>
      <c r="H475" s="41">
        <f t="shared" si="1"/>
        <v>9597.706667</v>
      </c>
      <c r="I475" s="49">
        <f t="shared" si="10"/>
        <v>0.1158796368</v>
      </c>
      <c r="J475" s="43">
        <f t="shared" si="46"/>
        <v>0.04191556872</v>
      </c>
      <c r="K475" s="58">
        <v>45945.0</v>
      </c>
      <c r="L475" s="50">
        <f t="shared" si="43"/>
        <v>46127</v>
      </c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ht="15.75" customHeight="1">
      <c r="A476" s="9"/>
      <c r="B476" s="97">
        <v>1.00002315E8</v>
      </c>
      <c r="C476" s="98" t="s">
        <v>593</v>
      </c>
      <c r="D476" s="83"/>
      <c r="E476" s="101">
        <v>1016.9</v>
      </c>
      <c r="F476" s="54">
        <v>1084.9</v>
      </c>
      <c r="G476" s="54">
        <v>1098.9</v>
      </c>
      <c r="H476" s="41">
        <f t="shared" si="1"/>
        <v>1066.9</v>
      </c>
      <c r="I476" s="49">
        <f t="shared" si="10"/>
        <v>0.0806372308</v>
      </c>
      <c r="J476" s="43">
        <f t="shared" si="46"/>
        <v>0.02999343894</v>
      </c>
      <c r="K476" s="58">
        <v>45946.0</v>
      </c>
      <c r="L476" s="50">
        <f t="shared" si="43"/>
        <v>46128</v>
      </c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ht="15.75" customHeight="1">
      <c r="A477" s="9"/>
      <c r="B477" s="97">
        <v>1.00002338E8</v>
      </c>
      <c r="C477" s="98" t="s">
        <v>594</v>
      </c>
      <c r="D477" s="188" t="s">
        <v>595</v>
      </c>
      <c r="E477" s="101">
        <v>1003.63</v>
      </c>
      <c r="F477" s="54">
        <v>956.9</v>
      </c>
      <c r="G477" s="54">
        <v>909.89</v>
      </c>
      <c r="H477" s="41">
        <f t="shared" si="1"/>
        <v>956.8066667</v>
      </c>
      <c r="I477" s="49">
        <f t="shared" si="10"/>
        <v>0.1030234424</v>
      </c>
      <c r="J477" s="43">
        <f t="shared" si="46"/>
        <v>0.04893708935</v>
      </c>
      <c r="K477" s="58">
        <v>45946.0</v>
      </c>
      <c r="L477" s="50">
        <f t="shared" si="43"/>
        <v>46128</v>
      </c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ht="15.75" customHeight="1">
      <c r="A478" s="9"/>
      <c r="B478" s="97">
        <v>1.00002338E8</v>
      </c>
      <c r="C478" s="98" t="s">
        <v>594</v>
      </c>
      <c r="D478" s="113" t="s">
        <v>596</v>
      </c>
      <c r="E478" s="101">
        <v>1799.0</v>
      </c>
      <c r="F478" s="54">
        <v>1999.62</v>
      </c>
      <c r="G478" s="54">
        <v>1905.19</v>
      </c>
      <c r="H478" s="41">
        <f t="shared" si="1"/>
        <v>1901.27</v>
      </c>
      <c r="I478" s="49">
        <f t="shared" si="10"/>
        <v>0.1115175097</v>
      </c>
      <c r="J478" s="43">
        <f t="shared" si="46"/>
        <v>0.05172858142</v>
      </c>
      <c r="K478" s="58">
        <v>45946.0</v>
      </c>
      <c r="L478" s="50">
        <f t="shared" si="43"/>
        <v>46128</v>
      </c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ht="15.75" customHeight="1">
      <c r="A479" s="9"/>
      <c r="B479" s="194">
        <v>1.00011698E8</v>
      </c>
      <c r="C479" s="98" t="s">
        <v>597</v>
      </c>
      <c r="D479" s="113" t="s">
        <v>598</v>
      </c>
      <c r="E479" s="101">
        <v>740.63</v>
      </c>
      <c r="F479" s="54">
        <v>649.0</v>
      </c>
      <c r="G479" s="54">
        <v>649.9</v>
      </c>
      <c r="H479" s="41">
        <f t="shared" si="1"/>
        <v>679.8433333</v>
      </c>
      <c r="I479" s="49">
        <f t="shared" si="10"/>
        <v>0.1411864407</v>
      </c>
      <c r="J479" s="43">
        <f t="shared" si="46"/>
        <v>0.08941275686</v>
      </c>
      <c r="K479" s="58">
        <v>45946.0</v>
      </c>
      <c r="L479" s="50">
        <f t="shared" si="43"/>
        <v>46128</v>
      </c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ht="15.75" customHeight="1">
      <c r="A480" s="9"/>
      <c r="B480" s="97">
        <v>1.00012888E8</v>
      </c>
      <c r="C480" s="98" t="s">
        <v>599</v>
      </c>
      <c r="D480" s="113"/>
      <c r="E480" s="101">
        <v>1313.0</v>
      </c>
      <c r="F480" s="54">
        <v>1049.0</v>
      </c>
      <c r="G480" s="54">
        <v>1110.0</v>
      </c>
      <c r="H480" s="41">
        <f t="shared" si="1"/>
        <v>1157.333333</v>
      </c>
      <c r="I480" s="49">
        <f t="shared" si="10"/>
        <v>0.2516682555</v>
      </c>
      <c r="J480" s="43">
        <f t="shared" si="46"/>
        <v>0.1345046083</v>
      </c>
      <c r="K480" s="58">
        <v>45946.0</v>
      </c>
      <c r="L480" s="50">
        <f t="shared" si="43"/>
        <v>46128</v>
      </c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ht="15.75" customHeight="1">
      <c r="A481" s="9"/>
      <c r="B481" s="97">
        <v>1.00011698E8</v>
      </c>
      <c r="C481" s="98" t="s">
        <v>600</v>
      </c>
      <c r="D481" s="113" t="s">
        <v>601</v>
      </c>
      <c r="E481" s="101">
        <v>1949.6</v>
      </c>
      <c r="F481" s="54">
        <v>1690.43</v>
      </c>
      <c r="G481" s="54">
        <v>1805.68</v>
      </c>
      <c r="H481" s="41">
        <f t="shared" si="1"/>
        <v>1815.236667</v>
      </c>
      <c r="I481" s="49">
        <f t="shared" si="10"/>
        <v>0.1533160202</v>
      </c>
      <c r="J481" s="43">
        <f t="shared" si="46"/>
        <v>0.07401973296</v>
      </c>
      <c r="K481" s="58">
        <v>45947.0</v>
      </c>
      <c r="L481" s="50">
        <f t="shared" si="43"/>
        <v>46129</v>
      </c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ht="15.75" customHeight="1">
      <c r="A482" s="9"/>
      <c r="B482" s="97">
        <v>1.00012898E8</v>
      </c>
      <c r="C482" s="98" t="s">
        <v>602</v>
      </c>
      <c r="D482" s="113" t="s">
        <v>596</v>
      </c>
      <c r="E482" s="101">
        <v>1990.0</v>
      </c>
      <c r="F482" s="54">
        <v>2159.0</v>
      </c>
      <c r="G482" s="54">
        <v>1873.0</v>
      </c>
      <c r="H482" s="41">
        <f t="shared" si="1"/>
        <v>2007.333333</v>
      </c>
      <c r="I482" s="49">
        <f t="shared" si="10"/>
        <v>0.1526962093</v>
      </c>
      <c r="J482" s="43">
        <f t="shared" si="46"/>
        <v>0.07555629359</v>
      </c>
      <c r="K482" s="58">
        <v>45947.0</v>
      </c>
      <c r="L482" s="50">
        <f t="shared" si="43"/>
        <v>46129</v>
      </c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ht="15.75" customHeight="1">
      <c r="A483" s="9"/>
      <c r="B483" s="97">
        <v>1.00012287E8</v>
      </c>
      <c r="C483" s="98" t="s">
        <v>776</v>
      </c>
      <c r="D483" s="83"/>
      <c r="E483" s="101">
        <v>386.0</v>
      </c>
      <c r="F483" s="54">
        <v>349.99</v>
      </c>
      <c r="G483" s="54">
        <v>314.99</v>
      </c>
      <c r="H483" s="41">
        <f t="shared" si="1"/>
        <v>350.3266667</v>
      </c>
      <c r="I483" s="49">
        <f t="shared" si="10"/>
        <v>0.2254357281</v>
      </c>
      <c r="J483" s="43">
        <f t="shared" si="46"/>
        <v>0.1018287693</v>
      </c>
      <c r="K483" s="58">
        <v>45947.0</v>
      </c>
      <c r="L483" s="50">
        <f t="shared" si="43"/>
        <v>46129</v>
      </c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ht="15.75" customHeight="1">
      <c r="A484" s="9"/>
      <c r="B484" s="97">
        <v>1.00010721E8</v>
      </c>
      <c r="C484" s="98" t="s">
        <v>604</v>
      </c>
      <c r="D484" s="113" t="s">
        <v>605</v>
      </c>
      <c r="E484" s="101">
        <v>1147.9</v>
      </c>
      <c r="F484" s="54">
        <v>1448.9</v>
      </c>
      <c r="G484" s="54">
        <v>1147.9</v>
      </c>
      <c r="H484" s="41">
        <f t="shared" si="1"/>
        <v>1248.233333</v>
      </c>
      <c r="I484" s="49">
        <f t="shared" si="10"/>
        <v>0.2622179632</v>
      </c>
      <c r="J484" s="43">
        <f t="shared" si="46"/>
        <v>0.1607605416</v>
      </c>
      <c r="K484" s="58">
        <v>45943.0</v>
      </c>
      <c r="L484" s="50">
        <f t="shared" si="43"/>
        <v>46125</v>
      </c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ht="15.75" customHeight="1">
      <c r="A485" s="9"/>
      <c r="B485" s="97">
        <v>1.00002279E8</v>
      </c>
      <c r="C485" s="98" t="s">
        <v>606</v>
      </c>
      <c r="D485" s="113" t="s">
        <v>607</v>
      </c>
      <c r="E485" s="101">
        <v>1789.37</v>
      </c>
      <c r="F485" s="54">
        <v>1542.32</v>
      </c>
      <c r="G485" s="54">
        <v>1699.9</v>
      </c>
      <c r="H485" s="41">
        <f t="shared" si="1"/>
        <v>1677.196667</v>
      </c>
      <c r="I485" s="49">
        <f t="shared" si="10"/>
        <v>0.1601807666</v>
      </c>
      <c r="J485" s="43">
        <f t="shared" si="46"/>
        <v>0.06688144304</v>
      </c>
      <c r="K485" s="58">
        <v>45943.0</v>
      </c>
      <c r="L485" s="50">
        <f t="shared" si="43"/>
        <v>46125</v>
      </c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ht="15.75" customHeight="1">
      <c r="A486" s="9"/>
      <c r="B486" s="97">
        <v>1.00010059E8</v>
      </c>
      <c r="C486" s="98" t="s">
        <v>608</v>
      </c>
      <c r="D486" s="83"/>
      <c r="E486" s="101">
        <v>369.9</v>
      </c>
      <c r="F486" s="54">
        <v>369.9</v>
      </c>
      <c r="G486" s="54">
        <v>399.9</v>
      </c>
      <c r="H486" s="41">
        <f t="shared" si="1"/>
        <v>379.9</v>
      </c>
      <c r="I486" s="49">
        <f t="shared" si="10"/>
        <v>0.08110300081</v>
      </c>
      <c r="J486" s="43">
        <f t="shared" si="46"/>
        <v>0.05264543301</v>
      </c>
      <c r="K486" s="58">
        <v>45943.0</v>
      </c>
      <c r="L486" s="50">
        <f t="shared" si="43"/>
        <v>46125</v>
      </c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ht="15.75" customHeight="1">
      <c r="A487" s="9"/>
      <c r="B487" s="97">
        <v>1.00002354E8</v>
      </c>
      <c r="C487" s="98" t="s">
        <v>609</v>
      </c>
      <c r="D487" s="83"/>
      <c r="E487" s="101">
        <v>7068.4</v>
      </c>
      <c r="F487" s="54">
        <v>7548.0</v>
      </c>
      <c r="G487" s="54">
        <v>7128.0</v>
      </c>
      <c r="H487" s="41">
        <f t="shared" si="1"/>
        <v>7248.133333</v>
      </c>
      <c r="I487" s="49">
        <f t="shared" si="10"/>
        <v>0.06785128176</v>
      </c>
      <c r="J487" s="43">
        <f t="shared" si="46"/>
        <v>0.04137157153</v>
      </c>
      <c r="K487" s="58">
        <v>45945.0</v>
      </c>
      <c r="L487" s="50">
        <f t="shared" si="43"/>
        <v>46127</v>
      </c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ht="15.75" customHeight="1">
      <c r="A488" s="9"/>
      <c r="B488" s="97">
        <v>1.0001006E8</v>
      </c>
      <c r="C488" s="98" t="s">
        <v>610</v>
      </c>
      <c r="D488" s="113" t="s">
        <v>611</v>
      </c>
      <c r="E488" s="132">
        <v>952.74</v>
      </c>
      <c r="F488" s="57">
        <v>950.0</v>
      </c>
      <c r="G488" s="57">
        <v>974.69</v>
      </c>
      <c r="H488" s="41">
        <f t="shared" si="1"/>
        <v>959.1433333</v>
      </c>
      <c r="I488" s="49">
        <f t="shared" si="10"/>
        <v>0.02598947368</v>
      </c>
      <c r="J488" s="43">
        <f t="shared" si="46"/>
        <v>0.01620890864</v>
      </c>
      <c r="K488" s="58">
        <v>45945.0</v>
      </c>
      <c r="L488" s="50">
        <f t="shared" si="43"/>
        <v>46127</v>
      </c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ht="15.75" customHeight="1">
      <c r="A489" s="9"/>
      <c r="B489" s="97">
        <v>1.0001015E8</v>
      </c>
      <c r="C489" s="98" t="s">
        <v>612</v>
      </c>
      <c r="D489" s="113" t="s">
        <v>613</v>
      </c>
      <c r="E489" s="132">
        <v>1433.78</v>
      </c>
      <c r="F489" s="57">
        <v>1677.9</v>
      </c>
      <c r="G489" s="57">
        <v>1543.64</v>
      </c>
      <c r="H489" s="41">
        <f t="shared" si="1"/>
        <v>1551.773333</v>
      </c>
      <c r="I489" s="49">
        <f t="shared" si="10"/>
        <v>0.1702632203</v>
      </c>
      <c r="J489" s="43">
        <f t="shared" si="46"/>
        <v>0.08127905278</v>
      </c>
      <c r="K489" s="58">
        <v>45946.0</v>
      </c>
      <c r="L489" s="50">
        <f t="shared" si="43"/>
        <v>46128</v>
      </c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ht="15.75" customHeight="1">
      <c r="A490" s="9"/>
      <c r="B490" s="97">
        <v>1.0001015E8</v>
      </c>
      <c r="C490" s="98" t="s">
        <v>612</v>
      </c>
      <c r="D490" s="113" t="s">
        <v>614</v>
      </c>
      <c r="E490" s="132">
        <v>2406.55</v>
      </c>
      <c r="F490" s="57">
        <v>2607.33</v>
      </c>
      <c r="G490" s="57">
        <v>2579.89</v>
      </c>
      <c r="H490" s="41">
        <f t="shared" si="1"/>
        <v>2531.256667</v>
      </c>
      <c r="I490" s="49">
        <f t="shared" si="10"/>
        <v>0.08343063722</v>
      </c>
      <c r="J490" s="43">
        <f t="shared" si="46"/>
        <v>0.0300535834</v>
      </c>
      <c r="K490" s="58">
        <v>45946.0</v>
      </c>
      <c r="L490" s="50">
        <f t="shared" si="43"/>
        <v>46128</v>
      </c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ht="15.75" customHeight="1">
      <c r="A491" s="9"/>
      <c r="B491" s="97">
        <v>1.0001094E8</v>
      </c>
      <c r="C491" s="98" t="s">
        <v>615</v>
      </c>
      <c r="D491" s="83"/>
      <c r="E491" s="132">
        <v>159.14</v>
      </c>
      <c r="F491" s="57">
        <v>159.14</v>
      </c>
      <c r="G491" s="57">
        <v>140.4</v>
      </c>
      <c r="H491" s="41">
        <f t="shared" si="1"/>
        <v>152.8933333</v>
      </c>
      <c r="I491" s="49">
        <f t="shared" si="10"/>
        <v>0.1334757835</v>
      </c>
      <c r="J491" s="43">
        <f t="shared" si="46"/>
        <v>0.04085637045</v>
      </c>
      <c r="K491" s="58">
        <v>45947.0</v>
      </c>
      <c r="L491" s="50">
        <f t="shared" si="43"/>
        <v>46129</v>
      </c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ht="15.75" customHeight="1">
      <c r="A492" s="9"/>
      <c r="B492" s="97">
        <v>1.00012324E8</v>
      </c>
      <c r="C492" s="98" t="s">
        <v>616</v>
      </c>
      <c r="D492" s="83"/>
      <c r="E492" s="132">
        <v>322.2</v>
      </c>
      <c r="F492" s="57">
        <v>322.2</v>
      </c>
      <c r="G492" s="57">
        <v>348.8</v>
      </c>
      <c r="H492" s="41">
        <f t="shared" si="1"/>
        <v>331.0666667</v>
      </c>
      <c r="I492" s="49">
        <f t="shared" si="10"/>
        <v>0.08255741775</v>
      </c>
      <c r="J492" s="43">
        <f t="shared" si="46"/>
        <v>0.05356423681</v>
      </c>
      <c r="K492" s="58">
        <v>45947.0</v>
      </c>
      <c r="L492" s="50">
        <f t="shared" si="43"/>
        <v>46129</v>
      </c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ht="15.75" customHeight="1">
      <c r="A493" s="9"/>
      <c r="B493" s="97">
        <v>1.00012371E8</v>
      </c>
      <c r="C493" s="98" t="s">
        <v>617</v>
      </c>
      <c r="D493" s="83"/>
      <c r="E493" s="132">
        <v>9500.0</v>
      </c>
      <c r="F493" s="57">
        <v>9567.8</v>
      </c>
      <c r="G493" s="57">
        <v>9017.8</v>
      </c>
      <c r="H493" s="41">
        <f t="shared" si="1"/>
        <v>9361.866667</v>
      </c>
      <c r="I493" s="49">
        <f t="shared" si="10"/>
        <v>0.06099048548</v>
      </c>
      <c r="J493" s="43">
        <f t="shared" si="46"/>
        <v>0.02199703763</v>
      </c>
      <c r="K493" s="58">
        <v>45947.0</v>
      </c>
      <c r="L493" s="50">
        <f t="shared" si="43"/>
        <v>46129</v>
      </c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ht="15.75" customHeight="1">
      <c r="A494" s="9"/>
      <c r="B494" s="81"/>
      <c r="C494" s="89"/>
      <c r="D494" s="83"/>
      <c r="E494" s="96"/>
      <c r="F494" s="65"/>
      <c r="G494" s="65"/>
      <c r="H494" s="41">
        <f t="shared" si="1"/>
        <v>0</v>
      </c>
      <c r="I494" s="49" t="str">
        <f t="shared" si="10"/>
        <v/>
      </c>
      <c r="J494" s="43"/>
      <c r="K494" s="78"/>
      <c r="L494" s="50">
        <f t="shared" si="43"/>
        <v>182</v>
      </c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ht="15.75" customHeight="1">
      <c r="A495" s="9"/>
      <c r="B495" s="81"/>
      <c r="C495" s="89"/>
      <c r="D495" s="83"/>
      <c r="E495" s="96"/>
      <c r="F495" s="65"/>
      <c r="G495" s="65"/>
      <c r="H495" s="41">
        <f t="shared" si="1"/>
        <v>0</v>
      </c>
      <c r="I495" s="49" t="str">
        <f t="shared" si="10"/>
        <v/>
      </c>
      <c r="J495" s="43"/>
      <c r="K495" s="78"/>
      <c r="L495" s="50">
        <f t="shared" si="43"/>
        <v>182</v>
      </c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ht="15.75" customHeight="1">
      <c r="A496" s="9"/>
      <c r="B496" s="81"/>
      <c r="C496" s="89"/>
      <c r="D496" s="83"/>
      <c r="E496" s="96"/>
      <c r="F496" s="65"/>
      <c r="G496" s="65"/>
      <c r="H496" s="41">
        <f t="shared" si="1"/>
        <v>0</v>
      </c>
      <c r="I496" s="49" t="str">
        <f t="shared" si="10"/>
        <v/>
      </c>
      <c r="J496" s="43"/>
      <c r="K496" s="78"/>
      <c r="L496" s="50">
        <f t="shared" si="43"/>
        <v>182</v>
      </c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ht="15.75" customHeight="1">
      <c r="A497" s="9"/>
      <c r="B497" s="81"/>
      <c r="C497" s="89"/>
      <c r="D497" s="83"/>
      <c r="E497" s="96"/>
      <c r="F497" s="65"/>
      <c r="G497" s="65"/>
      <c r="H497" s="41">
        <f t="shared" si="1"/>
        <v>0</v>
      </c>
      <c r="I497" s="49" t="str">
        <f t="shared" si="10"/>
        <v/>
      </c>
      <c r="J497" s="43" t="str">
        <f t="shared" ref="J497:J505" si="47">IF(ISERROR(MAX(E497:G497)/H497-1),"",(MAX(E497:G497)/H497-1))</f>
        <v/>
      </c>
      <c r="K497" s="78"/>
      <c r="L497" s="50">
        <f t="shared" si="43"/>
        <v>182</v>
      </c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ht="15.75" customHeight="1">
      <c r="A498" s="9"/>
      <c r="B498" s="81"/>
      <c r="C498" s="89"/>
      <c r="D498" s="83"/>
      <c r="E498" s="96"/>
      <c r="F498" s="65"/>
      <c r="G498" s="65"/>
      <c r="H498" s="41">
        <f t="shared" si="1"/>
        <v>0</v>
      </c>
      <c r="I498" s="49" t="str">
        <f t="shared" si="10"/>
        <v/>
      </c>
      <c r="J498" s="43" t="str">
        <f t="shared" si="47"/>
        <v/>
      </c>
      <c r="K498" s="78"/>
      <c r="L498" s="50">
        <f t="shared" si="43"/>
        <v>182</v>
      </c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ht="15.75" customHeight="1">
      <c r="A499" s="9"/>
      <c r="B499" s="81"/>
      <c r="C499" s="89"/>
      <c r="D499" s="83"/>
      <c r="E499" s="96"/>
      <c r="F499" s="225"/>
      <c r="G499" s="65"/>
      <c r="H499" s="41">
        <f t="shared" si="1"/>
        <v>0</v>
      </c>
      <c r="I499" s="49" t="str">
        <f t="shared" si="10"/>
        <v/>
      </c>
      <c r="J499" s="43" t="str">
        <f t="shared" si="47"/>
        <v/>
      </c>
      <c r="K499" s="78"/>
      <c r="L499" s="50">
        <f t="shared" si="43"/>
        <v>182</v>
      </c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ht="15.75" customHeight="1">
      <c r="A500" s="9"/>
      <c r="B500" s="81"/>
      <c r="C500" s="89"/>
      <c r="D500" s="83"/>
      <c r="E500" s="131"/>
      <c r="F500" s="88"/>
      <c r="G500" s="88"/>
      <c r="H500" s="41">
        <f t="shared" si="1"/>
        <v>0</v>
      </c>
      <c r="I500" s="49" t="str">
        <f t="shared" si="10"/>
        <v/>
      </c>
      <c r="J500" s="43" t="str">
        <f t="shared" si="47"/>
        <v/>
      </c>
      <c r="K500" s="78"/>
      <c r="L500" s="50">
        <f t="shared" si="43"/>
        <v>182</v>
      </c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ht="15.75" customHeight="1">
      <c r="A501" s="9"/>
      <c r="B501" s="81"/>
      <c r="C501" s="89"/>
      <c r="D501" s="83"/>
      <c r="E501" s="131"/>
      <c r="F501" s="88"/>
      <c r="G501" s="88"/>
      <c r="H501" s="41">
        <f t="shared" si="1"/>
        <v>0</v>
      </c>
      <c r="I501" s="49" t="str">
        <f t="shared" si="10"/>
        <v/>
      </c>
      <c r="J501" s="43" t="str">
        <f t="shared" si="47"/>
        <v/>
      </c>
      <c r="K501" s="78"/>
      <c r="L501" s="50">
        <v>44680.0</v>
      </c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ht="15.75" customHeight="1">
      <c r="A502" s="9"/>
      <c r="B502" s="81"/>
      <c r="C502" s="89"/>
      <c r="D502" s="83"/>
      <c r="E502" s="96"/>
      <c r="F502" s="65"/>
      <c r="G502" s="225"/>
      <c r="H502" s="41">
        <f t="shared" si="1"/>
        <v>0</v>
      </c>
      <c r="I502" s="49" t="str">
        <f t="shared" si="10"/>
        <v/>
      </c>
      <c r="J502" s="43" t="str">
        <f t="shared" si="47"/>
        <v/>
      </c>
      <c r="K502" s="78"/>
      <c r="L502" s="50">
        <f t="shared" ref="L502:L503" si="48">EDATE(K502,6)</f>
        <v>182</v>
      </c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ht="15.75" customHeight="1">
      <c r="A503" s="9"/>
      <c r="B503" s="81"/>
      <c r="C503" s="89"/>
      <c r="D503" s="83"/>
      <c r="E503" s="96"/>
      <c r="F503" s="65"/>
      <c r="G503" s="65"/>
      <c r="H503" s="41">
        <f t="shared" si="1"/>
        <v>0</v>
      </c>
      <c r="I503" s="49" t="str">
        <f t="shared" si="10"/>
        <v/>
      </c>
      <c r="J503" s="43" t="str">
        <f t="shared" si="47"/>
        <v/>
      </c>
      <c r="K503" s="78"/>
      <c r="L503" s="50">
        <f t="shared" si="48"/>
        <v>182</v>
      </c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ht="15.75" customHeight="1">
      <c r="A504" s="9"/>
      <c r="B504" s="81"/>
      <c r="C504" s="89"/>
      <c r="D504" s="83"/>
      <c r="E504" s="131"/>
      <c r="F504" s="88"/>
      <c r="G504" s="88"/>
      <c r="H504" s="41">
        <f t="shared" si="1"/>
        <v>0</v>
      </c>
      <c r="I504" s="49" t="str">
        <f t="shared" si="10"/>
        <v/>
      </c>
      <c r="J504" s="43" t="str">
        <f t="shared" si="47"/>
        <v/>
      </c>
      <c r="K504" s="78"/>
      <c r="L504" s="50">
        <v>44680.0</v>
      </c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ht="15.75" customHeight="1">
      <c r="A505" s="9"/>
      <c r="B505" s="81"/>
      <c r="C505" s="89"/>
      <c r="D505" s="83"/>
      <c r="E505" s="96"/>
      <c r="F505" s="65"/>
      <c r="G505" s="65"/>
      <c r="H505" s="41">
        <f t="shared" si="1"/>
        <v>0</v>
      </c>
      <c r="I505" s="49" t="str">
        <f t="shared" si="10"/>
        <v/>
      </c>
      <c r="J505" s="43" t="str">
        <f t="shared" si="47"/>
        <v/>
      </c>
      <c r="K505" s="78"/>
      <c r="L505" s="50">
        <f t="shared" ref="L505:L555" si="49">EDATE(K505,6)</f>
        <v>182</v>
      </c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ht="15.75" customHeight="1">
      <c r="A506" s="9"/>
      <c r="B506" s="81"/>
      <c r="C506" s="89"/>
      <c r="D506" s="83"/>
      <c r="E506" s="96"/>
      <c r="F506" s="65"/>
      <c r="G506" s="65"/>
      <c r="H506" s="41">
        <f t="shared" si="1"/>
        <v>0</v>
      </c>
      <c r="I506" s="49" t="str">
        <f t="shared" si="10"/>
        <v/>
      </c>
      <c r="J506" s="43"/>
      <c r="K506" s="78"/>
      <c r="L506" s="50">
        <f t="shared" si="49"/>
        <v>182</v>
      </c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ht="15.75" customHeight="1">
      <c r="A507" s="9"/>
      <c r="B507" s="81"/>
      <c r="C507" s="89"/>
      <c r="D507" s="83"/>
      <c r="E507" s="96"/>
      <c r="F507" s="65"/>
      <c r="G507" s="65"/>
      <c r="H507" s="41">
        <f t="shared" si="1"/>
        <v>0</v>
      </c>
      <c r="I507" s="49" t="str">
        <f t="shared" si="10"/>
        <v/>
      </c>
      <c r="J507" s="43" t="str">
        <f t="shared" ref="J507:J555" si="50">IF(ISERROR(MAX(E507:G507)/H507-1),"",(MAX(E507:G507)/H507-1))</f>
        <v/>
      </c>
      <c r="K507" s="78"/>
      <c r="L507" s="50">
        <f t="shared" si="49"/>
        <v>182</v>
      </c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ht="15.75" customHeight="1">
      <c r="A508" s="9"/>
      <c r="B508" s="81"/>
      <c r="C508" s="89"/>
      <c r="D508" s="83"/>
      <c r="E508" s="131"/>
      <c r="F508" s="88"/>
      <c r="G508" s="88"/>
      <c r="H508" s="41">
        <f t="shared" si="1"/>
        <v>0</v>
      </c>
      <c r="I508" s="49" t="str">
        <f t="shared" si="10"/>
        <v/>
      </c>
      <c r="J508" s="43" t="str">
        <f t="shared" si="50"/>
        <v/>
      </c>
      <c r="K508" s="78"/>
      <c r="L508" s="50">
        <f t="shared" si="49"/>
        <v>182</v>
      </c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ht="15.75" customHeight="1">
      <c r="A509" s="9"/>
      <c r="B509" s="81"/>
      <c r="C509" s="89"/>
      <c r="D509" s="83"/>
      <c r="E509" s="131"/>
      <c r="F509" s="88"/>
      <c r="G509" s="88"/>
      <c r="H509" s="41">
        <f t="shared" si="1"/>
        <v>0</v>
      </c>
      <c r="I509" s="49" t="str">
        <f t="shared" si="10"/>
        <v/>
      </c>
      <c r="J509" s="43" t="str">
        <f t="shared" si="50"/>
        <v/>
      </c>
      <c r="K509" s="78"/>
      <c r="L509" s="50">
        <f t="shared" si="49"/>
        <v>182</v>
      </c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ht="15.75" customHeight="1">
      <c r="A510" s="9"/>
      <c r="B510" s="81"/>
      <c r="C510" s="89"/>
      <c r="D510" s="83"/>
      <c r="E510" s="131"/>
      <c r="F510" s="88"/>
      <c r="G510" s="88"/>
      <c r="H510" s="41">
        <f t="shared" si="1"/>
        <v>0</v>
      </c>
      <c r="I510" s="49" t="str">
        <f t="shared" si="10"/>
        <v/>
      </c>
      <c r="J510" s="43" t="str">
        <f t="shared" si="50"/>
        <v/>
      </c>
      <c r="K510" s="78"/>
      <c r="L510" s="50">
        <f t="shared" si="49"/>
        <v>182</v>
      </c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ht="15.75" customHeight="1">
      <c r="A511" s="9"/>
      <c r="B511" s="81"/>
      <c r="C511" s="89"/>
      <c r="D511" s="83"/>
      <c r="E511" s="131"/>
      <c r="F511" s="88"/>
      <c r="G511" s="88"/>
      <c r="H511" s="41">
        <f t="shared" si="1"/>
        <v>0</v>
      </c>
      <c r="I511" s="49" t="str">
        <f t="shared" si="10"/>
        <v/>
      </c>
      <c r="J511" s="43" t="str">
        <f t="shared" si="50"/>
        <v/>
      </c>
      <c r="K511" s="78"/>
      <c r="L511" s="50">
        <f t="shared" si="49"/>
        <v>182</v>
      </c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ht="15.75" customHeight="1">
      <c r="A512" s="9"/>
      <c r="B512" s="81"/>
      <c r="C512" s="89"/>
      <c r="D512" s="83"/>
      <c r="E512" s="131"/>
      <c r="F512" s="88"/>
      <c r="G512" s="88"/>
      <c r="H512" s="41">
        <f t="shared" si="1"/>
        <v>0</v>
      </c>
      <c r="I512" s="49" t="str">
        <f t="shared" si="10"/>
        <v/>
      </c>
      <c r="J512" s="43" t="str">
        <f t="shared" si="50"/>
        <v/>
      </c>
      <c r="K512" s="78"/>
      <c r="L512" s="50">
        <f t="shared" si="49"/>
        <v>182</v>
      </c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ht="15.75" customHeight="1">
      <c r="A513" s="9"/>
      <c r="B513" s="81"/>
      <c r="C513" s="89"/>
      <c r="D513" s="83"/>
      <c r="E513" s="131"/>
      <c r="F513" s="88"/>
      <c r="G513" s="88"/>
      <c r="H513" s="41">
        <f t="shared" si="1"/>
        <v>0</v>
      </c>
      <c r="I513" s="49" t="str">
        <f t="shared" si="10"/>
        <v/>
      </c>
      <c r="J513" s="43" t="str">
        <f t="shared" si="50"/>
        <v/>
      </c>
      <c r="K513" s="78"/>
      <c r="L513" s="50">
        <f t="shared" si="49"/>
        <v>182</v>
      </c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ht="15.75" customHeight="1">
      <c r="A514" s="9"/>
      <c r="B514" s="81"/>
      <c r="C514" s="89"/>
      <c r="D514" s="83"/>
      <c r="E514" s="131"/>
      <c r="F514" s="88"/>
      <c r="G514" s="88"/>
      <c r="H514" s="41">
        <f t="shared" si="1"/>
        <v>0</v>
      </c>
      <c r="I514" s="49" t="str">
        <f t="shared" si="10"/>
        <v/>
      </c>
      <c r="J514" s="43" t="str">
        <f t="shared" si="50"/>
        <v/>
      </c>
      <c r="K514" s="78"/>
      <c r="L514" s="50">
        <f t="shared" si="49"/>
        <v>182</v>
      </c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ht="15.75" customHeight="1">
      <c r="A515" s="9"/>
      <c r="B515" s="81"/>
      <c r="C515" s="89"/>
      <c r="D515" s="83"/>
      <c r="E515" s="96"/>
      <c r="F515" s="65"/>
      <c r="G515" s="65"/>
      <c r="H515" s="41">
        <f t="shared" si="1"/>
        <v>0</v>
      </c>
      <c r="I515" s="49" t="str">
        <f t="shared" si="10"/>
        <v/>
      </c>
      <c r="J515" s="43" t="str">
        <f t="shared" si="50"/>
        <v/>
      </c>
      <c r="K515" s="78"/>
      <c r="L515" s="50">
        <f t="shared" si="49"/>
        <v>182</v>
      </c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ht="15.75" customHeight="1">
      <c r="A516" s="9"/>
      <c r="B516" s="81"/>
      <c r="C516" s="89"/>
      <c r="D516" s="83"/>
      <c r="E516" s="96"/>
      <c r="F516" s="65"/>
      <c r="G516" s="65"/>
      <c r="H516" s="41">
        <f t="shared" si="1"/>
        <v>0</v>
      </c>
      <c r="I516" s="49" t="str">
        <f t="shared" si="10"/>
        <v/>
      </c>
      <c r="J516" s="43" t="str">
        <f t="shared" si="50"/>
        <v/>
      </c>
      <c r="K516" s="78"/>
      <c r="L516" s="50">
        <f t="shared" si="49"/>
        <v>182</v>
      </c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ht="15.75" customHeight="1">
      <c r="A517" s="9"/>
      <c r="B517" s="81"/>
      <c r="C517" s="89"/>
      <c r="D517" s="83"/>
      <c r="E517" s="96"/>
      <c r="F517" s="65"/>
      <c r="G517" s="65"/>
      <c r="H517" s="41">
        <f t="shared" si="1"/>
        <v>0</v>
      </c>
      <c r="I517" s="49" t="str">
        <f t="shared" si="10"/>
        <v/>
      </c>
      <c r="J517" s="43" t="str">
        <f t="shared" si="50"/>
        <v/>
      </c>
      <c r="K517" s="78"/>
      <c r="L517" s="50">
        <f t="shared" si="49"/>
        <v>182</v>
      </c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ht="15.75" customHeight="1">
      <c r="A518" s="9"/>
      <c r="B518" s="81"/>
      <c r="C518" s="89"/>
      <c r="D518" s="83"/>
      <c r="E518" s="96"/>
      <c r="F518" s="65"/>
      <c r="G518" s="65"/>
      <c r="H518" s="41">
        <f t="shared" si="1"/>
        <v>0</v>
      </c>
      <c r="I518" s="49" t="str">
        <f t="shared" si="10"/>
        <v/>
      </c>
      <c r="J518" s="43" t="str">
        <f t="shared" si="50"/>
        <v/>
      </c>
      <c r="K518" s="78"/>
      <c r="L518" s="50">
        <f t="shared" si="49"/>
        <v>182</v>
      </c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ht="15.75" customHeight="1">
      <c r="A519" s="9"/>
      <c r="B519" s="81"/>
      <c r="C519" s="89"/>
      <c r="D519" s="83"/>
      <c r="E519" s="96"/>
      <c r="F519" s="65"/>
      <c r="G519" s="65"/>
      <c r="H519" s="41">
        <f t="shared" si="1"/>
        <v>0</v>
      </c>
      <c r="I519" s="49" t="str">
        <f t="shared" si="10"/>
        <v/>
      </c>
      <c r="J519" s="43" t="str">
        <f t="shared" si="50"/>
        <v/>
      </c>
      <c r="K519" s="78"/>
      <c r="L519" s="50">
        <f t="shared" si="49"/>
        <v>182</v>
      </c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ht="15.75" customHeight="1">
      <c r="A520" s="9"/>
      <c r="B520" s="81"/>
      <c r="C520" s="89"/>
      <c r="D520" s="83"/>
      <c r="E520" s="96"/>
      <c r="F520" s="65"/>
      <c r="G520" s="65"/>
      <c r="H520" s="41">
        <f t="shared" si="1"/>
        <v>0</v>
      </c>
      <c r="I520" s="49" t="str">
        <f t="shared" si="10"/>
        <v/>
      </c>
      <c r="J520" s="43" t="str">
        <f t="shared" si="50"/>
        <v/>
      </c>
      <c r="K520" s="78"/>
      <c r="L520" s="50">
        <f t="shared" si="49"/>
        <v>182</v>
      </c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ht="15.75" customHeight="1">
      <c r="A521" s="9"/>
      <c r="B521" s="81"/>
      <c r="C521" s="89"/>
      <c r="D521" s="83"/>
      <c r="E521" s="96"/>
      <c r="F521" s="65"/>
      <c r="G521" s="65"/>
      <c r="H521" s="41">
        <f t="shared" si="1"/>
        <v>0</v>
      </c>
      <c r="I521" s="49" t="str">
        <f t="shared" si="10"/>
        <v/>
      </c>
      <c r="J521" s="43" t="str">
        <f t="shared" si="50"/>
        <v/>
      </c>
      <c r="K521" s="78"/>
      <c r="L521" s="50">
        <f t="shared" si="49"/>
        <v>182</v>
      </c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ht="15.75" customHeight="1">
      <c r="A522" s="9"/>
      <c r="B522" s="81"/>
      <c r="C522" s="89"/>
      <c r="D522" s="83"/>
      <c r="E522" s="96"/>
      <c r="F522" s="65"/>
      <c r="G522" s="65"/>
      <c r="H522" s="41">
        <f t="shared" si="1"/>
        <v>0</v>
      </c>
      <c r="I522" s="49" t="str">
        <f t="shared" si="10"/>
        <v/>
      </c>
      <c r="J522" s="43" t="str">
        <f t="shared" si="50"/>
        <v/>
      </c>
      <c r="K522" s="78"/>
      <c r="L522" s="50">
        <f t="shared" si="49"/>
        <v>182</v>
      </c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ht="15.75" customHeight="1">
      <c r="A523" s="9"/>
      <c r="B523" s="81"/>
      <c r="C523" s="89"/>
      <c r="D523" s="83"/>
      <c r="E523" s="96"/>
      <c r="F523" s="65"/>
      <c r="G523" s="65"/>
      <c r="H523" s="41">
        <f t="shared" si="1"/>
        <v>0</v>
      </c>
      <c r="I523" s="49" t="str">
        <f t="shared" si="10"/>
        <v/>
      </c>
      <c r="J523" s="43" t="str">
        <f t="shared" si="50"/>
        <v/>
      </c>
      <c r="K523" s="78"/>
      <c r="L523" s="50">
        <f t="shared" si="49"/>
        <v>182</v>
      </c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ht="15.75" customHeight="1">
      <c r="A524" s="9"/>
      <c r="B524" s="81"/>
      <c r="C524" s="89"/>
      <c r="D524" s="128"/>
      <c r="E524" s="96"/>
      <c r="F524" s="65"/>
      <c r="G524" s="65"/>
      <c r="H524" s="41">
        <f t="shared" si="1"/>
        <v>0</v>
      </c>
      <c r="I524" s="49" t="str">
        <f t="shared" si="10"/>
        <v/>
      </c>
      <c r="J524" s="43" t="str">
        <f t="shared" si="50"/>
        <v/>
      </c>
      <c r="K524" s="78"/>
      <c r="L524" s="50">
        <f t="shared" si="49"/>
        <v>182</v>
      </c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ht="15.75" customHeight="1">
      <c r="A525" s="9"/>
      <c r="B525" s="81"/>
      <c r="C525" s="89"/>
      <c r="D525" s="128"/>
      <c r="E525" s="96"/>
      <c r="F525" s="65"/>
      <c r="G525" s="65"/>
      <c r="H525" s="41">
        <f t="shared" si="1"/>
        <v>0</v>
      </c>
      <c r="I525" s="49" t="str">
        <f t="shared" si="10"/>
        <v/>
      </c>
      <c r="J525" s="43" t="str">
        <f t="shared" si="50"/>
        <v/>
      </c>
      <c r="K525" s="78"/>
      <c r="L525" s="50">
        <f t="shared" si="49"/>
        <v>182</v>
      </c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ht="15.75" customHeight="1">
      <c r="A526" s="9"/>
      <c r="B526" s="81"/>
      <c r="C526" s="89"/>
      <c r="D526" s="83"/>
      <c r="E526" s="131"/>
      <c r="F526" s="88"/>
      <c r="G526" s="88"/>
      <c r="H526" s="41">
        <f t="shared" si="1"/>
        <v>0</v>
      </c>
      <c r="I526" s="49" t="str">
        <f t="shared" si="10"/>
        <v/>
      </c>
      <c r="J526" s="43" t="str">
        <f t="shared" si="50"/>
        <v/>
      </c>
      <c r="K526" s="78"/>
      <c r="L526" s="50">
        <f t="shared" si="49"/>
        <v>182</v>
      </c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ht="15.75" customHeight="1">
      <c r="A527" s="9"/>
      <c r="B527" s="81"/>
      <c r="C527" s="89"/>
      <c r="D527" s="83"/>
      <c r="E527" s="131"/>
      <c r="F527" s="88"/>
      <c r="G527" s="88"/>
      <c r="H527" s="41">
        <f t="shared" si="1"/>
        <v>0</v>
      </c>
      <c r="I527" s="49" t="str">
        <f t="shared" si="10"/>
        <v/>
      </c>
      <c r="J527" s="43" t="str">
        <f t="shared" si="50"/>
        <v/>
      </c>
      <c r="K527" s="78"/>
      <c r="L527" s="50">
        <f t="shared" si="49"/>
        <v>182</v>
      </c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ht="15.75" customHeight="1">
      <c r="A528" s="9"/>
      <c r="B528" s="81"/>
      <c r="C528" s="89"/>
      <c r="D528" s="83"/>
      <c r="E528" s="131"/>
      <c r="F528" s="88"/>
      <c r="G528" s="88"/>
      <c r="H528" s="41">
        <f t="shared" si="1"/>
        <v>0</v>
      </c>
      <c r="I528" s="49" t="str">
        <f t="shared" si="10"/>
        <v/>
      </c>
      <c r="J528" s="43" t="str">
        <f t="shared" si="50"/>
        <v/>
      </c>
      <c r="K528" s="78"/>
      <c r="L528" s="50">
        <f t="shared" si="49"/>
        <v>182</v>
      </c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ht="15.75" customHeight="1">
      <c r="A529" s="9"/>
      <c r="B529" s="81"/>
      <c r="C529" s="89"/>
      <c r="D529" s="83"/>
      <c r="E529" s="131"/>
      <c r="F529" s="88"/>
      <c r="G529" s="88"/>
      <c r="H529" s="41">
        <f t="shared" si="1"/>
        <v>0</v>
      </c>
      <c r="I529" s="49" t="str">
        <f t="shared" si="10"/>
        <v/>
      </c>
      <c r="J529" s="43" t="str">
        <f t="shared" si="50"/>
        <v/>
      </c>
      <c r="K529" s="78"/>
      <c r="L529" s="50">
        <f t="shared" si="49"/>
        <v>182</v>
      </c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ht="15.75" customHeight="1">
      <c r="A530" s="9"/>
      <c r="B530" s="81"/>
      <c r="C530" s="89"/>
      <c r="D530" s="128"/>
      <c r="E530" s="96"/>
      <c r="F530" s="65"/>
      <c r="G530" s="65"/>
      <c r="H530" s="41">
        <f t="shared" si="1"/>
        <v>0</v>
      </c>
      <c r="I530" s="49" t="str">
        <f t="shared" si="10"/>
        <v/>
      </c>
      <c r="J530" s="43" t="str">
        <f t="shared" si="50"/>
        <v/>
      </c>
      <c r="K530" s="78"/>
      <c r="L530" s="50">
        <f t="shared" si="49"/>
        <v>182</v>
      </c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ht="15.75" customHeight="1">
      <c r="A531" s="9"/>
      <c r="B531" s="81"/>
      <c r="C531" s="89"/>
      <c r="D531" s="128"/>
      <c r="E531" s="96"/>
      <c r="F531" s="65"/>
      <c r="G531" s="65"/>
      <c r="H531" s="41">
        <f t="shared" si="1"/>
        <v>0</v>
      </c>
      <c r="I531" s="49" t="str">
        <f t="shared" si="10"/>
        <v/>
      </c>
      <c r="J531" s="43" t="str">
        <f t="shared" si="50"/>
        <v/>
      </c>
      <c r="K531" s="78"/>
      <c r="L531" s="50">
        <f t="shared" si="49"/>
        <v>182</v>
      </c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ht="15.75" customHeight="1">
      <c r="A532" s="9"/>
      <c r="B532" s="81"/>
      <c r="C532" s="89"/>
      <c r="D532" s="83"/>
      <c r="E532" s="131"/>
      <c r="F532" s="88"/>
      <c r="G532" s="88"/>
      <c r="H532" s="41">
        <f t="shared" si="1"/>
        <v>0</v>
      </c>
      <c r="I532" s="49" t="str">
        <f t="shared" si="10"/>
        <v/>
      </c>
      <c r="J532" s="43" t="str">
        <f t="shared" si="50"/>
        <v/>
      </c>
      <c r="K532" s="78"/>
      <c r="L532" s="50">
        <f t="shared" si="49"/>
        <v>182</v>
      </c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ht="15.75" customHeight="1">
      <c r="A533" s="9"/>
      <c r="B533" s="81"/>
      <c r="C533" s="89"/>
      <c r="D533" s="83"/>
      <c r="E533" s="96"/>
      <c r="F533" s="65"/>
      <c r="G533" s="65"/>
      <c r="H533" s="41">
        <f t="shared" si="1"/>
        <v>0</v>
      </c>
      <c r="I533" s="49" t="str">
        <f t="shared" si="10"/>
        <v/>
      </c>
      <c r="J533" s="43" t="str">
        <f t="shared" si="50"/>
        <v/>
      </c>
      <c r="K533" s="78"/>
      <c r="L533" s="50">
        <f t="shared" si="49"/>
        <v>182</v>
      </c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ht="15.75" customHeight="1">
      <c r="A534" s="9"/>
      <c r="B534" s="81"/>
      <c r="C534" s="89"/>
      <c r="D534" s="83"/>
      <c r="E534" s="96"/>
      <c r="F534" s="65"/>
      <c r="G534" s="65"/>
      <c r="H534" s="41">
        <f t="shared" si="1"/>
        <v>0</v>
      </c>
      <c r="I534" s="49" t="str">
        <f t="shared" si="10"/>
        <v/>
      </c>
      <c r="J534" s="43" t="str">
        <f t="shared" si="50"/>
        <v/>
      </c>
      <c r="K534" s="78"/>
      <c r="L534" s="50">
        <f t="shared" si="49"/>
        <v>182</v>
      </c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ht="15.75" customHeight="1">
      <c r="A535" s="9"/>
      <c r="B535" s="81"/>
      <c r="C535" s="89"/>
      <c r="D535" s="83"/>
      <c r="E535" s="131"/>
      <c r="F535" s="88"/>
      <c r="G535" s="88"/>
      <c r="H535" s="41">
        <f t="shared" si="1"/>
        <v>0</v>
      </c>
      <c r="I535" s="49" t="str">
        <f t="shared" si="10"/>
        <v/>
      </c>
      <c r="J535" s="43" t="str">
        <f t="shared" si="50"/>
        <v/>
      </c>
      <c r="K535" s="78"/>
      <c r="L535" s="50">
        <f t="shared" si="49"/>
        <v>182</v>
      </c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ht="15.75" customHeight="1">
      <c r="A536" s="9"/>
      <c r="B536" s="81"/>
      <c r="C536" s="89"/>
      <c r="D536" s="83"/>
      <c r="E536" s="96"/>
      <c r="F536" s="65"/>
      <c r="G536" s="65"/>
      <c r="H536" s="41">
        <f t="shared" si="1"/>
        <v>0</v>
      </c>
      <c r="I536" s="49" t="str">
        <f t="shared" si="10"/>
        <v/>
      </c>
      <c r="J536" s="43" t="str">
        <f t="shared" si="50"/>
        <v/>
      </c>
      <c r="K536" s="78"/>
      <c r="L536" s="50">
        <f t="shared" si="49"/>
        <v>182</v>
      </c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ht="15.75" customHeight="1">
      <c r="A537" s="9"/>
      <c r="B537" s="81"/>
      <c r="C537" s="89"/>
      <c r="D537" s="83"/>
      <c r="E537" s="131"/>
      <c r="F537" s="88"/>
      <c r="G537" s="88"/>
      <c r="H537" s="41">
        <f t="shared" si="1"/>
        <v>0</v>
      </c>
      <c r="I537" s="49" t="str">
        <f t="shared" si="10"/>
        <v/>
      </c>
      <c r="J537" s="43" t="str">
        <f t="shared" si="50"/>
        <v/>
      </c>
      <c r="K537" s="78"/>
      <c r="L537" s="50">
        <f t="shared" si="49"/>
        <v>182</v>
      </c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ht="15.75" customHeight="1">
      <c r="A538" s="9"/>
      <c r="B538" s="81"/>
      <c r="C538" s="89"/>
      <c r="D538" s="83"/>
      <c r="E538" s="96"/>
      <c r="F538" s="225"/>
      <c r="G538" s="225"/>
      <c r="H538" s="41">
        <f t="shared" si="1"/>
        <v>0</v>
      </c>
      <c r="I538" s="49" t="str">
        <f t="shared" si="10"/>
        <v/>
      </c>
      <c r="J538" s="43" t="str">
        <f t="shared" si="50"/>
        <v/>
      </c>
      <c r="K538" s="78"/>
      <c r="L538" s="50">
        <f t="shared" si="49"/>
        <v>182</v>
      </c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ht="15.75" customHeight="1">
      <c r="A539" s="9"/>
      <c r="B539" s="81"/>
      <c r="C539" s="89"/>
      <c r="D539" s="83"/>
      <c r="E539" s="131"/>
      <c r="F539" s="88"/>
      <c r="G539" s="88"/>
      <c r="H539" s="41">
        <f t="shared" si="1"/>
        <v>0</v>
      </c>
      <c r="I539" s="49" t="str">
        <f t="shared" si="10"/>
        <v/>
      </c>
      <c r="J539" s="43" t="str">
        <f t="shared" si="50"/>
        <v/>
      </c>
      <c r="K539" s="78"/>
      <c r="L539" s="50">
        <f t="shared" si="49"/>
        <v>182</v>
      </c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ht="15.75" customHeight="1">
      <c r="A540" s="9"/>
      <c r="B540" s="81"/>
      <c r="C540" s="89"/>
      <c r="D540" s="83"/>
      <c r="E540" s="131"/>
      <c r="F540" s="88"/>
      <c r="G540" s="88"/>
      <c r="H540" s="41">
        <f t="shared" si="1"/>
        <v>0</v>
      </c>
      <c r="I540" s="49" t="str">
        <f t="shared" si="10"/>
        <v/>
      </c>
      <c r="J540" s="43" t="str">
        <f t="shared" si="50"/>
        <v/>
      </c>
      <c r="K540" s="78"/>
      <c r="L540" s="50">
        <f t="shared" si="49"/>
        <v>182</v>
      </c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ht="15.75" customHeight="1">
      <c r="A541" s="9"/>
      <c r="B541" s="81"/>
      <c r="C541" s="89"/>
      <c r="D541" s="83"/>
      <c r="E541" s="131"/>
      <c r="F541" s="88"/>
      <c r="G541" s="88"/>
      <c r="H541" s="41">
        <f t="shared" si="1"/>
        <v>0</v>
      </c>
      <c r="I541" s="49" t="str">
        <f t="shared" si="10"/>
        <v/>
      </c>
      <c r="J541" s="43" t="str">
        <f t="shared" si="50"/>
        <v/>
      </c>
      <c r="K541" s="78"/>
      <c r="L541" s="50">
        <f t="shared" si="49"/>
        <v>182</v>
      </c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ht="15.75" customHeight="1">
      <c r="A542" s="9"/>
      <c r="B542" s="81"/>
      <c r="C542" s="89"/>
      <c r="D542" s="83"/>
      <c r="E542" s="96"/>
      <c r="F542" s="65"/>
      <c r="G542" s="65"/>
      <c r="H542" s="41">
        <f t="shared" si="1"/>
        <v>0</v>
      </c>
      <c r="I542" s="49" t="str">
        <f t="shared" si="10"/>
        <v/>
      </c>
      <c r="J542" s="43" t="str">
        <f t="shared" si="50"/>
        <v/>
      </c>
      <c r="K542" s="78"/>
      <c r="L542" s="50">
        <f t="shared" si="49"/>
        <v>182</v>
      </c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ht="15.75" customHeight="1">
      <c r="A543" s="9"/>
      <c r="B543" s="81"/>
      <c r="C543" s="89"/>
      <c r="D543" s="83"/>
      <c r="E543" s="96"/>
      <c r="F543" s="65"/>
      <c r="G543" s="65"/>
      <c r="H543" s="41">
        <f t="shared" si="1"/>
        <v>0</v>
      </c>
      <c r="I543" s="49" t="str">
        <f t="shared" si="10"/>
        <v/>
      </c>
      <c r="J543" s="43" t="str">
        <f t="shared" si="50"/>
        <v/>
      </c>
      <c r="K543" s="78"/>
      <c r="L543" s="50">
        <f t="shared" si="49"/>
        <v>182</v>
      </c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ht="15.75" customHeight="1">
      <c r="A544" s="9"/>
      <c r="B544" s="81"/>
      <c r="C544" s="89"/>
      <c r="D544" s="83"/>
      <c r="E544" s="96"/>
      <c r="F544" s="65"/>
      <c r="G544" s="65"/>
      <c r="H544" s="41">
        <f t="shared" si="1"/>
        <v>0</v>
      </c>
      <c r="I544" s="49" t="str">
        <f t="shared" si="10"/>
        <v/>
      </c>
      <c r="J544" s="43" t="str">
        <f t="shared" si="50"/>
        <v/>
      </c>
      <c r="K544" s="78"/>
      <c r="L544" s="50">
        <f t="shared" si="49"/>
        <v>182</v>
      </c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ht="15.75" customHeight="1">
      <c r="A545" s="9"/>
      <c r="B545" s="81"/>
      <c r="C545" s="89"/>
      <c r="D545" s="83"/>
      <c r="E545" s="96"/>
      <c r="F545" s="65"/>
      <c r="G545" s="65"/>
      <c r="H545" s="41">
        <f t="shared" si="1"/>
        <v>0</v>
      </c>
      <c r="I545" s="49" t="str">
        <f t="shared" si="10"/>
        <v/>
      </c>
      <c r="J545" s="43" t="str">
        <f t="shared" si="50"/>
        <v/>
      </c>
      <c r="K545" s="78"/>
      <c r="L545" s="50">
        <f t="shared" si="49"/>
        <v>182</v>
      </c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ht="15.75" customHeight="1">
      <c r="A546" s="9"/>
      <c r="B546" s="81"/>
      <c r="C546" s="89"/>
      <c r="D546" s="83"/>
      <c r="E546" s="131"/>
      <c r="F546" s="88"/>
      <c r="G546" s="88"/>
      <c r="H546" s="41">
        <f t="shared" si="1"/>
        <v>0</v>
      </c>
      <c r="I546" s="49" t="str">
        <f t="shared" si="10"/>
        <v/>
      </c>
      <c r="J546" s="43" t="str">
        <f t="shared" si="50"/>
        <v/>
      </c>
      <c r="K546" s="78"/>
      <c r="L546" s="50">
        <f t="shared" si="49"/>
        <v>182</v>
      </c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ht="15.75" customHeight="1">
      <c r="A547" s="9"/>
      <c r="B547" s="81"/>
      <c r="C547" s="89"/>
      <c r="D547" s="83"/>
      <c r="E547" s="96"/>
      <c r="F547" s="65"/>
      <c r="G547" s="65"/>
      <c r="H547" s="41">
        <f t="shared" si="1"/>
        <v>0</v>
      </c>
      <c r="I547" s="49" t="str">
        <f t="shared" si="10"/>
        <v/>
      </c>
      <c r="J547" s="43" t="str">
        <f t="shared" si="50"/>
        <v/>
      </c>
      <c r="K547" s="78"/>
      <c r="L547" s="50">
        <f t="shared" si="49"/>
        <v>182</v>
      </c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ht="15.75" customHeight="1">
      <c r="A548" s="9"/>
      <c r="B548" s="81"/>
      <c r="C548" s="89"/>
      <c r="D548" s="83"/>
      <c r="E548" s="131"/>
      <c r="F548" s="88"/>
      <c r="G548" s="88"/>
      <c r="H548" s="41">
        <f t="shared" si="1"/>
        <v>0</v>
      </c>
      <c r="I548" s="49" t="str">
        <f t="shared" si="10"/>
        <v/>
      </c>
      <c r="J548" s="43" t="str">
        <f t="shared" si="50"/>
        <v/>
      </c>
      <c r="K548" s="78"/>
      <c r="L548" s="50">
        <f t="shared" si="49"/>
        <v>182</v>
      </c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ht="15.75" customHeight="1">
      <c r="A549" s="9"/>
      <c r="B549" s="81"/>
      <c r="C549" s="89"/>
      <c r="D549" s="126"/>
      <c r="E549" s="131"/>
      <c r="F549" s="88"/>
      <c r="G549" s="88"/>
      <c r="H549" s="41">
        <f t="shared" si="1"/>
        <v>0</v>
      </c>
      <c r="I549" s="49" t="str">
        <f t="shared" si="10"/>
        <v/>
      </c>
      <c r="J549" s="43" t="str">
        <f t="shared" si="50"/>
        <v/>
      </c>
      <c r="K549" s="78"/>
      <c r="L549" s="50">
        <f t="shared" si="49"/>
        <v>182</v>
      </c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ht="15.75" customHeight="1">
      <c r="A550" s="9"/>
      <c r="B550" s="81"/>
      <c r="C550" s="89"/>
      <c r="D550" s="83"/>
      <c r="E550" s="96"/>
      <c r="F550" s="65"/>
      <c r="G550" s="65"/>
      <c r="H550" s="41">
        <f t="shared" si="1"/>
        <v>0</v>
      </c>
      <c r="I550" s="49" t="str">
        <f t="shared" si="10"/>
        <v/>
      </c>
      <c r="J550" s="43" t="str">
        <f t="shared" si="50"/>
        <v/>
      </c>
      <c r="K550" s="78"/>
      <c r="L550" s="50">
        <f t="shared" si="49"/>
        <v>182</v>
      </c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ht="15.75" customHeight="1">
      <c r="A551" s="9"/>
      <c r="B551" s="81"/>
      <c r="C551" s="89"/>
      <c r="D551" s="83"/>
      <c r="E551" s="96"/>
      <c r="F551" s="65"/>
      <c r="G551" s="65"/>
      <c r="H551" s="41">
        <f t="shared" si="1"/>
        <v>0</v>
      </c>
      <c r="I551" s="49" t="str">
        <f t="shared" si="10"/>
        <v/>
      </c>
      <c r="J551" s="43" t="str">
        <f t="shared" si="50"/>
        <v/>
      </c>
      <c r="K551" s="78"/>
      <c r="L551" s="50">
        <f t="shared" si="49"/>
        <v>182</v>
      </c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ht="15.75" customHeight="1">
      <c r="A552" s="9"/>
      <c r="B552" s="81"/>
      <c r="C552" s="89"/>
      <c r="D552" s="83"/>
      <c r="E552" s="96"/>
      <c r="F552" s="65"/>
      <c r="G552" s="65"/>
      <c r="H552" s="41">
        <f t="shared" si="1"/>
        <v>0</v>
      </c>
      <c r="I552" s="49" t="str">
        <f t="shared" si="10"/>
        <v/>
      </c>
      <c r="J552" s="43" t="str">
        <f t="shared" si="50"/>
        <v/>
      </c>
      <c r="K552" s="78"/>
      <c r="L552" s="50">
        <f t="shared" si="49"/>
        <v>182</v>
      </c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ht="15.75" customHeight="1">
      <c r="A553" s="9"/>
      <c r="B553" s="81"/>
      <c r="C553" s="89"/>
      <c r="D553" s="83"/>
      <c r="E553" s="96"/>
      <c r="F553" s="65"/>
      <c r="G553" s="65"/>
      <c r="H553" s="41">
        <f t="shared" si="1"/>
        <v>0</v>
      </c>
      <c r="I553" s="49" t="str">
        <f t="shared" si="10"/>
        <v/>
      </c>
      <c r="J553" s="43" t="str">
        <f t="shared" si="50"/>
        <v/>
      </c>
      <c r="K553" s="78"/>
      <c r="L553" s="50">
        <f t="shared" si="49"/>
        <v>182</v>
      </c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ht="15.75" customHeight="1">
      <c r="A554" s="9"/>
      <c r="B554" s="81"/>
      <c r="C554" s="89"/>
      <c r="D554" s="83"/>
      <c r="E554" s="96"/>
      <c r="F554" s="65"/>
      <c r="G554" s="65"/>
      <c r="H554" s="41">
        <f t="shared" si="1"/>
        <v>0</v>
      </c>
      <c r="I554" s="49" t="str">
        <f t="shared" si="10"/>
        <v/>
      </c>
      <c r="J554" s="43" t="str">
        <f t="shared" si="50"/>
        <v/>
      </c>
      <c r="K554" s="78"/>
      <c r="L554" s="50">
        <f t="shared" si="49"/>
        <v>182</v>
      </c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ht="15.75" customHeight="1">
      <c r="A555" s="9"/>
      <c r="B555" s="81"/>
      <c r="C555" s="89"/>
      <c r="D555" s="83"/>
      <c r="E555" s="96"/>
      <c r="F555" s="65"/>
      <c r="G555" s="65"/>
      <c r="H555" s="41">
        <f t="shared" si="1"/>
        <v>0</v>
      </c>
      <c r="I555" s="49" t="str">
        <f t="shared" si="10"/>
        <v/>
      </c>
      <c r="J555" s="43" t="str">
        <f t="shared" si="50"/>
        <v/>
      </c>
      <c r="K555" s="207"/>
      <c r="L555" s="271">
        <f t="shared" si="49"/>
        <v>182</v>
      </c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ht="15.75" customHeight="1">
      <c r="A556" s="9"/>
      <c r="B556" s="81"/>
      <c r="C556" s="89"/>
      <c r="D556" s="83"/>
      <c r="E556" s="96"/>
      <c r="F556" s="96"/>
      <c r="G556" s="96"/>
      <c r="H556" s="41">
        <f t="shared" si="1"/>
        <v>0</v>
      </c>
      <c r="I556" s="49" t="str">
        <f t="shared" si="10"/>
        <v/>
      </c>
      <c r="J556" s="43"/>
      <c r="K556" s="209"/>
      <c r="L556" s="210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ht="15.75" customHeight="1">
      <c r="A557" s="9"/>
      <c r="B557" s="81"/>
      <c r="C557" s="89"/>
      <c r="D557" s="83"/>
      <c r="E557" s="96"/>
      <c r="F557" s="96"/>
      <c r="G557" s="96"/>
      <c r="H557" s="41">
        <f t="shared" si="1"/>
        <v>0</v>
      </c>
      <c r="I557" s="49" t="str">
        <f t="shared" si="10"/>
        <v/>
      </c>
      <c r="J557" s="43"/>
      <c r="K557" s="209"/>
      <c r="L557" s="210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ht="15.75" customHeight="1">
      <c r="A558" s="9"/>
      <c r="B558" s="81"/>
      <c r="C558" s="89"/>
      <c r="D558" s="83"/>
      <c r="E558" s="96"/>
      <c r="F558" s="96"/>
      <c r="G558" s="96"/>
      <c r="H558" s="41">
        <f t="shared" si="1"/>
        <v>0</v>
      </c>
      <c r="I558" s="49" t="str">
        <f t="shared" si="10"/>
        <v/>
      </c>
      <c r="J558" s="211" t="str">
        <f t="shared" ref="J558:J566" si="51">IF(ISERROR(MAX(E558:G558)/H558-1),"",(MAX(E558:G558)/H558-1))</f>
        <v/>
      </c>
      <c r="K558" s="212"/>
      <c r="L558" s="212">
        <f t="shared" ref="L558:L680" si="52">EDATE(K558,6)</f>
        <v>182</v>
      </c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ht="15.75" customHeight="1">
      <c r="A559" s="9"/>
      <c r="B559" s="81"/>
      <c r="C559" s="89"/>
      <c r="D559" s="83"/>
      <c r="E559" s="96"/>
      <c r="F559" s="225"/>
      <c r="G559" s="225"/>
      <c r="H559" s="41">
        <f t="shared" si="1"/>
        <v>0</v>
      </c>
      <c r="I559" s="49" t="str">
        <f t="shared" si="10"/>
        <v/>
      </c>
      <c r="J559" s="43" t="str">
        <f t="shared" si="51"/>
        <v/>
      </c>
      <c r="K559" s="78"/>
      <c r="L559" s="50">
        <f t="shared" si="52"/>
        <v>182</v>
      </c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ht="15.75" customHeight="1">
      <c r="A560" s="9"/>
      <c r="B560" s="81"/>
      <c r="C560" s="89"/>
      <c r="D560" s="83"/>
      <c r="E560" s="131"/>
      <c r="F560" s="88"/>
      <c r="G560" s="88"/>
      <c r="H560" s="41">
        <f t="shared" si="1"/>
        <v>0</v>
      </c>
      <c r="I560" s="49" t="str">
        <f t="shared" si="10"/>
        <v/>
      </c>
      <c r="J560" s="43" t="str">
        <f t="shared" si="51"/>
        <v/>
      </c>
      <c r="K560" s="78"/>
      <c r="L560" s="50">
        <f t="shared" si="52"/>
        <v>182</v>
      </c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ht="15.75" customHeight="1">
      <c r="A561" s="9"/>
      <c r="B561" s="81"/>
      <c r="C561" s="89"/>
      <c r="D561" s="83"/>
      <c r="E561" s="131"/>
      <c r="F561" s="88"/>
      <c r="G561" s="88"/>
      <c r="H561" s="41">
        <f t="shared" si="1"/>
        <v>0</v>
      </c>
      <c r="I561" s="49" t="str">
        <f t="shared" si="10"/>
        <v/>
      </c>
      <c r="J561" s="43" t="str">
        <f t="shared" si="51"/>
        <v/>
      </c>
      <c r="K561" s="78"/>
      <c r="L561" s="50">
        <f t="shared" si="52"/>
        <v>182</v>
      </c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ht="15.75" customHeight="1">
      <c r="A562" s="9"/>
      <c r="B562" s="81"/>
      <c r="C562" s="89"/>
      <c r="D562" s="83"/>
      <c r="E562" s="131"/>
      <c r="F562" s="131"/>
      <c r="G562" s="131"/>
      <c r="H562" s="41">
        <f t="shared" si="1"/>
        <v>0</v>
      </c>
      <c r="I562" s="49" t="str">
        <f t="shared" si="10"/>
        <v/>
      </c>
      <c r="J562" s="211" t="str">
        <f t="shared" si="51"/>
        <v/>
      </c>
      <c r="K562" s="214"/>
      <c r="L562" s="214">
        <f t="shared" si="52"/>
        <v>182</v>
      </c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ht="15.75" customHeight="1">
      <c r="A563" s="9"/>
      <c r="B563" s="81"/>
      <c r="C563" s="89"/>
      <c r="D563" s="83"/>
      <c r="E563" s="131"/>
      <c r="F563" s="131"/>
      <c r="G563" s="131"/>
      <c r="H563" s="41">
        <f t="shared" si="1"/>
        <v>0</v>
      </c>
      <c r="I563" s="49" t="str">
        <f t="shared" si="10"/>
        <v/>
      </c>
      <c r="J563" s="211" t="str">
        <f t="shared" si="51"/>
        <v/>
      </c>
      <c r="K563" s="214"/>
      <c r="L563" s="214">
        <f t="shared" si="52"/>
        <v>182</v>
      </c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ht="15.75" customHeight="1">
      <c r="A564" s="9"/>
      <c r="B564" s="81"/>
      <c r="C564" s="89"/>
      <c r="D564" s="83"/>
      <c r="E564" s="96"/>
      <c r="F564" s="225"/>
      <c r="G564" s="96"/>
      <c r="H564" s="41">
        <f t="shared" si="1"/>
        <v>0</v>
      </c>
      <c r="I564" s="49" t="str">
        <f t="shared" si="10"/>
        <v/>
      </c>
      <c r="J564" s="211" t="str">
        <f t="shared" si="51"/>
        <v/>
      </c>
      <c r="K564" s="214"/>
      <c r="L564" s="214">
        <f t="shared" si="52"/>
        <v>182</v>
      </c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ht="15.75" customHeight="1">
      <c r="A565" s="9"/>
      <c r="B565" s="81"/>
      <c r="C565" s="89"/>
      <c r="D565" s="128"/>
      <c r="E565" s="96"/>
      <c r="F565" s="225"/>
      <c r="G565" s="96"/>
      <c r="H565" s="41">
        <f t="shared" si="1"/>
        <v>0</v>
      </c>
      <c r="I565" s="49" t="str">
        <f t="shared" si="10"/>
        <v/>
      </c>
      <c r="J565" s="211" t="str">
        <f t="shared" si="51"/>
        <v/>
      </c>
      <c r="K565" s="214"/>
      <c r="L565" s="214">
        <f t="shared" si="52"/>
        <v>182</v>
      </c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ht="15.75" customHeight="1">
      <c r="A566" s="9"/>
      <c r="B566" s="81"/>
      <c r="C566" s="89"/>
      <c r="D566" s="83"/>
      <c r="E566" s="96"/>
      <c r="F566" s="225"/>
      <c r="G566" s="225"/>
      <c r="H566" s="41">
        <f t="shared" si="1"/>
        <v>0</v>
      </c>
      <c r="I566" s="49" t="str">
        <f t="shared" si="10"/>
        <v/>
      </c>
      <c r="J566" s="43" t="str">
        <f t="shared" si="51"/>
        <v/>
      </c>
      <c r="K566" s="272"/>
      <c r="L566" s="45">
        <f t="shared" si="52"/>
        <v>182</v>
      </c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ht="15.75" customHeight="1">
      <c r="A567" s="9"/>
      <c r="B567" s="81"/>
      <c r="C567" s="89"/>
      <c r="D567" s="83"/>
      <c r="E567" s="96"/>
      <c r="F567" s="65"/>
      <c r="G567" s="65"/>
      <c r="H567" s="41">
        <f t="shared" si="1"/>
        <v>0</v>
      </c>
      <c r="I567" s="49" t="str">
        <f t="shared" si="10"/>
        <v/>
      </c>
      <c r="J567" s="43"/>
      <c r="K567" s="78"/>
      <c r="L567" s="50">
        <f t="shared" si="52"/>
        <v>182</v>
      </c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ht="15.75" customHeight="1">
      <c r="A568" s="9"/>
      <c r="B568" s="81"/>
      <c r="C568" s="89"/>
      <c r="D568" s="83"/>
      <c r="E568" s="96"/>
      <c r="F568" s="65"/>
      <c r="G568" s="65"/>
      <c r="H568" s="41">
        <f t="shared" si="1"/>
        <v>0</v>
      </c>
      <c r="I568" s="49" t="str">
        <f t="shared" si="10"/>
        <v/>
      </c>
      <c r="J568" s="43" t="str">
        <f t="shared" ref="J568:J571" si="53">IF(ISERROR(MAX(E568:G568)/H568-1),"",(MAX(E568:G568)/H568-1))</f>
        <v/>
      </c>
      <c r="K568" s="78"/>
      <c r="L568" s="50">
        <f t="shared" si="52"/>
        <v>182</v>
      </c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ht="15.75" customHeight="1">
      <c r="A569" s="9"/>
      <c r="B569" s="81"/>
      <c r="C569" s="89"/>
      <c r="D569" s="127"/>
      <c r="E569" s="96"/>
      <c r="F569" s="65"/>
      <c r="G569" s="65"/>
      <c r="H569" s="41">
        <f t="shared" si="1"/>
        <v>0</v>
      </c>
      <c r="I569" s="49" t="str">
        <f t="shared" si="10"/>
        <v/>
      </c>
      <c r="J569" s="43" t="str">
        <f t="shared" si="53"/>
        <v/>
      </c>
      <c r="K569" s="78"/>
      <c r="L569" s="50">
        <f t="shared" si="52"/>
        <v>182</v>
      </c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ht="15.75" customHeight="1">
      <c r="A570" s="9"/>
      <c r="B570" s="81"/>
      <c r="C570" s="89"/>
      <c r="D570" s="83"/>
      <c r="E570" s="131"/>
      <c r="F570" s="88"/>
      <c r="G570" s="88"/>
      <c r="H570" s="41">
        <f t="shared" si="1"/>
        <v>0</v>
      </c>
      <c r="I570" s="49" t="str">
        <f t="shared" si="10"/>
        <v/>
      </c>
      <c r="J570" s="43" t="str">
        <f t="shared" si="53"/>
        <v/>
      </c>
      <c r="K570" s="78"/>
      <c r="L570" s="50">
        <f t="shared" si="52"/>
        <v>182</v>
      </c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ht="15.75" customHeight="1">
      <c r="A571" s="9"/>
      <c r="B571" s="81"/>
      <c r="C571" s="89"/>
      <c r="D571" s="83"/>
      <c r="E571" s="131"/>
      <c r="F571" s="88"/>
      <c r="G571" s="88"/>
      <c r="H571" s="41">
        <f t="shared" si="1"/>
        <v>0</v>
      </c>
      <c r="I571" s="49" t="str">
        <f t="shared" si="10"/>
        <v/>
      </c>
      <c r="J571" s="43" t="str">
        <f t="shared" si="53"/>
        <v/>
      </c>
      <c r="K571" s="78"/>
      <c r="L571" s="50">
        <f t="shared" si="52"/>
        <v>182</v>
      </c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ht="15.75" customHeight="1">
      <c r="A572" s="9"/>
      <c r="B572" s="81"/>
      <c r="C572" s="89"/>
      <c r="D572" s="83"/>
      <c r="E572" s="96"/>
      <c r="F572" s="65"/>
      <c r="G572" s="65"/>
      <c r="H572" s="41">
        <f t="shared" si="1"/>
        <v>0</v>
      </c>
      <c r="I572" s="49" t="str">
        <f t="shared" si="10"/>
        <v/>
      </c>
      <c r="J572" s="43"/>
      <c r="K572" s="78"/>
      <c r="L572" s="50">
        <f t="shared" si="52"/>
        <v>182</v>
      </c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ht="15.75" customHeight="1">
      <c r="A573" s="9"/>
      <c r="B573" s="81"/>
      <c r="C573" s="89"/>
      <c r="D573" s="83"/>
      <c r="E573" s="96"/>
      <c r="F573" s="65"/>
      <c r="G573" s="65"/>
      <c r="H573" s="41">
        <f t="shared" si="1"/>
        <v>0</v>
      </c>
      <c r="I573" s="49" t="str">
        <f t="shared" si="10"/>
        <v/>
      </c>
      <c r="J573" s="43"/>
      <c r="K573" s="78"/>
      <c r="L573" s="50">
        <f t="shared" si="52"/>
        <v>182</v>
      </c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ht="15.75" customHeight="1">
      <c r="A574" s="9"/>
      <c r="B574" s="81"/>
      <c r="C574" s="89"/>
      <c r="D574" s="83"/>
      <c r="E574" s="131"/>
      <c r="F574" s="88"/>
      <c r="G574" s="88"/>
      <c r="H574" s="41">
        <f t="shared" si="1"/>
        <v>0</v>
      </c>
      <c r="I574" s="49" t="str">
        <f t="shared" si="10"/>
        <v/>
      </c>
      <c r="J574" s="43" t="str">
        <f t="shared" ref="J574:J671" si="54">IF(ISERROR(MAX(E574:G574)/H574-1),"",(MAX(E574:G574)/H574-1))</f>
        <v/>
      </c>
      <c r="K574" s="78"/>
      <c r="L574" s="50">
        <f t="shared" si="52"/>
        <v>182</v>
      </c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ht="15.75" customHeight="1">
      <c r="A575" s="9"/>
      <c r="B575" s="81"/>
      <c r="C575" s="89"/>
      <c r="D575" s="126"/>
      <c r="E575" s="131"/>
      <c r="F575" s="88"/>
      <c r="G575" s="88"/>
      <c r="H575" s="41">
        <f t="shared" si="1"/>
        <v>0</v>
      </c>
      <c r="I575" s="49" t="str">
        <f t="shared" si="10"/>
        <v/>
      </c>
      <c r="J575" s="43" t="str">
        <f t="shared" si="54"/>
        <v/>
      </c>
      <c r="K575" s="78"/>
      <c r="L575" s="50">
        <f t="shared" si="52"/>
        <v>182</v>
      </c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ht="15.75" customHeight="1">
      <c r="A576" s="9"/>
      <c r="B576" s="81"/>
      <c r="C576" s="89"/>
      <c r="D576" s="128"/>
      <c r="E576" s="96"/>
      <c r="F576" s="65"/>
      <c r="G576" s="65"/>
      <c r="H576" s="41">
        <f t="shared" si="1"/>
        <v>0</v>
      </c>
      <c r="I576" s="49" t="str">
        <f t="shared" si="10"/>
        <v/>
      </c>
      <c r="J576" s="43" t="str">
        <f t="shared" si="54"/>
        <v/>
      </c>
      <c r="K576" s="78"/>
      <c r="L576" s="50">
        <f t="shared" si="52"/>
        <v>182</v>
      </c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ht="15.75" customHeight="1">
      <c r="A577" s="9"/>
      <c r="B577" s="81"/>
      <c r="C577" s="89"/>
      <c r="D577" s="83"/>
      <c r="E577" s="96"/>
      <c r="F577" s="65"/>
      <c r="G577" s="65"/>
      <c r="H577" s="41">
        <f t="shared" si="1"/>
        <v>0</v>
      </c>
      <c r="I577" s="49" t="str">
        <f t="shared" si="10"/>
        <v/>
      </c>
      <c r="J577" s="43" t="str">
        <f t="shared" si="54"/>
        <v/>
      </c>
      <c r="K577" s="78"/>
      <c r="L577" s="50">
        <f t="shared" si="52"/>
        <v>182</v>
      </c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ht="15.75" customHeight="1">
      <c r="A578" s="9"/>
      <c r="B578" s="81"/>
      <c r="C578" s="89"/>
      <c r="D578" s="224"/>
      <c r="E578" s="96"/>
      <c r="F578" s="65"/>
      <c r="G578" s="65"/>
      <c r="H578" s="41">
        <f t="shared" si="1"/>
        <v>0</v>
      </c>
      <c r="I578" s="49" t="str">
        <f t="shared" si="10"/>
        <v/>
      </c>
      <c r="J578" s="43" t="str">
        <f t="shared" si="54"/>
        <v/>
      </c>
      <c r="K578" s="78"/>
      <c r="L578" s="50">
        <f t="shared" si="52"/>
        <v>182</v>
      </c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ht="15.75" customHeight="1">
      <c r="A579" s="9"/>
      <c r="B579" s="81"/>
      <c r="C579" s="89"/>
      <c r="D579" s="83"/>
      <c r="E579" s="96"/>
      <c r="F579" s="65"/>
      <c r="G579" s="65"/>
      <c r="H579" s="41">
        <f t="shared" si="1"/>
        <v>0</v>
      </c>
      <c r="I579" s="49" t="str">
        <f t="shared" si="10"/>
        <v/>
      </c>
      <c r="J579" s="43" t="str">
        <f t="shared" si="54"/>
        <v/>
      </c>
      <c r="K579" s="78"/>
      <c r="L579" s="50">
        <f t="shared" si="52"/>
        <v>182</v>
      </c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ht="15.75" customHeight="1">
      <c r="A580" s="9"/>
      <c r="B580" s="81"/>
      <c r="C580" s="89"/>
      <c r="D580" s="83"/>
      <c r="E580" s="96"/>
      <c r="F580" s="65"/>
      <c r="G580" s="65"/>
      <c r="H580" s="41">
        <f t="shared" si="1"/>
        <v>0</v>
      </c>
      <c r="I580" s="49" t="str">
        <f t="shared" si="10"/>
        <v/>
      </c>
      <c r="J580" s="43" t="str">
        <f t="shared" si="54"/>
        <v/>
      </c>
      <c r="K580" s="78"/>
      <c r="L580" s="50">
        <f t="shared" si="52"/>
        <v>182</v>
      </c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ht="15.75" customHeight="1">
      <c r="A581" s="9"/>
      <c r="B581" s="81"/>
      <c r="C581" s="89"/>
      <c r="D581" s="83"/>
      <c r="E581" s="96"/>
      <c r="F581" s="225"/>
      <c r="G581" s="225"/>
      <c r="H581" s="41">
        <f t="shared" si="1"/>
        <v>0</v>
      </c>
      <c r="I581" s="49" t="str">
        <f t="shared" si="10"/>
        <v/>
      </c>
      <c r="J581" s="43" t="str">
        <f t="shared" si="54"/>
        <v/>
      </c>
      <c r="K581" s="78"/>
      <c r="L581" s="50">
        <f t="shared" si="52"/>
        <v>182</v>
      </c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ht="15.75" customHeight="1">
      <c r="A582" s="9"/>
      <c r="B582" s="81"/>
      <c r="C582" s="89"/>
      <c r="D582" s="83"/>
      <c r="E582" s="96"/>
      <c r="F582" s="65"/>
      <c r="G582" s="65"/>
      <c r="H582" s="41">
        <f t="shared" si="1"/>
        <v>0</v>
      </c>
      <c r="I582" s="49" t="str">
        <f t="shared" si="10"/>
        <v/>
      </c>
      <c r="J582" s="43" t="str">
        <f t="shared" si="54"/>
        <v/>
      </c>
      <c r="K582" s="78"/>
      <c r="L582" s="50">
        <f t="shared" si="52"/>
        <v>182</v>
      </c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ht="15.75" customHeight="1">
      <c r="A583" s="9"/>
      <c r="B583" s="81"/>
      <c r="C583" s="89"/>
      <c r="D583" s="83"/>
      <c r="E583" s="96"/>
      <c r="F583" s="65"/>
      <c r="G583" s="65"/>
      <c r="H583" s="41">
        <f t="shared" si="1"/>
        <v>0</v>
      </c>
      <c r="I583" s="49" t="str">
        <f t="shared" si="10"/>
        <v/>
      </c>
      <c r="J583" s="43" t="str">
        <f t="shared" si="54"/>
        <v/>
      </c>
      <c r="K583" s="78"/>
      <c r="L583" s="50">
        <f t="shared" si="52"/>
        <v>182</v>
      </c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ht="15.75" customHeight="1">
      <c r="A584" s="9"/>
      <c r="B584" s="81"/>
      <c r="C584" s="89"/>
      <c r="D584" s="83"/>
      <c r="E584" s="96"/>
      <c r="F584" s="65"/>
      <c r="G584" s="65"/>
      <c r="H584" s="41">
        <f t="shared" si="1"/>
        <v>0</v>
      </c>
      <c r="I584" s="49" t="str">
        <f t="shared" si="10"/>
        <v/>
      </c>
      <c r="J584" s="43" t="str">
        <f t="shared" si="54"/>
        <v/>
      </c>
      <c r="K584" s="78"/>
      <c r="L584" s="50">
        <f t="shared" si="52"/>
        <v>182</v>
      </c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ht="15.75" customHeight="1">
      <c r="A585" s="9"/>
      <c r="B585" s="81"/>
      <c r="C585" s="89"/>
      <c r="D585" s="83"/>
      <c r="E585" s="131"/>
      <c r="F585" s="88"/>
      <c r="G585" s="88"/>
      <c r="H585" s="41">
        <f t="shared" si="1"/>
        <v>0</v>
      </c>
      <c r="I585" s="49" t="str">
        <f t="shared" si="10"/>
        <v/>
      </c>
      <c r="J585" s="43" t="str">
        <f t="shared" si="54"/>
        <v/>
      </c>
      <c r="K585" s="78"/>
      <c r="L585" s="50">
        <f t="shared" si="52"/>
        <v>182</v>
      </c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ht="15.75" customHeight="1">
      <c r="A586" s="9"/>
      <c r="B586" s="81"/>
      <c r="C586" s="89"/>
      <c r="D586" s="83"/>
      <c r="E586" s="96"/>
      <c r="F586" s="65"/>
      <c r="G586" s="65"/>
      <c r="H586" s="41">
        <f t="shared" si="1"/>
        <v>0</v>
      </c>
      <c r="I586" s="49" t="str">
        <f t="shared" si="10"/>
        <v/>
      </c>
      <c r="J586" s="43" t="str">
        <f t="shared" si="54"/>
        <v/>
      </c>
      <c r="K586" s="78"/>
      <c r="L586" s="50">
        <f t="shared" si="52"/>
        <v>182</v>
      </c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ht="15.75" customHeight="1">
      <c r="A587" s="9"/>
      <c r="B587" s="81"/>
      <c r="C587" s="89"/>
      <c r="D587" s="83"/>
      <c r="E587" s="96"/>
      <c r="F587" s="225"/>
      <c r="G587" s="65"/>
      <c r="H587" s="41">
        <f t="shared" si="1"/>
        <v>0</v>
      </c>
      <c r="I587" s="49" t="str">
        <f t="shared" si="10"/>
        <v/>
      </c>
      <c r="J587" s="43" t="str">
        <f t="shared" si="54"/>
        <v/>
      </c>
      <c r="K587" s="78"/>
      <c r="L587" s="50">
        <f t="shared" si="52"/>
        <v>182</v>
      </c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ht="15.75" customHeight="1">
      <c r="A588" s="9"/>
      <c r="B588" s="81"/>
      <c r="C588" s="89"/>
      <c r="D588" s="83"/>
      <c r="E588" s="96"/>
      <c r="F588" s="65"/>
      <c r="G588" s="65"/>
      <c r="H588" s="41">
        <f t="shared" si="1"/>
        <v>0</v>
      </c>
      <c r="I588" s="49" t="str">
        <f t="shared" si="10"/>
        <v/>
      </c>
      <c r="J588" s="43" t="str">
        <f t="shared" si="54"/>
        <v/>
      </c>
      <c r="K588" s="78"/>
      <c r="L588" s="50">
        <f t="shared" si="52"/>
        <v>182</v>
      </c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ht="15.75" customHeight="1">
      <c r="A589" s="9"/>
      <c r="B589" s="81"/>
      <c r="C589" s="89"/>
      <c r="D589" s="83"/>
      <c r="E589" s="96"/>
      <c r="F589" s="65"/>
      <c r="G589" s="65"/>
      <c r="H589" s="41">
        <f t="shared" si="1"/>
        <v>0</v>
      </c>
      <c r="I589" s="49" t="str">
        <f t="shared" si="10"/>
        <v/>
      </c>
      <c r="J589" s="43" t="str">
        <f t="shared" si="54"/>
        <v/>
      </c>
      <c r="K589" s="78"/>
      <c r="L589" s="50">
        <f t="shared" si="52"/>
        <v>182</v>
      </c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ht="15.75" customHeight="1">
      <c r="A590" s="9"/>
      <c r="B590" s="81"/>
      <c r="C590" s="89"/>
      <c r="D590" s="83"/>
      <c r="E590" s="96"/>
      <c r="F590" s="65"/>
      <c r="G590" s="65"/>
      <c r="H590" s="41">
        <f t="shared" si="1"/>
        <v>0</v>
      </c>
      <c r="I590" s="49" t="str">
        <f t="shared" si="10"/>
        <v/>
      </c>
      <c r="J590" s="43" t="str">
        <f t="shared" si="54"/>
        <v/>
      </c>
      <c r="K590" s="78"/>
      <c r="L590" s="50">
        <f t="shared" si="52"/>
        <v>182</v>
      </c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ht="15.75" customHeight="1">
      <c r="A591" s="9"/>
      <c r="B591" s="81"/>
      <c r="C591" s="89"/>
      <c r="D591" s="127"/>
      <c r="E591" s="96"/>
      <c r="F591" s="65"/>
      <c r="G591" s="65"/>
      <c r="H591" s="41">
        <f t="shared" si="1"/>
        <v>0</v>
      </c>
      <c r="I591" s="49" t="str">
        <f t="shared" si="10"/>
        <v/>
      </c>
      <c r="J591" s="43" t="str">
        <f t="shared" si="54"/>
        <v/>
      </c>
      <c r="K591" s="78"/>
      <c r="L591" s="50">
        <f t="shared" si="52"/>
        <v>182</v>
      </c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ht="15.75" customHeight="1">
      <c r="A592" s="9"/>
      <c r="B592" s="81"/>
      <c r="C592" s="89"/>
      <c r="D592" s="83"/>
      <c r="E592" s="96"/>
      <c r="F592" s="65"/>
      <c r="G592" s="65"/>
      <c r="H592" s="41">
        <f t="shared" si="1"/>
        <v>0</v>
      </c>
      <c r="I592" s="49" t="str">
        <f t="shared" si="10"/>
        <v/>
      </c>
      <c r="J592" s="43" t="str">
        <f t="shared" si="54"/>
        <v/>
      </c>
      <c r="K592" s="78"/>
      <c r="L592" s="50">
        <f t="shared" si="52"/>
        <v>182</v>
      </c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ht="15.75" customHeight="1">
      <c r="A593" s="9"/>
      <c r="B593" s="81"/>
      <c r="C593" s="89"/>
      <c r="D593" s="83"/>
      <c r="E593" s="96"/>
      <c r="F593" s="65"/>
      <c r="G593" s="65"/>
      <c r="H593" s="41">
        <f t="shared" si="1"/>
        <v>0</v>
      </c>
      <c r="I593" s="49" t="str">
        <f t="shared" si="10"/>
        <v/>
      </c>
      <c r="J593" s="43" t="str">
        <f t="shared" si="54"/>
        <v/>
      </c>
      <c r="K593" s="78"/>
      <c r="L593" s="50">
        <f t="shared" si="52"/>
        <v>182</v>
      </c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ht="15.75" customHeight="1">
      <c r="A594" s="9"/>
      <c r="B594" s="81"/>
      <c r="C594" s="89"/>
      <c r="D594" s="83"/>
      <c r="E594" s="96"/>
      <c r="F594" s="65"/>
      <c r="G594" s="65"/>
      <c r="H594" s="41">
        <f t="shared" si="1"/>
        <v>0</v>
      </c>
      <c r="I594" s="49" t="str">
        <f t="shared" si="10"/>
        <v/>
      </c>
      <c r="J594" s="43" t="str">
        <f t="shared" si="54"/>
        <v/>
      </c>
      <c r="K594" s="78"/>
      <c r="L594" s="50">
        <f t="shared" si="52"/>
        <v>182</v>
      </c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ht="15.75" customHeight="1">
      <c r="A595" s="9"/>
      <c r="B595" s="81"/>
      <c r="C595" s="89"/>
      <c r="D595" s="83"/>
      <c r="E595" s="131"/>
      <c r="F595" s="88"/>
      <c r="G595" s="88"/>
      <c r="H595" s="41">
        <f t="shared" si="1"/>
        <v>0</v>
      </c>
      <c r="I595" s="49" t="str">
        <f t="shared" si="10"/>
        <v/>
      </c>
      <c r="J595" s="43" t="str">
        <f t="shared" si="54"/>
        <v/>
      </c>
      <c r="K595" s="78"/>
      <c r="L595" s="50">
        <f t="shared" si="52"/>
        <v>182</v>
      </c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ht="15.75" customHeight="1">
      <c r="A596" s="9"/>
      <c r="B596" s="81"/>
      <c r="C596" s="89"/>
      <c r="D596" s="83"/>
      <c r="E596" s="96"/>
      <c r="F596" s="65"/>
      <c r="G596" s="65"/>
      <c r="H596" s="41">
        <f t="shared" si="1"/>
        <v>0</v>
      </c>
      <c r="I596" s="49" t="str">
        <f t="shared" si="10"/>
        <v/>
      </c>
      <c r="J596" s="43" t="str">
        <f t="shared" si="54"/>
        <v/>
      </c>
      <c r="K596" s="78"/>
      <c r="L596" s="50">
        <f t="shared" si="52"/>
        <v>182</v>
      </c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ht="15.75" customHeight="1">
      <c r="A597" s="9"/>
      <c r="B597" s="81"/>
      <c r="C597" s="89"/>
      <c r="D597" s="83"/>
      <c r="E597" s="96"/>
      <c r="F597" s="65"/>
      <c r="G597" s="65"/>
      <c r="H597" s="41">
        <f t="shared" si="1"/>
        <v>0</v>
      </c>
      <c r="I597" s="49" t="str">
        <f t="shared" si="10"/>
        <v/>
      </c>
      <c r="J597" s="43" t="str">
        <f t="shared" si="54"/>
        <v/>
      </c>
      <c r="K597" s="78"/>
      <c r="L597" s="50">
        <f t="shared" si="52"/>
        <v>182</v>
      </c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ht="15.75" customHeight="1">
      <c r="A598" s="9"/>
      <c r="B598" s="81"/>
      <c r="C598" s="89"/>
      <c r="D598" s="83"/>
      <c r="E598" s="96"/>
      <c r="F598" s="65"/>
      <c r="G598" s="65"/>
      <c r="H598" s="41">
        <f t="shared" si="1"/>
        <v>0</v>
      </c>
      <c r="I598" s="49" t="str">
        <f t="shared" si="10"/>
        <v/>
      </c>
      <c r="J598" s="43" t="str">
        <f t="shared" si="54"/>
        <v/>
      </c>
      <c r="K598" s="78"/>
      <c r="L598" s="50">
        <f t="shared" si="52"/>
        <v>182</v>
      </c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ht="15.75" customHeight="1">
      <c r="A599" s="9"/>
      <c r="B599" s="81"/>
      <c r="C599" s="89"/>
      <c r="D599" s="127"/>
      <c r="E599" s="96"/>
      <c r="F599" s="65"/>
      <c r="G599" s="65"/>
      <c r="H599" s="41">
        <f t="shared" si="1"/>
        <v>0</v>
      </c>
      <c r="I599" s="49" t="str">
        <f t="shared" si="10"/>
        <v/>
      </c>
      <c r="J599" s="43" t="str">
        <f t="shared" si="54"/>
        <v/>
      </c>
      <c r="K599" s="78"/>
      <c r="L599" s="50">
        <f t="shared" si="52"/>
        <v>182</v>
      </c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ht="15.75" customHeight="1">
      <c r="A600" s="9"/>
      <c r="B600" s="81"/>
      <c r="C600" s="89"/>
      <c r="D600" s="83"/>
      <c r="E600" s="131"/>
      <c r="F600" s="88"/>
      <c r="G600" s="88"/>
      <c r="H600" s="41">
        <f t="shared" si="1"/>
        <v>0</v>
      </c>
      <c r="I600" s="92" t="str">
        <f t="shared" si="10"/>
        <v/>
      </c>
      <c r="J600" s="226" t="str">
        <f t="shared" si="54"/>
        <v/>
      </c>
      <c r="K600" s="78"/>
      <c r="L600" s="50">
        <f t="shared" si="52"/>
        <v>182</v>
      </c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ht="15.75" customHeight="1">
      <c r="A601" s="9"/>
      <c r="B601" s="81"/>
      <c r="C601" s="89"/>
      <c r="D601" s="83"/>
      <c r="E601" s="96"/>
      <c r="F601" s="65"/>
      <c r="G601" s="65"/>
      <c r="H601" s="41">
        <f t="shared" si="1"/>
        <v>0</v>
      </c>
      <c r="I601" s="92" t="str">
        <f t="shared" si="10"/>
        <v/>
      </c>
      <c r="J601" s="226" t="str">
        <f t="shared" si="54"/>
        <v/>
      </c>
      <c r="K601" s="78"/>
      <c r="L601" s="50">
        <f t="shared" si="52"/>
        <v>182</v>
      </c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ht="15.75" customHeight="1">
      <c r="A602" s="9"/>
      <c r="B602" s="81"/>
      <c r="C602" s="89"/>
      <c r="D602" s="83"/>
      <c r="E602" s="96"/>
      <c r="F602" s="65"/>
      <c r="G602" s="65"/>
      <c r="H602" s="41">
        <f t="shared" si="1"/>
        <v>0</v>
      </c>
      <c r="I602" s="49" t="str">
        <f t="shared" si="10"/>
        <v/>
      </c>
      <c r="J602" s="43" t="str">
        <f t="shared" si="54"/>
        <v/>
      </c>
      <c r="K602" s="78"/>
      <c r="L602" s="50">
        <f t="shared" si="52"/>
        <v>182</v>
      </c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ht="15.75" customHeight="1">
      <c r="A603" s="9"/>
      <c r="B603" s="81"/>
      <c r="C603" s="89"/>
      <c r="D603" s="83"/>
      <c r="E603" s="131"/>
      <c r="F603" s="88"/>
      <c r="G603" s="88"/>
      <c r="H603" s="41">
        <f t="shared" si="1"/>
        <v>0</v>
      </c>
      <c r="I603" s="49" t="str">
        <f t="shared" si="10"/>
        <v/>
      </c>
      <c r="J603" s="43" t="str">
        <f t="shared" si="54"/>
        <v/>
      </c>
      <c r="K603" s="78"/>
      <c r="L603" s="50">
        <f t="shared" si="52"/>
        <v>182</v>
      </c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ht="15.75" customHeight="1">
      <c r="A604" s="9"/>
      <c r="B604" s="81"/>
      <c r="C604" s="89"/>
      <c r="D604" s="83"/>
      <c r="E604" s="131"/>
      <c r="F604" s="88"/>
      <c r="G604" s="88"/>
      <c r="H604" s="41">
        <f t="shared" si="1"/>
        <v>0</v>
      </c>
      <c r="I604" s="49" t="str">
        <f t="shared" si="10"/>
        <v/>
      </c>
      <c r="J604" s="43" t="str">
        <f t="shared" si="54"/>
        <v/>
      </c>
      <c r="K604" s="78"/>
      <c r="L604" s="50">
        <f t="shared" si="52"/>
        <v>182</v>
      </c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ht="15.75" customHeight="1">
      <c r="A605" s="9"/>
      <c r="B605" s="81"/>
      <c r="C605" s="89"/>
      <c r="D605" s="83"/>
      <c r="E605" s="131"/>
      <c r="F605" s="88"/>
      <c r="G605" s="88"/>
      <c r="H605" s="41">
        <f t="shared" si="1"/>
        <v>0</v>
      </c>
      <c r="I605" s="49" t="str">
        <f t="shared" si="10"/>
        <v/>
      </c>
      <c r="J605" s="43" t="str">
        <f t="shared" si="54"/>
        <v/>
      </c>
      <c r="K605" s="78"/>
      <c r="L605" s="50">
        <f t="shared" si="52"/>
        <v>182</v>
      </c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ht="15.75" customHeight="1">
      <c r="A606" s="9"/>
      <c r="B606" s="81"/>
      <c r="C606" s="89"/>
      <c r="D606" s="83"/>
      <c r="E606" s="96"/>
      <c r="F606" s="225"/>
      <c r="G606" s="225"/>
      <c r="H606" s="41">
        <f t="shared" si="1"/>
        <v>0</v>
      </c>
      <c r="I606" s="49" t="str">
        <f t="shared" si="10"/>
        <v/>
      </c>
      <c r="J606" s="43" t="str">
        <f t="shared" si="54"/>
        <v/>
      </c>
      <c r="K606" s="78"/>
      <c r="L606" s="50">
        <f t="shared" si="52"/>
        <v>182</v>
      </c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ht="15.75" customHeight="1">
      <c r="A607" s="9"/>
      <c r="B607" s="81"/>
      <c r="C607" s="89"/>
      <c r="D607" s="83"/>
      <c r="E607" s="96"/>
      <c r="F607" s="225"/>
      <c r="G607" s="225"/>
      <c r="H607" s="41">
        <f t="shared" si="1"/>
        <v>0</v>
      </c>
      <c r="I607" s="49" t="str">
        <f t="shared" si="10"/>
        <v/>
      </c>
      <c r="J607" s="43" t="str">
        <f t="shared" si="54"/>
        <v/>
      </c>
      <c r="K607" s="78"/>
      <c r="L607" s="50">
        <f t="shared" si="52"/>
        <v>182</v>
      </c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ht="15.75" customHeight="1">
      <c r="A608" s="9"/>
      <c r="B608" s="81"/>
      <c r="C608" s="89"/>
      <c r="D608" s="83"/>
      <c r="E608" s="131"/>
      <c r="F608" s="227"/>
      <c r="G608" s="227"/>
      <c r="H608" s="41">
        <f t="shared" si="1"/>
        <v>0</v>
      </c>
      <c r="I608" s="49" t="str">
        <f t="shared" si="10"/>
        <v/>
      </c>
      <c r="J608" s="43" t="str">
        <f t="shared" si="54"/>
        <v/>
      </c>
      <c r="K608" s="78"/>
      <c r="L608" s="50">
        <f t="shared" si="52"/>
        <v>182</v>
      </c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ht="15.75" customHeight="1">
      <c r="A609" s="9"/>
      <c r="B609" s="81"/>
      <c r="C609" s="89"/>
      <c r="D609" s="83"/>
      <c r="E609" s="131"/>
      <c r="F609" s="227"/>
      <c r="G609" s="227"/>
      <c r="H609" s="41">
        <f t="shared" si="1"/>
        <v>0</v>
      </c>
      <c r="I609" s="49" t="str">
        <f t="shared" si="10"/>
        <v/>
      </c>
      <c r="J609" s="43" t="str">
        <f t="shared" si="54"/>
        <v/>
      </c>
      <c r="K609" s="78"/>
      <c r="L609" s="50">
        <f t="shared" si="52"/>
        <v>182</v>
      </c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ht="15.75" customHeight="1">
      <c r="A610" s="9"/>
      <c r="B610" s="81"/>
      <c r="C610" s="89"/>
      <c r="D610" s="83"/>
      <c r="E610" s="131"/>
      <c r="F610" s="227"/>
      <c r="G610" s="227"/>
      <c r="H610" s="41">
        <f t="shared" si="1"/>
        <v>0</v>
      </c>
      <c r="I610" s="49" t="str">
        <f t="shared" si="10"/>
        <v/>
      </c>
      <c r="J610" s="43" t="str">
        <f t="shared" si="54"/>
        <v/>
      </c>
      <c r="K610" s="78"/>
      <c r="L610" s="50">
        <f t="shared" si="52"/>
        <v>182</v>
      </c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ht="15.75" customHeight="1">
      <c r="A611" s="9"/>
      <c r="B611" s="81"/>
      <c r="C611" s="89"/>
      <c r="D611" s="83"/>
      <c r="E611" s="131"/>
      <c r="F611" s="227"/>
      <c r="G611" s="227"/>
      <c r="H611" s="41">
        <f t="shared" si="1"/>
        <v>0</v>
      </c>
      <c r="I611" s="49" t="str">
        <f t="shared" si="10"/>
        <v/>
      </c>
      <c r="J611" s="43" t="str">
        <f t="shared" si="54"/>
        <v/>
      </c>
      <c r="K611" s="78"/>
      <c r="L611" s="50">
        <f t="shared" si="52"/>
        <v>182</v>
      </c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ht="15.75" customHeight="1">
      <c r="A612" s="9"/>
      <c r="B612" s="81"/>
      <c r="C612" s="89"/>
      <c r="D612" s="83"/>
      <c r="E612" s="96"/>
      <c r="F612" s="225"/>
      <c r="G612" s="225"/>
      <c r="H612" s="41">
        <f t="shared" si="1"/>
        <v>0</v>
      </c>
      <c r="I612" s="49" t="str">
        <f t="shared" si="10"/>
        <v/>
      </c>
      <c r="J612" s="43" t="str">
        <f t="shared" si="54"/>
        <v/>
      </c>
      <c r="K612" s="78"/>
      <c r="L612" s="50">
        <f t="shared" si="52"/>
        <v>182</v>
      </c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ht="15.75" customHeight="1">
      <c r="A613" s="9"/>
      <c r="B613" s="81"/>
      <c r="C613" s="89"/>
      <c r="D613" s="83"/>
      <c r="E613" s="131"/>
      <c r="F613" s="227"/>
      <c r="G613" s="227"/>
      <c r="H613" s="41">
        <f t="shared" si="1"/>
        <v>0</v>
      </c>
      <c r="I613" s="49" t="str">
        <f t="shared" si="10"/>
        <v/>
      </c>
      <c r="J613" s="43" t="str">
        <f t="shared" si="54"/>
        <v/>
      </c>
      <c r="K613" s="78"/>
      <c r="L613" s="50">
        <f t="shared" si="52"/>
        <v>182</v>
      </c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ht="15.75" customHeight="1">
      <c r="A614" s="9"/>
      <c r="B614" s="81"/>
      <c r="C614" s="89"/>
      <c r="D614" s="128"/>
      <c r="E614" s="96"/>
      <c r="F614" s="225"/>
      <c r="G614" s="225"/>
      <c r="H614" s="41">
        <f t="shared" si="1"/>
        <v>0</v>
      </c>
      <c r="I614" s="49" t="str">
        <f t="shared" si="10"/>
        <v/>
      </c>
      <c r="J614" s="43" t="str">
        <f t="shared" si="54"/>
        <v/>
      </c>
      <c r="K614" s="78"/>
      <c r="L614" s="50">
        <f t="shared" si="52"/>
        <v>182</v>
      </c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ht="15.75" customHeight="1">
      <c r="A615" s="9"/>
      <c r="B615" s="81"/>
      <c r="C615" s="89"/>
      <c r="D615" s="83"/>
      <c r="E615" s="131"/>
      <c r="F615" s="227"/>
      <c r="G615" s="227"/>
      <c r="H615" s="41">
        <f t="shared" si="1"/>
        <v>0</v>
      </c>
      <c r="I615" s="49" t="str">
        <f t="shared" si="10"/>
        <v/>
      </c>
      <c r="J615" s="43" t="str">
        <f t="shared" si="54"/>
        <v/>
      </c>
      <c r="K615" s="78"/>
      <c r="L615" s="50">
        <f t="shared" si="52"/>
        <v>182</v>
      </c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ht="15.75" customHeight="1">
      <c r="A616" s="9"/>
      <c r="B616" s="81"/>
      <c r="C616" s="89"/>
      <c r="D616" s="83"/>
      <c r="E616" s="131"/>
      <c r="F616" s="227"/>
      <c r="G616" s="227"/>
      <c r="H616" s="41">
        <f t="shared" si="1"/>
        <v>0</v>
      </c>
      <c r="I616" s="49" t="str">
        <f t="shared" si="10"/>
        <v/>
      </c>
      <c r="J616" s="43" t="str">
        <f t="shared" si="54"/>
        <v/>
      </c>
      <c r="K616" s="78"/>
      <c r="L616" s="50">
        <f t="shared" si="52"/>
        <v>182</v>
      </c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ht="15.75" customHeight="1">
      <c r="A617" s="9"/>
      <c r="B617" s="81"/>
      <c r="C617" s="89"/>
      <c r="D617" s="83"/>
      <c r="E617" s="131"/>
      <c r="F617" s="227"/>
      <c r="G617" s="227"/>
      <c r="H617" s="41">
        <f t="shared" si="1"/>
        <v>0</v>
      </c>
      <c r="I617" s="49" t="str">
        <f t="shared" si="10"/>
        <v/>
      </c>
      <c r="J617" s="43" t="str">
        <f t="shared" si="54"/>
        <v/>
      </c>
      <c r="K617" s="78"/>
      <c r="L617" s="50">
        <f t="shared" si="52"/>
        <v>182</v>
      </c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ht="15.75" customHeight="1">
      <c r="A618" s="9"/>
      <c r="B618" s="81"/>
      <c r="C618" s="89"/>
      <c r="D618" s="83"/>
      <c r="E618" s="96"/>
      <c r="F618" s="65"/>
      <c r="G618" s="65"/>
      <c r="H618" s="41">
        <f t="shared" si="1"/>
        <v>0</v>
      </c>
      <c r="I618" s="49" t="str">
        <f t="shared" si="10"/>
        <v/>
      </c>
      <c r="J618" s="43" t="str">
        <f t="shared" si="54"/>
        <v/>
      </c>
      <c r="K618" s="78"/>
      <c r="L618" s="50">
        <f t="shared" si="52"/>
        <v>182</v>
      </c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ht="15.75" customHeight="1">
      <c r="A619" s="9"/>
      <c r="B619" s="81"/>
      <c r="C619" s="89"/>
      <c r="D619" s="83"/>
      <c r="E619" s="131"/>
      <c r="F619" s="88"/>
      <c r="G619" s="88"/>
      <c r="H619" s="41">
        <f t="shared" si="1"/>
        <v>0</v>
      </c>
      <c r="I619" s="49" t="str">
        <f t="shared" si="10"/>
        <v/>
      </c>
      <c r="J619" s="43" t="str">
        <f t="shared" si="54"/>
        <v/>
      </c>
      <c r="K619" s="78"/>
      <c r="L619" s="50">
        <f t="shared" si="52"/>
        <v>182</v>
      </c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ht="15.75" customHeight="1">
      <c r="A620" s="9"/>
      <c r="B620" s="81"/>
      <c r="C620" s="89"/>
      <c r="D620" s="224"/>
      <c r="E620" s="131"/>
      <c r="F620" s="88"/>
      <c r="G620" s="88"/>
      <c r="H620" s="41">
        <f t="shared" si="1"/>
        <v>0</v>
      </c>
      <c r="I620" s="49" t="str">
        <f t="shared" si="10"/>
        <v/>
      </c>
      <c r="J620" s="43" t="str">
        <f t="shared" si="54"/>
        <v/>
      </c>
      <c r="K620" s="78"/>
      <c r="L620" s="50">
        <f t="shared" si="52"/>
        <v>182</v>
      </c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ht="15.75" customHeight="1">
      <c r="A621" s="9"/>
      <c r="B621" s="81"/>
      <c r="C621" s="89"/>
      <c r="D621" s="83"/>
      <c r="E621" s="131"/>
      <c r="F621" s="88"/>
      <c r="G621" s="88"/>
      <c r="H621" s="41">
        <f t="shared" si="1"/>
        <v>0</v>
      </c>
      <c r="I621" s="49" t="str">
        <f t="shared" si="10"/>
        <v/>
      </c>
      <c r="J621" s="43" t="str">
        <f t="shared" si="54"/>
        <v/>
      </c>
      <c r="K621" s="78"/>
      <c r="L621" s="50">
        <f t="shared" si="52"/>
        <v>182</v>
      </c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ht="15.75" customHeight="1">
      <c r="A622" s="9"/>
      <c r="B622" s="81"/>
      <c r="C622" s="89"/>
      <c r="D622" s="83"/>
      <c r="E622" s="131"/>
      <c r="F622" s="88"/>
      <c r="G622" s="88"/>
      <c r="H622" s="41">
        <f t="shared" si="1"/>
        <v>0</v>
      </c>
      <c r="I622" s="49" t="str">
        <f t="shared" si="10"/>
        <v/>
      </c>
      <c r="J622" s="43" t="str">
        <f t="shared" si="54"/>
        <v/>
      </c>
      <c r="K622" s="78"/>
      <c r="L622" s="50">
        <f t="shared" si="52"/>
        <v>182</v>
      </c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ht="15.75" customHeight="1">
      <c r="A623" s="9"/>
      <c r="B623" s="81"/>
      <c r="C623" s="89"/>
      <c r="D623" s="224"/>
      <c r="E623" s="131"/>
      <c r="F623" s="88"/>
      <c r="G623" s="88"/>
      <c r="H623" s="41">
        <f t="shared" si="1"/>
        <v>0</v>
      </c>
      <c r="I623" s="49" t="str">
        <f t="shared" si="10"/>
        <v/>
      </c>
      <c r="J623" s="43" t="str">
        <f t="shared" si="54"/>
        <v/>
      </c>
      <c r="K623" s="78"/>
      <c r="L623" s="50">
        <f t="shared" si="52"/>
        <v>182</v>
      </c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ht="15.75" customHeight="1">
      <c r="A624" s="9"/>
      <c r="B624" s="81"/>
      <c r="C624" s="89"/>
      <c r="D624" s="83"/>
      <c r="E624" s="131"/>
      <c r="F624" s="88"/>
      <c r="G624" s="88"/>
      <c r="H624" s="41">
        <f t="shared" si="1"/>
        <v>0</v>
      </c>
      <c r="I624" s="49" t="str">
        <f t="shared" si="10"/>
        <v/>
      </c>
      <c r="J624" s="43" t="str">
        <f t="shared" si="54"/>
        <v/>
      </c>
      <c r="K624" s="78"/>
      <c r="L624" s="50">
        <f t="shared" si="52"/>
        <v>182</v>
      </c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ht="15.75" customHeight="1">
      <c r="A625" s="9"/>
      <c r="B625" s="81"/>
      <c r="C625" s="89"/>
      <c r="D625" s="83"/>
      <c r="E625" s="96"/>
      <c r="F625" s="65"/>
      <c r="G625" s="65"/>
      <c r="H625" s="41">
        <f t="shared" si="1"/>
        <v>0</v>
      </c>
      <c r="I625" s="49" t="str">
        <f t="shared" si="10"/>
        <v/>
      </c>
      <c r="J625" s="43" t="str">
        <f t="shared" si="54"/>
        <v/>
      </c>
      <c r="K625" s="78"/>
      <c r="L625" s="50">
        <f t="shared" si="52"/>
        <v>182</v>
      </c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ht="15.75" customHeight="1">
      <c r="A626" s="9"/>
      <c r="B626" s="81"/>
      <c r="C626" s="89"/>
      <c r="D626" s="83"/>
      <c r="E626" s="131"/>
      <c r="F626" s="88"/>
      <c r="G626" s="88"/>
      <c r="H626" s="41">
        <f t="shared" si="1"/>
        <v>0</v>
      </c>
      <c r="I626" s="49" t="str">
        <f t="shared" si="10"/>
        <v/>
      </c>
      <c r="J626" s="43" t="str">
        <f t="shared" si="54"/>
        <v/>
      </c>
      <c r="K626" s="78"/>
      <c r="L626" s="50">
        <f t="shared" si="52"/>
        <v>182</v>
      </c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ht="15.75" customHeight="1">
      <c r="A627" s="9"/>
      <c r="B627" s="81"/>
      <c r="C627" s="89"/>
      <c r="D627" s="83"/>
      <c r="E627" s="131"/>
      <c r="F627" s="88"/>
      <c r="G627" s="88"/>
      <c r="H627" s="41">
        <f t="shared" si="1"/>
        <v>0</v>
      </c>
      <c r="I627" s="49" t="str">
        <f t="shared" si="10"/>
        <v/>
      </c>
      <c r="J627" s="43" t="str">
        <f t="shared" si="54"/>
        <v/>
      </c>
      <c r="K627" s="78"/>
      <c r="L627" s="50">
        <f t="shared" si="52"/>
        <v>182</v>
      </c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ht="15.75" customHeight="1">
      <c r="A628" s="9"/>
      <c r="B628" s="81"/>
      <c r="C628" s="89"/>
      <c r="D628" s="83"/>
      <c r="E628" s="131"/>
      <c r="F628" s="88"/>
      <c r="G628" s="88"/>
      <c r="H628" s="41">
        <f t="shared" si="1"/>
        <v>0</v>
      </c>
      <c r="I628" s="49" t="str">
        <f t="shared" si="10"/>
        <v/>
      </c>
      <c r="J628" s="43" t="str">
        <f t="shared" si="54"/>
        <v/>
      </c>
      <c r="K628" s="78"/>
      <c r="L628" s="50">
        <f t="shared" si="52"/>
        <v>182</v>
      </c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ht="15.75" customHeight="1">
      <c r="A629" s="9"/>
      <c r="B629" s="81"/>
      <c r="C629" s="89"/>
      <c r="D629" s="83"/>
      <c r="E629" s="131"/>
      <c r="F629" s="88"/>
      <c r="G629" s="88"/>
      <c r="H629" s="41">
        <f t="shared" si="1"/>
        <v>0</v>
      </c>
      <c r="I629" s="49" t="str">
        <f t="shared" si="10"/>
        <v/>
      </c>
      <c r="J629" s="43" t="str">
        <f t="shared" si="54"/>
        <v/>
      </c>
      <c r="K629" s="78"/>
      <c r="L629" s="50">
        <f t="shared" si="52"/>
        <v>182</v>
      </c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ht="15.75" customHeight="1">
      <c r="A630" s="9"/>
      <c r="B630" s="81"/>
      <c r="C630" s="89"/>
      <c r="D630" s="83"/>
      <c r="E630" s="131"/>
      <c r="F630" s="88"/>
      <c r="G630" s="88"/>
      <c r="H630" s="41">
        <f t="shared" si="1"/>
        <v>0</v>
      </c>
      <c r="I630" s="49" t="str">
        <f t="shared" si="10"/>
        <v/>
      </c>
      <c r="J630" s="43" t="str">
        <f t="shared" si="54"/>
        <v/>
      </c>
      <c r="K630" s="78"/>
      <c r="L630" s="50">
        <f t="shared" si="52"/>
        <v>182</v>
      </c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ht="15.75" customHeight="1">
      <c r="A631" s="9"/>
      <c r="B631" s="81"/>
      <c r="C631" s="89"/>
      <c r="D631" s="83"/>
      <c r="E631" s="131"/>
      <c r="F631" s="88"/>
      <c r="G631" s="88"/>
      <c r="H631" s="41">
        <f t="shared" si="1"/>
        <v>0</v>
      </c>
      <c r="I631" s="49" t="str">
        <f t="shared" si="10"/>
        <v/>
      </c>
      <c r="J631" s="43" t="str">
        <f t="shared" si="54"/>
        <v/>
      </c>
      <c r="K631" s="78"/>
      <c r="L631" s="50">
        <f t="shared" si="52"/>
        <v>182</v>
      </c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ht="15.75" customHeight="1">
      <c r="A632" s="9"/>
      <c r="B632" s="81"/>
      <c r="C632" s="89"/>
      <c r="D632" s="83"/>
      <c r="E632" s="131"/>
      <c r="F632" s="88"/>
      <c r="G632" s="88"/>
      <c r="H632" s="41">
        <f t="shared" si="1"/>
        <v>0</v>
      </c>
      <c r="I632" s="49" t="str">
        <f t="shared" si="10"/>
        <v/>
      </c>
      <c r="J632" s="43" t="str">
        <f t="shared" si="54"/>
        <v/>
      </c>
      <c r="K632" s="78"/>
      <c r="L632" s="50">
        <f t="shared" si="52"/>
        <v>182</v>
      </c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ht="15.75" customHeight="1">
      <c r="A633" s="9"/>
      <c r="B633" s="81"/>
      <c r="C633" s="89"/>
      <c r="D633" s="83"/>
      <c r="E633" s="131"/>
      <c r="F633" s="88"/>
      <c r="G633" s="88"/>
      <c r="H633" s="41">
        <f t="shared" si="1"/>
        <v>0</v>
      </c>
      <c r="I633" s="49" t="str">
        <f t="shared" si="10"/>
        <v/>
      </c>
      <c r="J633" s="43" t="str">
        <f t="shared" si="54"/>
        <v/>
      </c>
      <c r="K633" s="78"/>
      <c r="L633" s="50">
        <f t="shared" si="52"/>
        <v>182</v>
      </c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ht="15.75" customHeight="1">
      <c r="A634" s="9"/>
      <c r="B634" s="81"/>
      <c r="C634" s="89"/>
      <c r="D634" s="83"/>
      <c r="E634" s="96"/>
      <c r="F634" s="65"/>
      <c r="G634" s="65"/>
      <c r="H634" s="41">
        <f t="shared" si="1"/>
        <v>0</v>
      </c>
      <c r="I634" s="49" t="str">
        <f t="shared" si="10"/>
        <v/>
      </c>
      <c r="J634" s="43" t="str">
        <f t="shared" si="54"/>
        <v/>
      </c>
      <c r="K634" s="78"/>
      <c r="L634" s="50">
        <f t="shared" si="52"/>
        <v>182</v>
      </c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ht="15.75" customHeight="1">
      <c r="A635" s="9"/>
      <c r="B635" s="81"/>
      <c r="C635" s="89"/>
      <c r="D635" s="224"/>
      <c r="E635" s="96"/>
      <c r="F635" s="65"/>
      <c r="G635" s="65"/>
      <c r="H635" s="41">
        <f t="shared" si="1"/>
        <v>0</v>
      </c>
      <c r="I635" s="49" t="str">
        <f t="shared" si="10"/>
        <v/>
      </c>
      <c r="J635" s="43" t="str">
        <f t="shared" si="54"/>
        <v/>
      </c>
      <c r="K635" s="78"/>
      <c r="L635" s="50">
        <f t="shared" si="52"/>
        <v>182</v>
      </c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ht="15.75" customHeight="1">
      <c r="A636" s="9"/>
      <c r="B636" s="81"/>
      <c r="C636" s="89"/>
      <c r="D636" s="224"/>
      <c r="E636" s="96"/>
      <c r="F636" s="65"/>
      <c r="G636" s="65"/>
      <c r="H636" s="41">
        <f t="shared" si="1"/>
        <v>0</v>
      </c>
      <c r="I636" s="49" t="str">
        <f t="shared" si="10"/>
        <v/>
      </c>
      <c r="J636" s="43" t="str">
        <f t="shared" si="54"/>
        <v/>
      </c>
      <c r="K636" s="78"/>
      <c r="L636" s="50">
        <f t="shared" si="52"/>
        <v>182</v>
      </c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ht="15.75" customHeight="1">
      <c r="A637" s="9"/>
      <c r="B637" s="81"/>
      <c r="C637" s="89"/>
      <c r="D637" s="224"/>
      <c r="E637" s="96"/>
      <c r="F637" s="65"/>
      <c r="G637" s="65"/>
      <c r="H637" s="41">
        <f t="shared" si="1"/>
        <v>0</v>
      </c>
      <c r="I637" s="49" t="str">
        <f t="shared" si="10"/>
        <v/>
      </c>
      <c r="J637" s="43" t="str">
        <f t="shared" si="54"/>
        <v/>
      </c>
      <c r="K637" s="78"/>
      <c r="L637" s="50">
        <f t="shared" si="52"/>
        <v>182</v>
      </c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ht="15.75" customHeight="1">
      <c r="A638" s="9"/>
      <c r="B638" s="81"/>
      <c r="C638" s="89"/>
      <c r="D638" s="224"/>
      <c r="E638" s="96"/>
      <c r="F638" s="65"/>
      <c r="G638" s="65"/>
      <c r="H638" s="41">
        <f t="shared" si="1"/>
        <v>0</v>
      </c>
      <c r="I638" s="49" t="str">
        <f t="shared" si="10"/>
        <v/>
      </c>
      <c r="J638" s="43" t="str">
        <f t="shared" si="54"/>
        <v/>
      </c>
      <c r="K638" s="78"/>
      <c r="L638" s="50">
        <f t="shared" si="52"/>
        <v>182</v>
      </c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ht="15.75" customHeight="1">
      <c r="A639" s="9"/>
      <c r="B639" s="81"/>
      <c r="C639" s="89"/>
      <c r="D639" s="83"/>
      <c r="E639" s="96"/>
      <c r="F639" s="65"/>
      <c r="G639" s="65"/>
      <c r="H639" s="41">
        <f t="shared" si="1"/>
        <v>0</v>
      </c>
      <c r="I639" s="49" t="str">
        <f t="shared" si="10"/>
        <v/>
      </c>
      <c r="J639" s="43" t="str">
        <f t="shared" si="54"/>
        <v/>
      </c>
      <c r="K639" s="78"/>
      <c r="L639" s="50">
        <f t="shared" si="52"/>
        <v>182</v>
      </c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ht="15.75" customHeight="1">
      <c r="A640" s="9"/>
      <c r="B640" s="81"/>
      <c r="C640" s="89"/>
      <c r="D640" s="83"/>
      <c r="E640" s="96"/>
      <c r="F640" s="65"/>
      <c r="G640" s="65"/>
      <c r="H640" s="41">
        <f t="shared" si="1"/>
        <v>0</v>
      </c>
      <c r="I640" s="49" t="str">
        <f t="shared" si="10"/>
        <v/>
      </c>
      <c r="J640" s="43" t="str">
        <f t="shared" si="54"/>
        <v/>
      </c>
      <c r="K640" s="78"/>
      <c r="L640" s="50">
        <f t="shared" si="52"/>
        <v>182</v>
      </c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ht="15.75" customHeight="1">
      <c r="A641" s="9"/>
      <c r="B641" s="81"/>
      <c r="C641" s="89"/>
      <c r="D641" s="83"/>
      <c r="E641" s="96"/>
      <c r="F641" s="65"/>
      <c r="G641" s="65"/>
      <c r="H641" s="41">
        <f t="shared" si="1"/>
        <v>0</v>
      </c>
      <c r="I641" s="49" t="str">
        <f t="shared" si="10"/>
        <v/>
      </c>
      <c r="J641" s="43" t="str">
        <f t="shared" si="54"/>
        <v/>
      </c>
      <c r="K641" s="78"/>
      <c r="L641" s="50">
        <f t="shared" si="52"/>
        <v>182</v>
      </c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ht="15.75" customHeight="1">
      <c r="A642" s="9"/>
      <c r="B642" s="81"/>
      <c r="C642" s="89"/>
      <c r="D642" s="83"/>
      <c r="E642" s="96"/>
      <c r="F642" s="65"/>
      <c r="G642" s="65"/>
      <c r="H642" s="41">
        <f t="shared" si="1"/>
        <v>0</v>
      </c>
      <c r="I642" s="49" t="str">
        <f t="shared" si="10"/>
        <v/>
      </c>
      <c r="J642" s="43" t="str">
        <f t="shared" si="54"/>
        <v/>
      </c>
      <c r="K642" s="78"/>
      <c r="L642" s="50">
        <f t="shared" si="52"/>
        <v>182</v>
      </c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ht="15.75" customHeight="1">
      <c r="A643" s="9"/>
      <c r="B643" s="81"/>
      <c r="C643" s="89"/>
      <c r="D643" s="83"/>
      <c r="E643" s="96"/>
      <c r="F643" s="65"/>
      <c r="G643" s="65"/>
      <c r="H643" s="41">
        <f t="shared" si="1"/>
        <v>0</v>
      </c>
      <c r="I643" s="49" t="str">
        <f t="shared" si="10"/>
        <v/>
      </c>
      <c r="J643" s="43" t="str">
        <f t="shared" si="54"/>
        <v/>
      </c>
      <c r="K643" s="78"/>
      <c r="L643" s="50">
        <f t="shared" si="52"/>
        <v>182</v>
      </c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ht="15.75" customHeight="1">
      <c r="A644" s="9"/>
      <c r="B644" s="81"/>
      <c r="C644" s="89"/>
      <c r="D644" s="83"/>
      <c r="E644" s="96"/>
      <c r="F644" s="65"/>
      <c r="G644" s="65"/>
      <c r="H644" s="41">
        <f t="shared" si="1"/>
        <v>0</v>
      </c>
      <c r="I644" s="49" t="str">
        <f t="shared" si="10"/>
        <v/>
      </c>
      <c r="J644" s="43" t="str">
        <f t="shared" si="54"/>
        <v/>
      </c>
      <c r="K644" s="78"/>
      <c r="L644" s="50">
        <f t="shared" si="52"/>
        <v>182</v>
      </c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ht="15.75" customHeight="1">
      <c r="A645" s="9"/>
      <c r="B645" s="81"/>
      <c r="C645" s="89"/>
      <c r="D645" s="83"/>
      <c r="E645" s="96"/>
      <c r="F645" s="65"/>
      <c r="G645" s="65"/>
      <c r="H645" s="41">
        <f t="shared" si="1"/>
        <v>0</v>
      </c>
      <c r="I645" s="49" t="str">
        <f t="shared" si="10"/>
        <v/>
      </c>
      <c r="J645" s="43" t="str">
        <f t="shared" si="54"/>
        <v/>
      </c>
      <c r="K645" s="78"/>
      <c r="L645" s="50">
        <f t="shared" si="52"/>
        <v>182</v>
      </c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ht="15.75" customHeight="1">
      <c r="A646" s="9"/>
      <c r="B646" s="81"/>
      <c r="C646" s="89"/>
      <c r="D646" s="83"/>
      <c r="E646" s="96"/>
      <c r="F646" s="65"/>
      <c r="G646" s="65"/>
      <c r="H646" s="41">
        <f t="shared" si="1"/>
        <v>0</v>
      </c>
      <c r="I646" s="49" t="str">
        <f t="shared" si="10"/>
        <v/>
      </c>
      <c r="J646" s="43" t="str">
        <f t="shared" si="54"/>
        <v/>
      </c>
      <c r="K646" s="78"/>
      <c r="L646" s="50">
        <f t="shared" si="52"/>
        <v>182</v>
      </c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ht="15.75" customHeight="1">
      <c r="A647" s="9"/>
      <c r="B647" s="81"/>
      <c r="C647" s="89"/>
      <c r="D647" s="83"/>
      <c r="E647" s="96"/>
      <c r="F647" s="225"/>
      <c r="G647" s="65"/>
      <c r="H647" s="41">
        <f t="shared" si="1"/>
        <v>0</v>
      </c>
      <c r="I647" s="49" t="str">
        <f t="shared" si="10"/>
        <v/>
      </c>
      <c r="J647" s="43" t="str">
        <f t="shared" si="54"/>
        <v/>
      </c>
      <c r="K647" s="78"/>
      <c r="L647" s="50">
        <f t="shared" si="52"/>
        <v>182</v>
      </c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ht="15.75" customHeight="1">
      <c r="A648" s="9"/>
      <c r="B648" s="81"/>
      <c r="C648" s="89"/>
      <c r="D648" s="83"/>
      <c r="E648" s="96"/>
      <c r="F648" s="225"/>
      <c r="G648" s="65"/>
      <c r="H648" s="41">
        <f t="shared" si="1"/>
        <v>0</v>
      </c>
      <c r="I648" s="49" t="str">
        <f t="shared" si="10"/>
        <v/>
      </c>
      <c r="J648" s="43" t="str">
        <f t="shared" si="54"/>
        <v/>
      </c>
      <c r="K648" s="78"/>
      <c r="L648" s="50">
        <f t="shared" si="52"/>
        <v>182</v>
      </c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ht="15.75" customHeight="1">
      <c r="A649" s="9"/>
      <c r="B649" s="81"/>
      <c r="C649" s="89"/>
      <c r="D649" s="83"/>
      <c r="E649" s="96"/>
      <c r="F649" s="65"/>
      <c r="G649" s="65"/>
      <c r="H649" s="41">
        <f t="shared" si="1"/>
        <v>0</v>
      </c>
      <c r="I649" s="49" t="str">
        <f t="shared" si="10"/>
        <v/>
      </c>
      <c r="J649" s="43" t="str">
        <f t="shared" si="54"/>
        <v/>
      </c>
      <c r="K649" s="78"/>
      <c r="L649" s="50">
        <f t="shared" si="52"/>
        <v>182</v>
      </c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ht="15.75" customHeight="1">
      <c r="A650" s="9"/>
      <c r="B650" s="81"/>
      <c r="C650" s="89"/>
      <c r="D650" s="83"/>
      <c r="E650" s="96"/>
      <c r="F650" s="88"/>
      <c r="G650" s="65"/>
      <c r="H650" s="41">
        <f t="shared" si="1"/>
        <v>0</v>
      </c>
      <c r="I650" s="49" t="str">
        <f t="shared" si="10"/>
        <v/>
      </c>
      <c r="J650" s="43" t="str">
        <f t="shared" si="54"/>
        <v/>
      </c>
      <c r="K650" s="78"/>
      <c r="L650" s="50">
        <f t="shared" si="52"/>
        <v>182</v>
      </c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ht="15.75" customHeight="1">
      <c r="A651" s="9"/>
      <c r="B651" s="81"/>
      <c r="C651" s="89"/>
      <c r="D651" s="83"/>
      <c r="E651" s="96"/>
      <c r="F651" s="225"/>
      <c r="G651" s="225"/>
      <c r="H651" s="41">
        <f t="shared" si="1"/>
        <v>0</v>
      </c>
      <c r="I651" s="49" t="str">
        <f t="shared" si="10"/>
        <v/>
      </c>
      <c r="J651" s="43" t="str">
        <f t="shared" si="54"/>
        <v/>
      </c>
      <c r="K651" s="78"/>
      <c r="L651" s="50">
        <f t="shared" si="52"/>
        <v>182</v>
      </c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ht="15.75" customHeight="1">
      <c r="A652" s="9"/>
      <c r="B652" s="81"/>
      <c r="C652" s="89"/>
      <c r="D652" s="83"/>
      <c r="E652" s="96"/>
      <c r="F652" s="88"/>
      <c r="G652" s="225"/>
      <c r="H652" s="41">
        <f t="shared" si="1"/>
        <v>0</v>
      </c>
      <c r="I652" s="49" t="str">
        <f t="shared" si="10"/>
        <v/>
      </c>
      <c r="J652" s="43" t="str">
        <f t="shared" si="54"/>
        <v/>
      </c>
      <c r="K652" s="78"/>
      <c r="L652" s="50">
        <f t="shared" si="52"/>
        <v>182</v>
      </c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ht="15.75" customHeight="1">
      <c r="A653" s="9"/>
      <c r="B653" s="81"/>
      <c r="C653" s="89"/>
      <c r="D653" s="83"/>
      <c r="E653" s="131"/>
      <c r="F653" s="88"/>
      <c r="G653" s="88"/>
      <c r="H653" s="41">
        <f t="shared" si="1"/>
        <v>0</v>
      </c>
      <c r="I653" s="49" t="str">
        <f t="shared" si="10"/>
        <v/>
      </c>
      <c r="J653" s="43" t="str">
        <f t="shared" si="54"/>
        <v/>
      </c>
      <c r="K653" s="78"/>
      <c r="L653" s="50">
        <f t="shared" si="52"/>
        <v>182</v>
      </c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ht="15.75" customHeight="1">
      <c r="A654" s="9"/>
      <c r="B654" s="81"/>
      <c r="C654" s="89"/>
      <c r="D654" s="83"/>
      <c r="E654" s="96"/>
      <c r="F654" s="65"/>
      <c r="G654" s="65"/>
      <c r="H654" s="41">
        <f t="shared" si="1"/>
        <v>0</v>
      </c>
      <c r="I654" s="49" t="str">
        <f t="shared" si="10"/>
        <v/>
      </c>
      <c r="J654" s="43" t="str">
        <f t="shared" si="54"/>
        <v/>
      </c>
      <c r="K654" s="78"/>
      <c r="L654" s="50">
        <f t="shared" si="52"/>
        <v>182</v>
      </c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ht="15.75" customHeight="1">
      <c r="A655" s="9"/>
      <c r="B655" s="81"/>
      <c r="C655" s="89"/>
      <c r="D655" s="83"/>
      <c r="E655" s="96"/>
      <c r="F655" s="65"/>
      <c r="G655" s="65"/>
      <c r="H655" s="41">
        <f t="shared" si="1"/>
        <v>0</v>
      </c>
      <c r="I655" s="49" t="str">
        <f t="shared" si="10"/>
        <v/>
      </c>
      <c r="J655" s="43" t="str">
        <f t="shared" si="54"/>
        <v/>
      </c>
      <c r="K655" s="78"/>
      <c r="L655" s="50">
        <f t="shared" si="52"/>
        <v>182</v>
      </c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ht="15.75" customHeight="1">
      <c r="A656" s="9"/>
      <c r="B656" s="81"/>
      <c r="C656" s="89"/>
      <c r="D656" s="83"/>
      <c r="E656" s="96"/>
      <c r="F656" s="65"/>
      <c r="G656" s="65"/>
      <c r="H656" s="41">
        <f t="shared" si="1"/>
        <v>0</v>
      </c>
      <c r="I656" s="49" t="str">
        <f t="shared" si="10"/>
        <v/>
      </c>
      <c r="J656" s="43" t="str">
        <f t="shared" si="54"/>
        <v/>
      </c>
      <c r="K656" s="78"/>
      <c r="L656" s="50">
        <f t="shared" si="52"/>
        <v>182</v>
      </c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ht="15.75" customHeight="1">
      <c r="A657" s="9"/>
      <c r="B657" s="81"/>
      <c r="C657" s="89"/>
      <c r="D657" s="83"/>
      <c r="E657" s="131"/>
      <c r="F657" s="88"/>
      <c r="G657" s="88"/>
      <c r="H657" s="41">
        <f t="shared" si="1"/>
        <v>0</v>
      </c>
      <c r="I657" s="49" t="str">
        <f t="shared" si="10"/>
        <v/>
      </c>
      <c r="J657" s="43" t="str">
        <f t="shared" si="54"/>
        <v/>
      </c>
      <c r="K657" s="78"/>
      <c r="L657" s="50">
        <f t="shared" si="52"/>
        <v>182</v>
      </c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ht="15.75" customHeight="1">
      <c r="A658" s="9"/>
      <c r="B658" s="81"/>
      <c r="C658" s="89"/>
      <c r="D658" s="128"/>
      <c r="E658" s="96"/>
      <c r="F658" s="65"/>
      <c r="G658" s="65"/>
      <c r="H658" s="41">
        <f t="shared" si="1"/>
        <v>0</v>
      </c>
      <c r="I658" s="49" t="str">
        <f t="shared" si="10"/>
        <v/>
      </c>
      <c r="J658" s="43" t="str">
        <f t="shared" si="54"/>
        <v/>
      </c>
      <c r="K658" s="78"/>
      <c r="L658" s="50">
        <f t="shared" si="52"/>
        <v>182</v>
      </c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ht="15.75" customHeight="1">
      <c r="A659" s="9"/>
      <c r="B659" s="81"/>
      <c r="C659" s="89"/>
      <c r="D659" s="83"/>
      <c r="E659" s="131"/>
      <c r="F659" s="88"/>
      <c r="G659" s="88"/>
      <c r="H659" s="41">
        <f t="shared" si="1"/>
        <v>0</v>
      </c>
      <c r="I659" s="49" t="str">
        <f t="shared" si="10"/>
        <v/>
      </c>
      <c r="J659" s="43" t="str">
        <f t="shared" si="54"/>
        <v/>
      </c>
      <c r="K659" s="78"/>
      <c r="L659" s="50">
        <f t="shared" si="52"/>
        <v>182</v>
      </c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ht="15.75" customHeight="1">
      <c r="A660" s="9"/>
      <c r="B660" s="81"/>
      <c r="C660" s="89"/>
      <c r="D660" s="83"/>
      <c r="E660" s="96"/>
      <c r="F660" s="65"/>
      <c r="G660" s="65"/>
      <c r="H660" s="41">
        <f t="shared" si="1"/>
        <v>0</v>
      </c>
      <c r="I660" s="49" t="str">
        <f t="shared" si="10"/>
        <v/>
      </c>
      <c r="J660" s="43" t="str">
        <f t="shared" si="54"/>
        <v/>
      </c>
      <c r="K660" s="78"/>
      <c r="L660" s="50">
        <f t="shared" si="52"/>
        <v>182</v>
      </c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ht="15.75" customHeight="1">
      <c r="A661" s="9"/>
      <c r="B661" s="81"/>
      <c r="C661" s="89"/>
      <c r="D661" s="83"/>
      <c r="E661" s="131"/>
      <c r="F661" s="88"/>
      <c r="G661" s="88"/>
      <c r="H661" s="41">
        <f t="shared" si="1"/>
        <v>0</v>
      </c>
      <c r="I661" s="49" t="str">
        <f t="shared" si="10"/>
        <v/>
      </c>
      <c r="J661" s="43" t="str">
        <f t="shared" si="54"/>
        <v/>
      </c>
      <c r="K661" s="78"/>
      <c r="L661" s="50">
        <f t="shared" si="52"/>
        <v>182</v>
      </c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ht="15.75" customHeight="1">
      <c r="A662" s="9"/>
      <c r="B662" s="81"/>
      <c r="C662" s="89"/>
      <c r="D662" s="83"/>
      <c r="E662" s="131"/>
      <c r="F662" s="88"/>
      <c r="G662" s="88"/>
      <c r="H662" s="41">
        <f t="shared" si="1"/>
        <v>0</v>
      </c>
      <c r="I662" s="49" t="str">
        <f t="shared" si="10"/>
        <v/>
      </c>
      <c r="J662" s="43" t="str">
        <f t="shared" si="54"/>
        <v/>
      </c>
      <c r="K662" s="78"/>
      <c r="L662" s="50">
        <f t="shared" si="52"/>
        <v>182</v>
      </c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ht="15.75" customHeight="1">
      <c r="A663" s="9"/>
      <c r="B663" s="81"/>
      <c r="C663" s="89"/>
      <c r="D663" s="83"/>
      <c r="E663" s="96"/>
      <c r="F663" s="65"/>
      <c r="G663" s="65"/>
      <c r="H663" s="41">
        <f t="shared" si="1"/>
        <v>0</v>
      </c>
      <c r="I663" s="49" t="str">
        <f t="shared" si="10"/>
        <v/>
      </c>
      <c r="J663" s="43" t="str">
        <f t="shared" si="54"/>
        <v/>
      </c>
      <c r="K663" s="78"/>
      <c r="L663" s="50">
        <f t="shared" si="52"/>
        <v>182</v>
      </c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ht="15.75" customHeight="1">
      <c r="A664" s="9"/>
      <c r="B664" s="81"/>
      <c r="C664" s="89"/>
      <c r="D664" s="83"/>
      <c r="E664" s="96"/>
      <c r="F664" s="65"/>
      <c r="G664" s="65"/>
      <c r="H664" s="41">
        <f t="shared" si="1"/>
        <v>0</v>
      </c>
      <c r="I664" s="49" t="str">
        <f t="shared" si="10"/>
        <v/>
      </c>
      <c r="J664" s="43" t="str">
        <f t="shared" si="54"/>
        <v/>
      </c>
      <c r="K664" s="78"/>
      <c r="L664" s="50">
        <f t="shared" si="52"/>
        <v>182</v>
      </c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ht="15.75" customHeight="1">
      <c r="A665" s="9"/>
      <c r="B665" s="81"/>
      <c r="C665" s="89"/>
      <c r="D665" s="83"/>
      <c r="E665" s="131"/>
      <c r="F665" s="88"/>
      <c r="G665" s="88"/>
      <c r="H665" s="41">
        <f t="shared" si="1"/>
        <v>0</v>
      </c>
      <c r="I665" s="49" t="str">
        <f t="shared" si="10"/>
        <v/>
      </c>
      <c r="J665" s="43" t="str">
        <f t="shared" si="54"/>
        <v/>
      </c>
      <c r="K665" s="78"/>
      <c r="L665" s="50">
        <f t="shared" si="52"/>
        <v>182</v>
      </c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ht="15.75" customHeight="1">
      <c r="A666" s="9"/>
      <c r="B666" s="81"/>
      <c r="C666" s="89"/>
      <c r="D666" s="83"/>
      <c r="E666" s="131"/>
      <c r="F666" s="88"/>
      <c r="G666" s="88"/>
      <c r="H666" s="41">
        <f t="shared" si="1"/>
        <v>0</v>
      </c>
      <c r="I666" s="49" t="str">
        <f t="shared" si="10"/>
        <v/>
      </c>
      <c r="J666" s="43" t="str">
        <f t="shared" si="54"/>
        <v/>
      </c>
      <c r="K666" s="78"/>
      <c r="L666" s="50">
        <f t="shared" si="52"/>
        <v>182</v>
      </c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ht="15.75" customHeight="1">
      <c r="A667" s="9"/>
      <c r="B667" s="81"/>
      <c r="C667" s="89"/>
      <c r="D667" s="83"/>
      <c r="E667" s="131"/>
      <c r="F667" s="88"/>
      <c r="G667" s="88"/>
      <c r="H667" s="41">
        <f t="shared" si="1"/>
        <v>0</v>
      </c>
      <c r="I667" s="49" t="str">
        <f t="shared" si="10"/>
        <v/>
      </c>
      <c r="J667" s="43" t="str">
        <f t="shared" si="54"/>
        <v/>
      </c>
      <c r="K667" s="78"/>
      <c r="L667" s="50">
        <f t="shared" si="52"/>
        <v>182</v>
      </c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ht="15.75" customHeight="1">
      <c r="A668" s="9"/>
      <c r="B668" s="81"/>
      <c r="C668" s="89"/>
      <c r="D668" s="128"/>
      <c r="E668" s="96"/>
      <c r="F668" s="65"/>
      <c r="G668" s="65"/>
      <c r="H668" s="41">
        <f t="shared" si="1"/>
        <v>0</v>
      </c>
      <c r="I668" s="49" t="str">
        <f t="shared" si="10"/>
        <v/>
      </c>
      <c r="J668" s="43" t="str">
        <f t="shared" si="54"/>
        <v/>
      </c>
      <c r="K668" s="78"/>
      <c r="L668" s="50">
        <f t="shared" si="52"/>
        <v>182</v>
      </c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ht="15.75" customHeight="1">
      <c r="A669" s="9"/>
      <c r="B669" s="81"/>
      <c r="C669" s="89"/>
      <c r="D669" s="83"/>
      <c r="E669" s="96"/>
      <c r="F669" s="65"/>
      <c r="G669" s="65"/>
      <c r="H669" s="41">
        <f t="shared" si="1"/>
        <v>0</v>
      </c>
      <c r="I669" s="49" t="str">
        <f t="shared" si="10"/>
        <v/>
      </c>
      <c r="J669" s="43" t="str">
        <f t="shared" si="54"/>
        <v/>
      </c>
      <c r="K669" s="78"/>
      <c r="L669" s="50">
        <f t="shared" si="52"/>
        <v>182</v>
      </c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ht="15.75" customHeight="1">
      <c r="A670" s="9"/>
      <c r="B670" s="81"/>
      <c r="C670" s="89"/>
      <c r="D670" s="83"/>
      <c r="E670" s="131"/>
      <c r="F670" s="88"/>
      <c r="G670" s="88"/>
      <c r="H670" s="41">
        <f t="shared" si="1"/>
        <v>0</v>
      </c>
      <c r="I670" s="49" t="str">
        <f t="shared" si="10"/>
        <v/>
      </c>
      <c r="J670" s="43" t="str">
        <f t="shared" si="54"/>
        <v/>
      </c>
      <c r="K670" s="78"/>
      <c r="L670" s="50">
        <f t="shared" si="52"/>
        <v>182</v>
      </c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ht="15.75" customHeight="1">
      <c r="A671" s="9"/>
      <c r="B671" s="81"/>
      <c r="C671" s="89"/>
      <c r="D671" s="83"/>
      <c r="E671" s="131"/>
      <c r="F671" s="88"/>
      <c r="G671" s="88"/>
      <c r="H671" s="41">
        <f t="shared" si="1"/>
        <v>0</v>
      </c>
      <c r="I671" s="49" t="str">
        <f t="shared" si="10"/>
        <v/>
      </c>
      <c r="J671" s="43" t="str">
        <f t="shared" si="54"/>
        <v/>
      </c>
      <c r="K671" s="78"/>
      <c r="L671" s="50">
        <f t="shared" si="52"/>
        <v>182</v>
      </c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ht="15.75" customHeight="1">
      <c r="A672" s="9"/>
      <c r="B672" s="81"/>
      <c r="C672" s="89"/>
      <c r="D672" s="83"/>
      <c r="E672" s="131"/>
      <c r="F672" s="88"/>
      <c r="G672" s="88"/>
      <c r="H672" s="41">
        <f t="shared" si="1"/>
        <v>0</v>
      </c>
      <c r="I672" s="49" t="str">
        <f t="shared" si="10"/>
        <v/>
      </c>
      <c r="J672" s="43"/>
      <c r="K672" s="78"/>
      <c r="L672" s="50">
        <f t="shared" si="52"/>
        <v>182</v>
      </c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ht="15.75" customHeight="1">
      <c r="A673" s="9"/>
      <c r="B673" s="81"/>
      <c r="C673" s="89"/>
      <c r="D673" s="83"/>
      <c r="E673" s="96"/>
      <c r="F673" s="225"/>
      <c r="G673" s="225"/>
      <c r="H673" s="41">
        <f t="shared" si="1"/>
        <v>0</v>
      </c>
      <c r="I673" s="49" t="str">
        <f t="shared" si="10"/>
        <v/>
      </c>
      <c r="J673" s="43" t="str">
        <f t="shared" ref="J673:J680" si="55">IF(ISERROR(MAX(E673:G673)/H673-1),"",(MAX(E673:G673)/H673-1))</f>
        <v/>
      </c>
      <c r="K673" s="78"/>
      <c r="L673" s="50">
        <f t="shared" si="52"/>
        <v>182</v>
      </c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ht="15.75" customHeight="1">
      <c r="A674" s="9"/>
      <c r="B674" s="81"/>
      <c r="C674" s="89"/>
      <c r="D674" s="83"/>
      <c r="E674" s="131"/>
      <c r="F674" s="88"/>
      <c r="G674" s="88"/>
      <c r="H674" s="41">
        <f t="shared" si="1"/>
        <v>0</v>
      </c>
      <c r="I674" s="49" t="str">
        <f t="shared" si="10"/>
        <v/>
      </c>
      <c r="J674" s="43" t="str">
        <f t="shared" si="55"/>
        <v/>
      </c>
      <c r="K674" s="78"/>
      <c r="L674" s="50">
        <f t="shared" si="52"/>
        <v>182</v>
      </c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ht="15.75" customHeight="1">
      <c r="A675" s="9"/>
      <c r="B675" s="81"/>
      <c r="C675" s="89"/>
      <c r="D675" s="128"/>
      <c r="E675" s="96"/>
      <c r="F675" s="65"/>
      <c r="G675" s="65"/>
      <c r="H675" s="41">
        <f t="shared" si="1"/>
        <v>0</v>
      </c>
      <c r="I675" s="49" t="str">
        <f t="shared" si="10"/>
        <v/>
      </c>
      <c r="J675" s="43" t="str">
        <f t="shared" si="55"/>
        <v/>
      </c>
      <c r="K675" s="78"/>
      <c r="L675" s="50">
        <f t="shared" si="52"/>
        <v>182</v>
      </c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ht="15.75" customHeight="1">
      <c r="A676" s="9"/>
      <c r="B676" s="81"/>
      <c r="C676" s="89"/>
      <c r="D676" s="83"/>
      <c r="E676" s="96"/>
      <c r="F676" s="225"/>
      <c r="G676" s="225"/>
      <c r="H676" s="41">
        <f t="shared" si="1"/>
        <v>0</v>
      </c>
      <c r="I676" s="49" t="str">
        <f t="shared" si="10"/>
        <v/>
      </c>
      <c r="J676" s="43" t="str">
        <f t="shared" si="55"/>
        <v/>
      </c>
      <c r="K676" s="78"/>
      <c r="L676" s="50">
        <f t="shared" si="52"/>
        <v>182</v>
      </c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ht="15.75" customHeight="1">
      <c r="A677" s="9"/>
      <c r="B677" s="81"/>
      <c r="C677" s="89"/>
      <c r="D677" s="83"/>
      <c r="E677" s="96"/>
      <c r="F677" s="65"/>
      <c r="G677" s="65"/>
      <c r="H677" s="41">
        <f t="shared" si="1"/>
        <v>0</v>
      </c>
      <c r="I677" s="49" t="str">
        <f t="shared" si="10"/>
        <v/>
      </c>
      <c r="J677" s="43" t="str">
        <f t="shared" si="55"/>
        <v/>
      </c>
      <c r="K677" s="78"/>
      <c r="L677" s="50">
        <f t="shared" si="52"/>
        <v>182</v>
      </c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ht="15.75" customHeight="1">
      <c r="A678" s="9"/>
      <c r="B678" s="81"/>
      <c r="C678" s="89"/>
      <c r="D678" s="83"/>
      <c r="E678" s="96"/>
      <c r="F678" s="65"/>
      <c r="G678" s="65"/>
      <c r="H678" s="41">
        <f t="shared" si="1"/>
        <v>0</v>
      </c>
      <c r="I678" s="49" t="str">
        <f t="shared" si="10"/>
        <v/>
      </c>
      <c r="J678" s="43" t="str">
        <f t="shared" si="55"/>
        <v/>
      </c>
      <c r="K678" s="78"/>
      <c r="L678" s="50">
        <f t="shared" si="52"/>
        <v>182</v>
      </c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ht="15.75" customHeight="1">
      <c r="A679" s="9"/>
      <c r="B679" s="81"/>
      <c r="C679" s="89"/>
      <c r="D679" s="83"/>
      <c r="E679" s="96"/>
      <c r="F679" s="65"/>
      <c r="G679" s="65"/>
      <c r="H679" s="41">
        <f t="shared" si="1"/>
        <v>0</v>
      </c>
      <c r="I679" s="49" t="str">
        <f t="shared" si="10"/>
        <v/>
      </c>
      <c r="J679" s="43" t="str">
        <f t="shared" si="55"/>
        <v/>
      </c>
      <c r="K679" s="78"/>
      <c r="L679" s="50">
        <f t="shared" si="52"/>
        <v>182</v>
      </c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ht="15.75" customHeight="1">
      <c r="A680" s="9"/>
      <c r="B680" s="81"/>
      <c r="C680" s="89"/>
      <c r="D680" s="83"/>
      <c r="E680" s="96"/>
      <c r="F680" s="65"/>
      <c r="G680" s="65"/>
      <c r="H680" s="41">
        <f t="shared" si="1"/>
        <v>0</v>
      </c>
      <c r="I680" s="49" t="str">
        <f t="shared" si="10"/>
        <v/>
      </c>
      <c r="J680" s="43" t="str">
        <f t="shared" si="55"/>
        <v/>
      </c>
      <c r="K680" s="78"/>
      <c r="L680" s="50">
        <f t="shared" si="52"/>
        <v>182</v>
      </c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ht="15.75" customHeight="1">
      <c r="A681" s="9"/>
      <c r="B681" s="81"/>
      <c r="C681" s="89"/>
      <c r="D681" s="83"/>
      <c r="E681" s="131"/>
      <c r="F681" s="88"/>
      <c r="G681" s="88"/>
      <c r="H681" s="41">
        <f t="shared" si="1"/>
        <v>0</v>
      </c>
      <c r="I681" s="49" t="str">
        <f t="shared" si="10"/>
        <v/>
      </c>
      <c r="J681" s="43"/>
      <c r="K681" s="78"/>
      <c r="L681" s="50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ht="15.75" customHeight="1">
      <c r="A682" s="9"/>
      <c r="B682" s="81"/>
      <c r="C682" s="89"/>
      <c r="D682" s="83"/>
      <c r="E682" s="131"/>
      <c r="F682" s="88"/>
      <c r="G682" s="88"/>
      <c r="H682" s="41">
        <f t="shared" si="1"/>
        <v>0</v>
      </c>
      <c r="I682" s="49" t="str">
        <f t="shared" si="10"/>
        <v/>
      </c>
      <c r="J682" s="43"/>
      <c r="K682" s="78"/>
      <c r="L682" s="50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ht="15.75" customHeight="1">
      <c r="A683" s="9"/>
      <c r="B683" s="81"/>
      <c r="C683" s="89"/>
      <c r="D683" s="83"/>
      <c r="E683" s="96"/>
      <c r="F683" s="65"/>
      <c r="G683" s="65"/>
      <c r="H683" s="41">
        <f t="shared" si="1"/>
        <v>0</v>
      </c>
      <c r="I683" s="49" t="str">
        <f t="shared" si="10"/>
        <v/>
      </c>
      <c r="J683" s="43"/>
      <c r="K683" s="78"/>
      <c r="L683" s="50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ht="15.75" customHeight="1">
      <c r="A684" s="9"/>
      <c r="B684" s="81"/>
      <c r="C684" s="89"/>
      <c r="D684" s="83"/>
      <c r="E684" s="96"/>
      <c r="F684" s="65"/>
      <c r="G684" s="65"/>
      <c r="H684" s="41">
        <f t="shared" si="1"/>
        <v>0</v>
      </c>
      <c r="I684" s="49" t="str">
        <f t="shared" si="10"/>
        <v/>
      </c>
      <c r="J684" s="43"/>
      <c r="K684" s="78"/>
      <c r="L684" s="50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ht="15.75" customHeight="1">
      <c r="A685" s="9"/>
      <c r="B685" s="81"/>
      <c r="C685" s="89"/>
      <c r="D685" s="83"/>
      <c r="E685" s="96"/>
      <c r="F685" s="65"/>
      <c r="G685" s="65"/>
      <c r="H685" s="41">
        <f t="shared" si="1"/>
        <v>0</v>
      </c>
      <c r="I685" s="49" t="str">
        <f t="shared" si="10"/>
        <v/>
      </c>
      <c r="J685" s="43"/>
      <c r="K685" s="78"/>
      <c r="L685" s="50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ht="15.75" customHeight="1">
      <c r="A686" s="9"/>
      <c r="B686" s="81"/>
      <c r="C686" s="89"/>
      <c r="D686" s="83"/>
      <c r="E686" s="96"/>
      <c r="F686" s="65"/>
      <c r="G686" s="65"/>
      <c r="H686" s="41">
        <f t="shared" si="1"/>
        <v>0</v>
      </c>
      <c r="I686" s="49" t="str">
        <f t="shared" si="10"/>
        <v/>
      </c>
      <c r="J686" s="43"/>
      <c r="K686" s="78"/>
      <c r="L686" s="50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ht="15.75" customHeight="1">
      <c r="A687" s="9"/>
      <c r="B687" s="81"/>
      <c r="C687" s="89"/>
      <c r="D687" s="83"/>
      <c r="E687" s="96"/>
      <c r="F687" s="65"/>
      <c r="G687" s="65"/>
      <c r="H687" s="41">
        <f t="shared" si="1"/>
        <v>0</v>
      </c>
      <c r="I687" s="49" t="str">
        <f t="shared" si="10"/>
        <v/>
      </c>
      <c r="J687" s="43"/>
      <c r="K687" s="78"/>
      <c r="L687" s="50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ht="15.75" customHeight="1">
      <c r="A688" s="9"/>
      <c r="B688" s="81"/>
      <c r="C688" s="89"/>
      <c r="D688" s="83"/>
      <c r="E688" s="96"/>
      <c r="F688" s="65"/>
      <c r="G688" s="65"/>
      <c r="H688" s="41">
        <f t="shared" si="1"/>
        <v>0</v>
      </c>
      <c r="I688" s="49" t="str">
        <f t="shared" si="10"/>
        <v/>
      </c>
      <c r="J688" s="43"/>
      <c r="K688" s="78"/>
      <c r="L688" s="50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ht="15.75" customHeight="1">
      <c r="A689" s="9"/>
      <c r="B689" s="81"/>
      <c r="C689" s="89"/>
      <c r="D689" s="83"/>
      <c r="E689" s="131"/>
      <c r="F689" s="88"/>
      <c r="G689" s="88"/>
      <c r="H689" s="41">
        <f t="shared" si="1"/>
        <v>0</v>
      </c>
      <c r="I689" s="49" t="str">
        <f t="shared" si="10"/>
        <v/>
      </c>
      <c r="J689" s="43" t="str">
        <f t="shared" ref="J689:J698" si="56">IF(ISERROR(MAX(E689:G689)/H689-1),"",(MAX(E689:G689)/H689-1))</f>
        <v/>
      </c>
      <c r="K689" s="78"/>
      <c r="L689" s="50">
        <f t="shared" ref="L689:L717" si="57">EDATE(K689,6)</f>
        <v>182</v>
      </c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ht="15.75" customHeight="1">
      <c r="A690" s="9"/>
      <c r="B690" s="81"/>
      <c r="C690" s="89"/>
      <c r="D690" s="83"/>
      <c r="E690" s="96"/>
      <c r="F690" s="65"/>
      <c r="G690" s="65"/>
      <c r="H690" s="41">
        <f t="shared" si="1"/>
        <v>0</v>
      </c>
      <c r="I690" s="49" t="str">
        <f t="shared" si="10"/>
        <v/>
      </c>
      <c r="J690" s="43" t="str">
        <f t="shared" si="56"/>
        <v/>
      </c>
      <c r="K690" s="78"/>
      <c r="L690" s="50">
        <f t="shared" si="57"/>
        <v>182</v>
      </c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ht="15.75" customHeight="1">
      <c r="A691" s="9"/>
      <c r="B691" s="81"/>
      <c r="C691" s="89"/>
      <c r="D691" s="83"/>
      <c r="E691" s="131"/>
      <c r="F691" s="88"/>
      <c r="G691" s="88"/>
      <c r="H691" s="41">
        <f t="shared" si="1"/>
        <v>0</v>
      </c>
      <c r="I691" s="49" t="str">
        <f t="shared" si="10"/>
        <v/>
      </c>
      <c r="J691" s="43" t="str">
        <f t="shared" si="56"/>
        <v/>
      </c>
      <c r="K691" s="78"/>
      <c r="L691" s="50">
        <f t="shared" si="57"/>
        <v>182</v>
      </c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ht="15.75" customHeight="1">
      <c r="A692" s="9"/>
      <c r="B692" s="81"/>
      <c r="C692" s="89"/>
      <c r="D692" s="83"/>
      <c r="E692" s="131"/>
      <c r="F692" s="88"/>
      <c r="G692" s="88"/>
      <c r="H692" s="41">
        <f t="shared" si="1"/>
        <v>0</v>
      </c>
      <c r="I692" s="49" t="str">
        <f t="shared" si="10"/>
        <v/>
      </c>
      <c r="J692" s="43" t="str">
        <f t="shared" si="56"/>
        <v/>
      </c>
      <c r="K692" s="78"/>
      <c r="L692" s="50">
        <f t="shared" si="57"/>
        <v>182</v>
      </c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ht="15.75" customHeight="1">
      <c r="A693" s="9"/>
      <c r="B693" s="81"/>
      <c r="C693" s="89"/>
      <c r="D693" s="83"/>
      <c r="E693" s="96"/>
      <c r="F693" s="65"/>
      <c r="G693" s="65"/>
      <c r="H693" s="41">
        <f t="shared" si="1"/>
        <v>0</v>
      </c>
      <c r="I693" s="49" t="str">
        <f t="shared" si="10"/>
        <v/>
      </c>
      <c r="J693" s="43" t="str">
        <f t="shared" si="56"/>
        <v/>
      </c>
      <c r="K693" s="78"/>
      <c r="L693" s="50">
        <f t="shared" si="57"/>
        <v>182</v>
      </c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ht="15.75" customHeight="1">
      <c r="A694" s="9"/>
      <c r="B694" s="81"/>
      <c r="C694" s="89"/>
      <c r="D694" s="83"/>
      <c r="E694" s="96"/>
      <c r="F694" s="65"/>
      <c r="G694" s="65"/>
      <c r="H694" s="41">
        <f t="shared" si="1"/>
        <v>0</v>
      </c>
      <c r="I694" s="49" t="str">
        <f t="shared" si="10"/>
        <v/>
      </c>
      <c r="J694" s="43" t="str">
        <f t="shared" si="56"/>
        <v/>
      </c>
      <c r="K694" s="78"/>
      <c r="L694" s="50">
        <f t="shared" si="57"/>
        <v>182</v>
      </c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ht="15.75" customHeight="1">
      <c r="A695" s="9"/>
      <c r="B695" s="81"/>
      <c r="C695" s="89"/>
      <c r="D695" s="83"/>
      <c r="E695" s="96"/>
      <c r="F695" s="65"/>
      <c r="G695" s="65"/>
      <c r="H695" s="41">
        <f t="shared" si="1"/>
        <v>0</v>
      </c>
      <c r="I695" s="49" t="str">
        <f t="shared" si="10"/>
        <v/>
      </c>
      <c r="J695" s="43" t="str">
        <f t="shared" si="56"/>
        <v/>
      </c>
      <c r="K695" s="78"/>
      <c r="L695" s="50">
        <f t="shared" si="57"/>
        <v>182</v>
      </c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ht="15.75" customHeight="1">
      <c r="A696" s="9"/>
      <c r="B696" s="81"/>
      <c r="C696" s="89"/>
      <c r="D696" s="83"/>
      <c r="E696" s="96"/>
      <c r="F696" s="65"/>
      <c r="G696" s="88"/>
      <c r="H696" s="41">
        <f t="shared" si="1"/>
        <v>0</v>
      </c>
      <c r="I696" s="49" t="str">
        <f t="shared" si="10"/>
        <v/>
      </c>
      <c r="J696" s="43" t="str">
        <f t="shared" si="56"/>
        <v/>
      </c>
      <c r="K696" s="78"/>
      <c r="L696" s="50">
        <f t="shared" si="57"/>
        <v>182</v>
      </c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ht="15.75" customHeight="1">
      <c r="A697" s="9"/>
      <c r="B697" s="81"/>
      <c r="C697" s="89"/>
      <c r="D697" s="83"/>
      <c r="E697" s="131"/>
      <c r="F697" s="88"/>
      <c r="G697" s="88"/>
      <c r="H697" s="41">
        <f t="shared" si="1"/>
        <v>0</v>
      </c>
      <c r="I697" s="49" t="str">
        <f t="shared" si="10"/>
        <v/>
      </c>
      <c r="J697" s="43" t="str">
        <f t="shared" si="56"/>
        <v/>
      </c>
      <c r="K697" s="78"/>
      <c r="L697" s="50">
        <f t="shared" si="57"/>
        <v>182</v>
      </c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ht="15.75" customHeight="1">
      <c r="A698" s="9"/>
      <c r="B698" s="81"/>
      <c r="C698" s="89"/>
      <c r="D698" s="83"/>
      <c r="E698" s="131"/>
      <c r="F698" s="88"/>
      <c r="G698" s="88"/>
      <c r="H698" s="41">
        <f t="shared" si="1"/>
        <v>0</v>
      </c>
      <c r="I698" s="49" t="str">
        <f t="shared" si="10"/>
        <v/>
      </c>
      <c r="J698" s="43" t="str">
        <f t="shared" si="56"/>
        <v/>
      </c>
      <c r="K698" s="78"/>
      <c r="L698" s="50">
        <f t="shared" si="57"/>
        <v>182</v>
      </c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ht="15.75" customHeight="1">
      <c r="A699" s="9"/>
      <c r="B699" s="81"/>
      <c r="C699" s="89"/>
      <c r="D699" s="83"/>
      <c r="E699" s="96"/>
      <c r="F699" s="65"/>
      <c r="G699" s="65"/>
      <c r="H699" s="41">
        <f t="shared" si="1"/>
        <v>0</v>
      </c>
      <c r="I699" s="49" t="str">
        <f t="shared" si="10"/>
        <v/>
      </c>
      <c r="J699" s="125"/>
      <c r="K699" s="50"/>
      <c r="L699" s="50">
        <f t="shared" si="57"/>
        <v>182</v>
      </c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ht="15.75" customHeight="1">
      <c r="A700" s="9"/>
      <c r="B700" s="81"/>
      <c r="C700" s="89"/>
      <c r="D700" s="83"/>
      <c r="E700" s="96"/>
      <c r="F700" s="65"/>
      <c r="G700" s="65"/>
      <c r="H700" s="41">
        <f t="shared" si="1"/>
        <v>0</v>
      </c>
      <c r="I700" s="49" t="str">
        <f t="shared" si="10"/>
        <v/>
      </c>
      <c r="J700" s="125"/>
      <c r="K700" s="50"/>
      <c r="L700" s="50">
        <f t="shared" si="57"/>
        <v>182</v>
      </c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ht="15.75" customHeight="1">
      <c r="A701" s="9"/>
      <c r="B701" s="81"/>
      <c r="C701" s="89"/>
      <c r="D701" s="83"/>
      <c r="E701" s="96"/>
      <c r="F701" s="65"/>
      <c r="G701" s="65"/>
      <c r="H701" s="41">
        <f t="shared" si="1"/>
        <v>0</v>
      </c>
      <c r="I701" s="49" t="str">
        <f t="shared" si="10"/>
        <v/>
      </c>
      <c r="J701" s="43" t="str">
        <f t="shared" ref="J701:J702" si="58">IF(ISERROR(MAX(E701:G701)/H701-1),"",(MAX(E701:G701)/H701-1))</f>
        <v/>
      </c>
      <c r="K701" s="78"/>
      <c r="L701" s="50">
        <f t="shared" si="57"/>
        <v>182</v>
      </c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ht="15.75" customHeight="1">
      <c r="A702" s="9"/>
      <c r="B702" s="81"/>
      <c r="C702" s="89"/>
      <c r="D702" s="83"/>
      <c r="E702" s="96"/>
      <c r="F702" s="65"/>
      <c r="G702" s="225"/>
      <c r="H702" s="41">
        <f t="shared" si="1"/>
        <v>0</v>
      </c>
      <c r="I702" s="49" t="str">
        <f t="shared" si="10"/>
        <v/>
      </c>
      <c r="J702" s="43" t="str">
        <f t="shared" si="58"/>
        <v/>
      </c>
      <c r="K702" s="78"/>
      <c r="L702" s="50">
        <f t="shared" si="57"/>
        <v>182</v>
      </c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ht="15.75" customHeight="1">
      <c r="A703" s="9"/>
      <c r="B703" s="81"/>
      <c r="C703" s="89"/>
      <c r="D703" s="83"/>
      <c r="E703" s="96"/>
      <c r="F703" s="65"/>
      <c r="G703" s="65"/>
      <c r="H703" s="41">
        <f t="shared" si="1"/>
        <v>0</v>
      </c>
      <c r="I703" s="49" t="str">
        <f t="shared" si="10"/>
        <v/>
      </c>
      <c r="J703" s="43"/>
      <c r="K703" s="78"/>
      <c r="L703" s="50">
        <f t="shared" si="57"/>
        <v>182</v>
      </c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ht="15.75" customHeight="1">
      <c r="A704" s="9"/>
      <c r="B704" s="81"/>
      <c r="C704" s="89"/>
      <c r="D704" s="83"/>
      <c r="E704" s="131"/>
      <c r="F704" s="88"/>
      <c r="G704" s="88"/>
      <c r="H704" s="41">
        <f t="shared" si="1"/>
        <v>0</v>
      </c>
      <c r="I704" s="49" t="str">
        <f t="shared" si="10"/>
        <v/>
      </c>
      <c r="J704" s="43" t="str">
        <f t="shared" ref="J704:J717" si="59">IF(ISERROR(MAX(E704:G704)/H704-1),"",(MAX(E704:G704)/H704-1))</f>
        <v/>
      </c>
      <c r="K704" s="78"/>
      <c r="L704" s="50">
        <f t="shared" si="57"/>
        <v>182</v>
      </c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ht="15.75" customHeight="1">
      <c r="A705" s="9"/>
      <c r="B705" s="81"/>
      <c r="C705" s="89"/>
      <c r="D705" s="83"/>
      <c r="E705" s="131"/>
      <c r="F705" s="88"/>
      <c r="G705" s="88"/>
      <c r="H705" s="41">
        <f t="shared" si="1"/>
        <v>0</v>
      </c>
      <c r="I705" s="49" t="str">
        <f t="shared" si="10"/>
        <v/>
      </c>
      <c r="J705" s="43" t="str">
        <f t="shared" si="59"/>
        <v/>
      </c>
      <c r="K705" s="78"/>
      <c r="L705" s="50">
        <f t="shared" si="57"/>
        <v>182</v>
      </c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ht="15.75" customHeight="1">
      <c r="A706" s="9"/>
      <c r="B706" s="81"/>
      <c r="C706" s="89"/>
      <c r="D706" s="83"/>
      <c r="E706" s="131"/>
      <c r="F706" s="88"/>
      <c r="G706" s="88"/>
      <c r="H706" s="41">
        <f t="shared" si="1"/>
        <v>0</v>
      </c>
      <c r="I706" s="49" t="str">
        <f t="shared" si="10"/>
        <v/>
      </c>
      <c r="J706" s="43" t="str">
        <f t="shared" si="59"/>
        <v/>
      </c>
      <c r="K706" s="78"/>
      <c r="L706" s="50">
        <f t="shared" si="57"/>
        <v>182</v>
      </c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ht="15.75" customHeight="1">
      <c r="A707" s="9"/>
      <c r="B707" s="81"/>
      <c r="C707" s="89"/>
      <c r="D707" s="83"/>
      <c r="E707" s="131"/>
      <c r="F707" s="88"/>
      <c r="G707" s="88"/>
      <c r="H707" s="41">
        <f t="shared" si="1"/>
        <v>0</v>
      </c>
      <c r="I707" s="49" t="str">
        <f t="shared" si="10"/>
        <v/>
      </c>
      <c r="J707" s="43" t="str">
        <f t="shared" si="59"/>
        <v/>
      </c>
      <c r="K707" s="78"/>
      <c r="L707" s="50">
        <f t="shared" si="57"/>
        <v>182</v>
      </c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ht="15.75" customHeight="1">
      <c r="A708" s="9"/>
      <c r="B708" s="81"/>
      <c r="C708" s="89"/>
      <c r="D708" s="83"/>
      <c r="E708" s="131"/>
      <c r="F708" s="88"/>
      <c r="G708" s="88"/>
      <c r="H708" s="41">
        <f t="shared" si="1"/>
        <v>0</v>
      </c>
      <c r="I708" s="49" t="str">
        <f t="shared" si="10"/>
        <v/>
      </c>
      <c r="J708" s="43" t="str">
        <f t="shared" si="59"/>
        <v/>
      </c>
      <c r="K708" s="78"/>
      <c r="L708" s="50">
        <f t="shared" si="57"/>
        <v>182</v>
      </c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ht="15.75" customHeight="1">
      <c r="A709" s="9"/>
      <c r="B709" s="81"/>
      <c r="C709" s="89"/>
      <c r="D709" s="83"/>
      <c r="E709" s="131"/>
      <c r="F709" s="88"/>
      <c r="G709" s="88"/>
      <c r="H709" s="41">
        <f t="shared" si="1"/>
        <v>0</v>
      </c>
      <c r="I709" s="49" t="str">
        <f t="shared" si="10"/>
        <v/>
      </c>
      <c r="J709" s="43" t="str">
        <f t="shared" si="59"/>
        <v/>
      </c>
      <c r="K709" s="78"/>
      <c r="L709" s="50">
        <f t="shared" si="57"/>
        <v>182</v>
      </c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ht="15.75" customHeight="1">
      <c r="A710" s="9"/>
      <c r="B710" s="81"/>
      <c r="C710" s="89"/>
      <c r="D710" s="83"/>
      <c r="E710" s="131"/>
      <c r="F710" s="88"/>
      <c r="G710" s="88"/>
      <c r="H710" s="41">
        <f t="shared" si="1"/>
        <v>0</v>
      </c>
      <c r="I710" s="49" t="str">
        <f t="shared" si="10"/>
        <v/>
      </c>
      <c r="J710" s="43" t="str">
        <f t="shared" si="59"/>
        <v/>
      </c>
      <c r="K710" s="78"/>
      <c r="L710" s="50">
        <f t="shared" si="57"/>
        <v>182</v>
      </c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ht="15.75" customHeight="1">
      <c r="A711" s="9"/>
      <c r="B711" s="81"/>
      <c r="C711" s="89"/>
      <c r="D711" s="83"/>
      <c r="E711" s="131"/>
      <c r="F711" s="227"/>
      <c r="G711" s="88"/>
      <c r="H711" s="41">
        <f t="shared" si="1"/>
        <v>0</v>
      </c>
      <c r="I711" s="49" t="str">
        <f t="shared" si="10"/>
        <v/>
      </c>
      <c r="J711" s="43" t="str">
        <f t="shared" si="59"/>
        <v/>
      </c>
      <c r="K711" s="78"/>
      <c r="L711" s="50">
        <f t="shared" si="57"/>
        <v>182</v>
      </c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ht="15.75" customHeight="1">
      <c r="A712" s="9"/>
      <c r="B712" s="81"/>
      <c r="C712" s="89"/>
      <c r="D712" s="83"/>
      <c r="E712" s="131"/>
      <c r="F712" s="227"/>
      <c r="G712" s="88"/>
      <c r="H712" s="41">
        <f t="shared" si="1"/>
        <v>0</v>
      </c>
      <c r="I712" s="49" t="str">
        <f t="shared" si="10"/>
        <v/>
      </c>
      <c r="J712" s="43" t="str">
        <f t="shared" si="59"/>
        <v/>
      </c>
      <c r="K712" s="78"/>
      <c r="L712" s="50">
        <f t="shared" si="57"/>
        <v>182</v>
      </c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ht="15.75" customHeight="1">
      <c r="A713" s="9"/>
      <c r="B713" s="81"/>
      <c r="C713" s="89"/>
      <c r="D713" s="83"/>
      <c r="E713" s="131"/>
      <c r="F713" s="88"/>
      <c r="G713" s="88"/>
      <c r="H713" s="41">
        <f t="shared" si="1"/>
        <v>0</v>
      </c>
      <c r="I713" s="49" t="str">
        <f t="shared" si="10"/>
        <v/>
      </c>
      <c r="J713" s="43" t="str">
        <f t="shared" si="59"/>
        <v/>
      </c>
      <c r="K713" s="78"/>
      <c r="L713" s="50">
        <f t="shared" si="57"/>
        <v>182</v>
      </c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ht="15.75" customHeight="1">
      <c r="A714" s="9"/>
      <c r="B714" s="81"/>
      <c r="C714" s="89"/>
      <c r="D714" s="83"/>
      <c r="E714" s="131"/>
      <c r="F714" s="88"/>
      <c r="G714" s="88"/>
      <c r="H714" s="41">
        <f t="shared" si="1"/>
        <v>0</v>
      </c>
      <c r="I714" s="49" t="str">
        <f t="shared" si="10"/>
        <v/>
      </c>
      <c r="J714" s="43" t="str">
        <f t="shared" si="59"/>
        <v/>
      </c>
      <c r="K714" s="78"/>
      <c r="L714" s="50">
        <f t="shared" si="57"/>
        <v>182</v>
      </c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ht="15.75" customHeight="1">
      <c r="A715" s="9"/>
      <c r="B715" s="81"/>
      <c r="C715" s="89"/>
      <c r="D715" s="83"/>
      <c r="E715" s="131"/>
      <c r="F715" s="227"/>
      <c r="G715" s="227"/>
      <c r="H715" s="41">
        <f t="shared" si="1"/>
        <v>0</v>
      </c>
      <c r="I715" s="49" t="str">
        <f t="shared" si="10"/>
        <v/>
      </c>
      <c r="J715" s="43" t="str">
        <f t="shared" si="59"/>
        <v/>
      </c>
      <c r="K715" s="78"/>
      <c r="L715" s="50">
        <f t="shared" si="57"/>
        <v>182</v>
      </c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ht="15.75" customHeight="1">
      <c r="A716" s="9"/>
      <c r="B716" s="81"/>
      <c r="C716" s="89"/>
      <c r="D716" s="83"/>
      <c r="E716" s="131"/>
      <c r="F716" s="227"/>
      <c r="G716" s="227"/>
      <c r="H716" s="41">
        <f t="shared" si="1"/>
        <v>0</v>
      </c>
      <c r="I716" s="49" t="str">
        <f t="shared" si="10"/>
        <v/>
      </c>
      <c r="J716" s="43" t="str">
        <f t="shared" si="59"/>
        <v/>
      </c>
      <c r="K716" s="78"/>
      <c r="L716" s="50">
        <f t="shared" si="57"/>
        <v>182</v>
      </c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ht="15.75" customHeight="1">
      <c r="A717" s="9"/>
      <c r="B717" s="81"/>
      <c r="C717" s="89"/>
      <c r="D717" s="83"/>
      <c r="E717" s="131"/>
      <c r="F717" s="227"/>
      <c r="G717" s="88"/>
      <c r="H717" s="41">
        <f t="shared" si="1"/>
        <v>0</v>
      </c>
      <c r="I717" s="49" t="str">
        <f t="shared" si="10"/>
        <v/>
      </c>
      <c r="J717" s="43" t="str">
        <f t="shared" si="59"/>
        <v/>
      </c>
      <c r="K717" s="78"/>
      <c r="L717" s="50">
        <f t="shared" si="57"/>
        <v>182</v>
      </c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ht="15.75" customHeight="1">
      <c r="A718" s="9"/>
      <c r="B718" s="81"/>
      <c r="C718" s="89"/>
      <c r="D718" s="83"/>
      <c r="E718" s="131"/>
      <c r="F718" s="227"/>
      <c r="G718" s="227"/>
      <c r="H718" s="41">
        <f t="shared" si="1"/>
        <v>0</v>
      </c>
      <c r="I718" s="49" t="str">
        <f t="shared" si="10"/>
        <v/>
      </c>
      <c r="J718" s="43"/>
      <c r="K718" s="78"/>
      <c r="L718" s="50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ht="15.75" customHeight="1">
      <c r="A719" s="9"/>
      <c r="B719" s="81"/>
      <c r="C719" s="89"/>
      <c r="D719" s="83"/>
      <c r="E719" s="96"/>
      <c r="F719" s="65"/>
      <c r="G719" s="65"/>
      <c r="H719" s="41">
        <f t="shared" si="1"/>
        <v>0</v>
      </c>
      <c r="I719" s="49" t="str">
        <f t="shared" si="10"/>
        <v/>
      </c>
      <c r="J719" s="43" t="str">
        <f t="shared" ref="J719:J723" si="60">IF(ISERROR(MAX(E719:G719)/H719-1),"",(MAX(E719:G719)/H719-1))</f>
        <v/>
      </c>
      <c r="K719" s="78"/>
      <c r="L719" s="50">
        <f t="shared" ref="L719:L723" si="61">EDATE(K719,6)</f>
        <v>182</v>
      </c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ht="15.75" customHeight="1">
      <c r="A720" s="9"/>
      <c r="B720" s="81"/>
      <c r="C720" s="89"/>
      <c r="D720" s="83"/>
      <c r="E720" s="96"/>
      <c r="F720" s="65"/>
      <c r="G720" s="88"/>
      <c r="H720" s="41">
        <f t="shared" si="1"/>
        <v>0</v>
      </c>
      <c r="I720" s="49" t="str">
        <f t="shared" si="10"/>
        <v/>
      </c>
      <c r="J720" s="43" t="str">
        <f t="shared" si="60"/>
        <v/>
      </c>
      <c r="K720" s="78"/>
      <c r="L720" s="50">
        <f t="shared" si="61"/>
        <v>182</v>
      </c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ht="15.75" customHeight="1">
      <c r="A721" s="9"/>
      <c r="B721" s="81"/>
      <c r="C721" s="89"/>
      <c r="D721" s="83"/>
      <c r="E721" s="131"/>
      <c r="F721" s="88"/>
      <c r="G721" s="88"/>
      <c r="H721" s="41">
        <f t="shared" si="1"/>
        <v>0</v>
      </c>
      <c r="I721" s="49" t="str">
        <f t="shared" si="10"/>
        <v/>
      </c>
      <c r="J721" s="43" t="str">
        <f t="shared" si="60"/>
        <v/>
      </c>
      <c r="K721" s="78"/>
      <c r="L721" s="50">
        <f t="shared" si="61"/>
        <v>182</v>
      </c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ht="15.75" customHeight="1">
      <c r="A722" s="9"/>
      <c r="B722" s="228"/>
      <c r="C722" s="89"/>
      <c r="D722" s="126"/>
      <c r="E722" s="131"/>
      <c r="F722" s="88"/>
      <c r="G722" s="88"/>
      <c r="H722" s="41">
        <f t="shared" si="1"/>
        <v>0</v>
      </c>
      <c r="I722" s="49" t="str">
        <f t="shared" si="10"/>
        <v/>
      </c>
      <c r="J722" s="43" t="str">
        <f t="shared" si="60"/>
        <v/>
      </c>
      <c r="K722" s="78"/>
      <c r="L722" s="50">
        <f t="shared" si="61"/>
        <v>182</v>
      </c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ht="15.75" customHeight="1">
      <c r="A723" s="9"/>
      <c r="B723" s="229"/>
      <c r="C723" s="230"/>
      <c r="D723" s="231"/>
      <c r="E723" s="232"/>
      <c r="F723" s="233"/>
      <c r="G723" s="233"/>
      <c r="H723" s="234"/>
      <c r="I723" s="235" t="str">
        <f t="shared" si="10"/>
        <v/>
      </c>
      <c r="J723" s="43" t="str">
        <f t="shared" si="60"/>
        <v/>
      </c>
      <c r="K723" s="236"/>
      <c r="L723" s="214">
        <f t="shared" si="61"/>
        <v>182</v>
      </c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ht="15.75" customHeight="1">
      <c r="A724" s="9"/>
      <c r="B724" s="9"/>
      <c r="C724" s="16"/>
      <c r="D724" s="16"/>
      <c r="E724" s="6"/>
      <c r="F724" s="6"/>
      <c r="G724" s="6"/>
      <c r="H724" s="7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ht="15.75" customHeight="1">
      <c r="A725" s="9"/>
      <c r="B725" s="9"/>
      <c r="C725" s="16"/>
      <c r="D725" s="16"/>
      <c r="E725" s="6"/>
      <c r="F725" s="6"/>
      <c r="G725" s="6"/>
      <c r="H725" s="7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ht="15.75" customHeight="1">
      <c r="A726" s="9"/>
      <c r="B726" s="9"/>
      <c r="C726" s="16"/>
      <c r="D726" s="16"/>
      <c r="E726" s="6"/>
      <c r="F726" s="6"/>
      <c r="G726" s="6"/>
      <c r="H726" s="7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ht="15.75" customHeight="1">
      <c r="A727" s="9"/>
      <c r="B727" s="9"/>
      <c r="C727" s="16"/>
      <c r="D727" s="16"/>
      <c r="E727" s="6"/>
      <c r="F727" s="6"/>
      <c r="G727" s="6"/>
      <c r="H727" s="7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ht="15.75" customHeight="1">
      <c r="A728" s="9"/>
      <c r="B728" s="9"/>
      <c r="C728" s="16"/>
      <c r="D728" s="16"/>
      <c r="E728" s="6"/>
      <c r="F728" s="6"/>
      <c r="G728" s="6"/>
      <c r="H728" s="7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ht="15.75" customHeight="1">
      <c r="A729" s="9"/>
      <c r="B729" s="9"/>
      <c r="C729" s="16"/>
      <c r="D729" s="16"/>
      <c r="E729" s="6"/>
      <c r="F729" s="6"/>
      <c r="G729" s="6"/>
      <c r="H729" s="7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ht="15.75" customHeight="1">
      <c r="A730" s="9"/>
      <c r="B730" s="9"/>
      <c r="C730" s="16"/>
      <c r="D730" s="16"/>
      <c r="E730" s="6"/>
      <c r="F730" s="6"/>
      <c r="G730" s="6"/>
      <c r="H730" s="7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ht="15.75" customHeight="1">
      <c r="A731" s="9"/>
      <c r="B731" s="9"/>
      <c r="C731" s="16"/>
      <c r="D731" s="16"/>
      <c r="E731" s="6"/>
      <c r="F731" s="6"/>
      <c r="G731" s="6"/>
      <c r="H731" s="7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ht="15.75" customHeight="1">
      <c r="A732" s="9"/>
      <c r="B732" s="9"/>
      <c r="C732" s="16"/>
      <c r="D732" s="16"/>
      <c r="E732" s="6"/>
      <c r="F732" s="6"/>
      <c r="G732" s="6"/>
      <c r="H732" s="7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ht="15.75" customHeight="1">
      <c r="A733" s="9"/>
      <c r="B733" s="9"/>
      <c r="C733" s="16"/>
      <c r="D733" s="16"/>
      <c r="E733" s="6"/>
      <c r="F733" s="6"/>
      <c r="G733" s="6"/>
      <c r="H733" s="7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ht="15.75" customHeight="1">
      <c r="A734" s="9"/>
      <c r="B734" s="9"/>
      <c r="C734" s="16"/>
      <c r="D734" s="16"/>
      <c r="E734" s="6"/>
      <c r="F734" s="6"/>
      <c r="G734" s="6"/>
      <c r="H734" s="7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ht="15.75" customHeight="1">
      <c r="A735" s="9"/>
      <c r="B735" s="9"/>
      <c r="C735" s="16"/>
      <c r="D735" s="16"/>
      <c r="E735" s="6"/>
      <c r="F735" s="6"/>
      <c r="G735" s="6"/>
      <c r="H735" s="7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ht="15.75" customHeight="1">
      <c r="A736" s="9"/>
      <c r="B736" s="9"/>
      <c r="C736" s="16"/>
      <c r="D736" s="16"/>
      <c r="E736" s="6"/>
      <c r="F736" s="6"/>
      <c r="G736" s="6"/>
      <c r="H736" s="7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ht="15.75" customHeight="1">
      <c r="A737" s="9"/>
      <c r="B737" s="9"/>
      <c r="C737" s="16"/>
      <c r="D737" s="16"/>
      <c r="E737" s="6"/>
      <c r="F737" s="6"/>
      <c r="G737" s="6"/>
      <c r="H737" s="7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ht="15.75" customHeight="1">
      <c r="A738" s="9"/>
      <c r="B738" s="9"/>
      <c r="C738" s="16"/>
      <c r="D738" s="16"/>
      <c r="E738" s="6"/>
      <c r="F738" s="6"/>
      <c r="G738" s="6"/>
      <c r="H738" s="7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ht="15.75" customHeight="1">
      <c r="A739" s="9"/>
      <c r="B739" s="9"/>
      <c r="C739" s="16"/>
      <c r="D739" s="16"/>
      <c r="E739" s="6"/>
      <c r="F739" s="6"/>
      <c r="G739" s="6"/>
      <c r="H739" s="7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ht="15.75" customHeight="1">
      <c r="A740" s="9"/>
      <c r="B740" s="9"/>
      <c r="C740" s="16"/>
      <c r="D740" s="16"/>
      <c r="E740" s="6"/>
      <c r="F740" s="6"/>
      <c r="G740" s="6"/>
      <c r="H740" s="7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ht="15.75" customHeight="1">
      <c r="A741" s="9"/>
      <c r="B741" s="9"/>
      <c r="C741" s="16"/>
      <c r="D741" s="16"/>
      <c r="E741" s="6"/>
      <c r="F741" s="6"/>
      <c r="G741" s="6"/>
      <c r="H741" s="7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ht="15.75" customHeight="1">
      <c r="A742" s="9"/>
      <c r="B742" s="9"/>
      <c r="C742" s="16"/>
      <c r="D742" s="16"/>
      <c r="E742" s="6"/>
      <c r="F742" s="6"/>
      <c r="G742" s="6"/>
      <c r="H742" s="7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ht="15.75" customHeight="1">
      <c r="A743" s="9"/>
      <c r="B743" s="9"/>
      <c r="C743" s="16"/>
      <c r="D743" s="16"/>
      <c r="E743" s="6"/>
      <c r="F743" s="6"/>
      <c r="G743" s="6"/>
      <c r="H743" s="7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ht="15.75" customHeight="1">
      <c r="A744" s="9"/>
      <c r="B744" s="9"/>
      <c r="C744" s="16"/>
      <c r="D744" s="16"/>
      <c r="E744" s="6"/>
      <c r="F744" s="6"/>
      <c r="G744" s="6"/>
      <c r="H744" s="7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ht="15.75" customHeight="1">
      <c r="A745" s="9"/>
      <c r="B745" s="9"/>
      <c r="C745" s="16"/>
      <c r="D745" s="16"/>
      <c r="E745" s="6"/>
      <c r="F745" s="6"/>
      <c r="G745" s="6"/>
      <c r="H745" s="7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ht="15.75" customHeight="1">
      <c r="A746" s="9"/>
      <c r="B746" s="9"/>
      <c r="C746" s="16"/>
      <c r="D746" s="16"/>
      <c r="E746" s="6"/>
      <c r="F746" s="6"/>
      <c r="G746" s="6"/>
      <c r="H746" s="7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ht="15.75" customHeight="1">
      <c r="A747" s="9"/>
      <c r="B747" s="9"/>
      <c r="C747" s="16"/>
      <c r="D747" s="16"/>
      <c r="E747" s="6"/>
      <c r="F747" s="6"/>
      <c r="G747" s="6"/>
      <c r="H747" s="7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ht="15.75" customHeight="1">
      <c r="A748" s="9"/>
      <c r="B748" s="9"/>
      <c r="C748" s="16"/>
      <c r="D748" s="16"/>
      <c r="E748" s="6"/>
      <c r="F748" s="6"/>
      <c r="G748" s="6"/>
      <c r="H748" s="7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ht="15.75" customHeight="1">
      <c r="A749" s="9"/>
      <c r="B749" s="9"/>
      <c r="C749" s="16"/>
      <c r="D749" s="16"/>
      <c r="E749" s="6"/>
      <c r="F749" s="6"/>
      <c r="G749" s="6"/>
      <c r="H749" s="7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ht="15.75" customHeight="1">
      <c r="A750" s="9"/>
      <c r="B750" s="9"/>
      <c r="C750" s="16"/>
      <c r="D750" s="16"/>
      <c r="E750" s="6"/>
      <c r="F750" s="6"/>
      <c r="G750" s="6"/>
      <c r="H750" s="7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ht="15.75" customHeight="1">
      <c r="A751" s="9"/>
      <c r="B751" s="9"/>
      <c r="C751" s="16"/>
      <c r="D751" s="16"/>
      <c r="E751" s="6"/>
      <c r="F751" s="6"/>
      <c r="G751" s="6"/>
      <c r="H751" s="7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ht="15.75" customHeight="1">
      <c r="A752" s="9"/>
      <c r="B752" s="9"/>
      <c r="C752" s="16"/>
      <c r="D752" s="16"/>
      <c r="E752" s="6"/>
      <c r="F752" s="6"/>
      <c r="G752" s="6"/>
      <c r="H752" s="7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ht="15.75" customHeight="1">
      <c r="A753" s="9"/>
      <c r="B753" s="9"/>
      <c r="C753" s="16"/>
      <c r="D753" s="16"/>
      <c r="E753" s="6"/>
      <c r="F753" s="6"/>
      <c r="G753" s="6"/>
      <c r="H753" s="7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ht="15.75" customHeight="1">
      <c r="A754" s="9"/>
      <c r="B754" s="9"/>
      <c r="C754" s="16"/>
      <c r="D754" s="16"/>
      <c r="E754" s="6"/>
      <c r="F754" s="6"/>
      <c r="G754" s="6"/>
      <c r="H754" s="7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ht="15.75" customHeight="1">
      <c r="A755" s="9"/>
      <c r="B755" s="9"/>
      <c r="C755" s="16"/>
      <c r="D755" s="16"/>
      <c r="E755" s="6"/>
      <c r="F755" s="6"/>
      <c r="G755" s="6"/>
      <c r="H755" s="7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ht="15.75" customHeight="1">
      <c r="A756" s="9"/>
      <c r="B756" s="9"/>
      <c r="C756" s="16"/>
      <c r="D756" s="16"/>
      <c r="E756" s="6"/>
      <c r="F756" s="6"/>
      <c r="G756" s="6"/>
      <c r="H756" s="7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ht="15.75" customHeight="1">
      <c r="A757" s="9"/>
      <c r="B757" s="9"/>
      <c r="C757" s="16"/>
      <c r="D757" s="16"/>
      <c r="E757" s="6"/>
      <c r="F757" s="6"/>
      <c r="G757" s="6"/>
      <c r="H757" s="7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ht="15.75" customHeight="1">
      <c r="A758" s="9"/>
      <c r="B758" s="9"/>
      <c r="C758" s="16"/>
      <c r="D758" s="16"/>
      <c r="E758" s="6"/>
      <c r="F758" s="6"/>
      <c r="G758" s="6"/>
      <c r="H758" s="7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ht="15.75" customHeight="1">
      <c r="A759" s="9"/>
      <c r="B759" s="9"/>
      <c r="C759" s="16"/>
      <c r="D759" s="16"/>
      <c r="E759" s="6"/>
      <c r="F759" s="6"/>
      <c r="G759" s="6"/>
      <c r="H759" s="7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ht="15.75" customHeight="1">
      <c r="A760" s="9"/>
      <c r="B760" s="9"/>
      <c r="C760" s="16"/>
      <c r="D760" s="16"/>
      <c r="E760" s="6"/>
      <c r="F760" s="6"/>
      <c r="G760" s="6"/>
      <c r="H760" s="7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ht="15.75" customHeight="1">
      <c r="A761" s="9"/>
      <c r="B761" s="9"/>
      <c r="C761" s="16"/>
      <c r="D761" s="16"/>
      <c r="E761" s="6"/>
      <c r="F761" s="6"/>
      <c r="G761" s="6"/>
      <c r="H761" s="7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ht="15.75" customHeight="1">
      <c r="A762" s="9"/>
      <c r="B762" s="9"/>
      <c r="C762" s="16"/>
      <c r="D762" s="16"/>
      <c r="E762" s="6"/>
      <c r="F762" s="6"/>
      <c r="G762" s="6"/>
      <c r="H762" s="7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ht="15.75" customHeight="1">
      <c r="A763" s="9"/>
      <c r="B763" s="9"/>
      <c r="C763" s="16"/>
      <c r="D763" s="16"/>
      <c r="E763" s="6"/>
      <c r="F763" s="6"/>
      <c r="G763" s="6"/>
      <c r="H763" s="7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ht="15.75" customHeight="1">
      <c r="A764" s="9"/>
      <c r="B764" s="9"/>
      <c r="C764" s="16"/>
      <c r="D764" s="16"/>
      <c r="E764" s="6"/>
      <c r="F764" s="6"/>
      <c r="G764" s="6"/>
      <c r="H764" s="7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ht="15.75" customHeight="1">
      <c r="A765" s="9"/>
      <c r="B765" s="9"/>
      <c r="C765" s="16"/>
      <c r="D765" s="16"/>
      <c r="E765" s="6"/>
      <c r="F765" s="6"/>
      <c r="G765" s="6"/>
      <c r="H765" s="7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ht="15.75" customHeight="1">
      <c r="A766" s="9"/>
      <c r="B766" s="9"/>
      <c r="C766" s="16"/>
      <c r="D766" s="16"/>
      <c r="E766" s="6"/>
      <c r="F766" s="6"/>
      <c r="G766" s="6"/>
      <c r="H766" s="7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ht="15.75" customHeight="1">
      <c r="A767" s="9"/>
      <c r="B767" s="9"/>
      <c r="C767" s="16"/>
      <c r="D767" s="16"/>
      <c r="E767" s="6"/>
      <c r="F767" s="6"/>
      <c r="G767" s="6"/>
      <c r="H767" s="7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ht="15.75" customHeight="1">
      <c r="A768" s="9"/>
      <c r="B768" s="9"/>
      <c r="C768" s="16"/>
      <c r="D768" s="16"/>
      <c r="E768" s="6"/>
      <c r="F768" s="6"/>
      <c r="G768" s="6"/>
      <c r="H768" s="7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ht="15.75" customHeight="1">
      <c r="A769" s="9"/>
      <c r="B769" s="9"/>
      <c r="C769" s="16"/>
      <c r="D769" s="16"/>
      <c r="E769" s="6"/>
      <c r="F769" s="6"/>
      <c r="G769" s="6"/>
      <c r="H769" s="7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ht="15.75" customHeight="1">
      <c r="A770" s="9"/>
      <c r="B770" s="9"/>
      <c r="C770" s="16"/>
      <c r="D770" s="16"/>
      <c r="E770" s="6"/>
      <c r="F770" s="6"/>
      <c r="G770" s="6"/>
      <c r="H770" s="7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ht="15.75" customHeight="1">
      <c r="A771" s="9"/>
      <c r="B771" s="9"/>
      <c r="C771" s="16"/>
      <c r="D771" s="16"/>
      <c r="E771" s="6"/>
      <c r="F771" s="6"/>
      <c r="G771" s="6"/>
      <c r="H771" s="7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ht="15.75" customHeight="1">
      <c r="A772" s="9"/>
      <c r="B772" s="9"/>
      <c r="C772" s="16"/>
      <c r="D772" s="16"/>
      <c r="E772" s="6"/>
      <c r="F772" s="6"/>
      <c r="G772" s="6"/>
      <c r="H772" s="7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ht="15.75" customHeight="1">
      <c r="A773" s="9"/>
      <c r="B773" s="9"/>
      <c r="C773" s="16"/>
      <c r="D773" s="16"/>
      <c r="E773" s="6"/>
      <c r="F773" s="6"/>
      <c r="G773" s="6"/>
      <c r="H773" s="7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ht="15.75" customHeight="1">
      <c r="A774" s="9"/>
      <c r="B774" s="9"/>
      <c r="C774" s="16"/>
      <c r="D774" s="16"/>
      <c r="E774" s="6"/>
      <c r="F774" s="6"/>
      <c r="G774" s="6"/>
      <c r="H774" s="7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ht="15.75" customHeight="1">
      <c r="A775" s="9"/>
      <c r="B775" s="9"/>
      <c r="C775" s="16"/>
      <c r="D775" s="16"/>
      <c r="E775" s="6"/>
      <c r="F775" s="6"/>
      <c r="G775" s="6"/>
      <c r="H775" s="7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ht="15.75" customHeight="1">
      <c r="A776" s="9"/>
      <c r="B776" s="9"/>
      <c r="C776" s="16"/>
      <c r="D776" s="16"/>
      <c r="E776" s="6"/>
      <c r="F776" s="6"/>
      <c r="G776" s="6"/>
      <c r="H776" s="7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ht="15.75" customHeight="1">
      <c r="A777" s="9"/>
      <c r="B777" s="9"/>
      <c r="C777" s="16"/>
      <c r="D777" s="16"/>
      <c r="E777" s="6"/>
      <c r="F777" s="6"/>
      <c r="G777" s="6"/>
      <c r="H777" s="7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ht="15.75" customHeight="1">
      <c r="A778" s="9"/>
      <c r="B778" s="9"/>
      <c r="C778" s="16"/>
      <c r="D778" s="16"/>
      <c r="E778" s="6"/>
      <c r="F778" s="6"/>
      <c r="G778" s="6"/>
      <c r="H778" s="7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ht="15.75" customHeight="1">
      <c r="A779" s="9"/>
      <c r="B779" s="9"/>
      <c r="C779" s="16"/>
      <c r="D779" s="16"/>
      <c r="E779" s="6"/>
      <c r="F779" s="6"/>
      <c r="G779" s="6"/>
      <c r="H779" s="7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ht="15.75" customHeight="1">
      <c r="A780" s="9"/>
      <c r="B780" s="9"/>
      <c r="C780" s="16"/>
      <c r="D780" s="16"/>
      <c r="E780" s="6"/>
      <c r="F780" s="6"/>
      <c r="G780" s="6"/>
      <c r="H780" s="7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ht="15.75" customHeight="1">
      <c r="A781" s="9"/>
      <c r="B781" s="9"/>
      <c r="C781" s="16"/>
      <c r="D781" s="16"/>
      <c r="E781" s="6"/>
      <c r="F781" s="6"/>
      <c r="G781" s="6"/>
      <c r="H781" s="7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ht="15.75" customHeight="1">
      <c r="A782" s="9"/>
      <c r="B782" s="9"/>
      <c r="C782" s="16"/>
      <c r="D782" s="16"/>
      <c r="E782" s="6"/>
      <c r="F782" s="6"/>
      <c r="G782" s="6"/>
      <c r="H782" s="7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ht="15.75" customHeight="1">
      <c r="A783" s="9"/>
      <c r="B783" s="9"/>
      <c r="C783" s="16"/>
      <c r="D783" s="16"/>
      <c r="E783" s="6"/>
      <c r="F783" s="6"/>
      <c r="G783" s="6"/>
      <c r="H783" s="7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ht="15.75" customHeight="1">
      <c r="A784" s="9"/>
      <c r="B784" s="9"/>
      <c r="C784" s="16"/>
      <c r="D784" s="16"/>
      <c r="E784" s="6"/>
      <c r="F784" s="6"/>
      <c r="G784" s="6"/>
      <c r="H784" s="7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ht="15.75" customHeight="1">
      <c r="A785" s="9"/>
      <c r="B785" s="9"/>
      <c r="C785" s="16"/>
      <c r="D785" s="16"/>
      <c r="E785" s="6"/>
      <c r="F785" s="6"/>
      <c r="G785" s="6"/>
      <c r="H785" s="7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ht="15.75" customHeight="1">
      <c r="A786" s="9"/>
      <c r="B786" s="9"/>
      <c r="C786" s="16"/>
      <c r="D786" s="16"/>
      <c r="E786" s="6"/>
      <c r="F786" s="6"/>
      <c r="G786" s="6"/>
      <c r="H786" s="7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ht="15.75" customHeight="1">
      <c r="A787" s="9"/>
      <c r="B787" s="9"/>
      <c r="C787" s="16"/>
      <c r="D787" s="16"/>
      <c r="E787" s="6"/>
      <c r="F787" s="6"/>
      <c r="G787" s="6"/>
      <c r="H787" s="7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ht="15.75" customHeight="1">
      <c r="A788" s="9"/>
      <c r="B788" s="9"/>
      <c r="C788" s="16"/>
      <c r="D788" s="16"/>
      <c r="E788" s="6"/>
      <c r="F788" s="6"/>
      <c r="G788" s="6"/>
      <c r="H788" s="7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ht="15.75" customHeight="1">
      <c r="A789" s="9"/>
      <c r="B789" s="9"/>
      <c r="C789" s="16"/>
      <c r="D789" s="16"/>
      <c r="E789" s="6"/>
      <c r="F789" s="6"/>
      <c r="G789" s="6"/>
      <c r="H789" s="7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ht="15.75" customHeight="1">
      <c r="A790" s="9"/>
      <c r="B790" s="9"/>
      <c r="C790" s="16"/>
      <c r="D790" s="16"/>
      <c r="E790" s="6"/>
      <c r="F790" s="6"/>
      <c r="G790" s="6"/>
      <c r="H790" s="7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ht="15.75" customHeight="1">
      <c r="A791" s="9"/>
      <c r="B791" s="9"/>
      <c r="C791" s="16"/>
      <c r="D791" s="16"/>
      <c r="E791" s="6"/>
      <c r="F791" s="6"/>
      <c r="G791" s="6"/>
      <c r="H791" s="7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ht="15.75" customHeight="1">
      <c r="A792" s="9"/>
      <c r="B792" s="9"/>
      <c r="C792" s="16"/>
      <c r="D792" s="16"/>
      <c r="E792" s="6"/>
      <c r="F792" s="6"/>
      <c r="G792" s="6"/>
      <c r="H792" s="7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ht="15.75" customHeight="1">
      <c r="A793" s="9"/>
      <c r="B793" s="9"/>
      <c r="C793" s="16"/>
      <c r="D793" s="16"/>
      <c r="E793" s="6"/>
      <c r="F793" s="6"/>
      <c r="G793" s="6"/>
      <c r="H793" s="7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ht="15.75" customHeight="1">
      <c r="A794" s="9"/>
      <c r="B794" s="9"/>
      <c r="C794" s="16"/>
      <c r="D794" s="16"/>
      <c r="E794" s="6"/>
      <c r="F794" s="6"/>
      <c r="G794" s="6"/>
      <c r="H794" s="7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ht="15.75" customHeight="1">
      <c r="A795" s="9"/>
      <c r="B795" s="9"/>
      <c r="C795" s="16"/>
      <c r="D795" s="16"/>
      <c r="E795" s="6"/>
      <c r="F795" s="6"/>
      <c r="G795" s="6"/>
      <c r="H795" s="7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ht="15.75" customHeight="1">
      <c r="A796" s="9"/>
      <c r="B796" s="9"/>
      <c r="C796" s="16"/>
      <c r="D796" s="16"/>
      <c r="E796" s="6"/>
      <c r="F796" s="6"/>
      <c r="G796" s="6"/>
      <c r="H796" s="7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ht="15.75" customHeight="1">
      <c r="A797" s="9"/>
      <c r="B797" s="9"/>
      <c r="C797" s="16"/>
      <c r="D797" s="16"/>
      <c r="E797" s="6"/>
      <c r="F797" s="6"/>
      <c r="G797" s="6"/>
      <c r="H797" s="7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ht="15.75" customHeight="1">
      <c r="A798" s="9"/>
      <c r="B798" s="9"/>
      <c r="C798" s="16"/>
      <c r="D798" s="16"/>
      <c r="E798" s="6"/>
      <c r="F798" s="6"/>
      <c r="G798" s="6"/>
      <c r="H798" s="7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ht="15.75" customHeight="1">
      <c r="A799" s="9"/>
      <c r="B799" s="9"/>
      <c r="C799" s="16"/>
      <c r="D799" s="16"/>
      <c r="E799" s="6"/>
      <c r="F799" s="6"/>
      <c r="G799" s="6"/>
      <c r="H799" s="7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ht="15.75" customHeight="1">
      <c r="A800" s="9"/>
      <c r="B800" s="9"/>
      <c r="C800" s="16"/>
      <c r="D800" s="16"/>
      <c r="E800" s="6"/>
      <c r="F800" s="6"/>
      <c r="G800" s="6"/>
      <c r="H800" s="7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ht="15.75" customHeight="1">
      <c r="A801" s="9"/>
      <c r="B801" s="9"/>
      <c r="C801" s="16"/>
      <c r="D801" s="16"/>
      <c r="E801" s="6"/>
      <c r="F801" s="6"/>
      <c r="G801" s="6"/>
      <c r="H801" s="7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ht="15.75" customHeight="1">
      <c r="A802" s="9"/>
      <c r="B802" s="9"/>
      <c r="C802" s="16"/>
      <c r="D802" s="16"/>
      <c r="E802" s="6"/>
      <c r="F802" s="6"/>
      <c r="G802" s="6"/>
      <c r="H802" s="7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ht="15.75" customHeight="1">
      <c r="A803" s="9"/>
      <c r="B803" s="9"/>
      <c r="C803" s="16"/>
      <c r="D803" s="16"/>
      <c r="E803" s="6"/>
      <c r="F803" s="6"/>
      <c r="G803" s="6"/>
      <c r="H803" s="7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ht="15.75" customHeight="1">
      <c r="A804" s="9"/>
      <c r="B804" s="9"/>
      <c r="C804" s="16"/>
      <c r="D804" s="16"/>
      <c r="E804" s="6"/>
      <c r="F804" s="6"/>
      <c r="G804" s="6"/>
      <c r="H804" s="7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ht="15.75" customHeight="1">
      <c r="A805" s="9"/>
      <c r="B805" s="9"/>
      <c r="C805" s="16"/>
      <c r="D805" s="16"/>
      <c r="E805" s="6"/>
      <c r="F805" s="6"/>
      <c r="G805" s="6"/>
      <c r="H805" s="7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ht="15.75" customHeight="1">
      <c r="A806" s="9"/>
      <c r="B806" s="9"/>
      <c r="C806" s="16"/>
      <c r="D806" s="16"/>
      <c r="E806" s="6"/>
      <c r="F806" s="6"/>
      <c r="G806" s="6"/>
      <c r="H806" s="7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ht="15.75" customHeight="1">
      <c r="A807" s="9"/>
      <c r="B807" s="9"/>
      <c r="C807" s="16"/>
      <c r="D807" s="16"/>
      <c r="E807" s="6"/>
      <c r="F807" s="6"/>
      <c r="G807" s="6"/>
      <c r="H807" s="7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ht="15.75" customHeight="1">
      <c r="A808" s="9"/>
      <c r="B808" s="9"/>
      <c r="C808" s="16"/>
      <c r="D808" s="16"/>
      <c r="E808" s="6"/>
      <c r="F808" s="6"/>
      <c r="G808" s="6"/>
      <c r="H808" s="7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ht="15.75" customHeight="1">
      <c r="A809" s="9"/>
      <c r="B809" s="9"/>
      <c r="C809" s="16"/>
      <c r="D809" s="16"/>
      <c r="E809" s="6"/>
      <c r="F809" s="6"/>
      <c r="G809" s="6"/>
      <c r="H809" s="7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ht="15.75" customHeight="1">
      <c r="A810" s="9"/>
      <c r="B810" s="9"/>
      <c r="C810" s="16"/>
      <c r="D810" s="16"/>
      <c r="E810" s="6"/>
      <c r="F810" s="6"/>
      <c r="G810" s="6"/>
      <c r="H810" s="7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ht="15.75" customHeight="1">
      <c r="A811" s="9"/>
      <c r="B811" s="9"/>
      <c r="C811" s="16"/>
      <c r="D811" s="16"/>
      <c r="E811" s="6"/>
      <c r="F811" s="6"/>
      <c r="G811" s="6"/>
      <c r="H811" s="7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ht="15.75" customHeight="1">
      <c r="A812" s="9"/>
      <c r="B812" s="9"/>
      <c r="C812" s="16"/>
      <c r="D812" s="16"/>
      <c r="E812" s="6"/>
      <c r="F812" s="6"/>
      <c r="G812" s="6"/>
      <c r="H812" s="7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ht="15.75" customHeight="1">
      <c r="A813" s="9"/>
      <c r="B813" s="9"/>
      <c r="C813" s="16"/>
      <c r="D813" s="16"/>
      <c r="E813" s="6"/>
      <c r="F813" s="6"/>
      <c r="G813" s="6"/>
      <c r="H813" s="7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ht="15.75" customHeight="1">
      <c r="A814" s="9"/>
      <c r="B814" s="9"/>
      <c r="C814" s="16"/>
      <c r="D814" s="16"/>
      <c r="E814" s="6"/>
      <c r="F814" s="6"/>
      <c r="G814" s="6"/>
      <c r="H814" s="7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ht="15.75" customHeight="1">
      <c r="A815" s="9"/>
      <c r="B815" s="9"/>
      <c r="C815" s="16"/>
      <c r="D815" s="16"/>
      <c r="E815" s="6"/>
      <c r="F815" s="6"/>
      <c r="G815" s="6"/>
      <c r="H815" s="7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ht="15.75" customHeight="1">
      <c r="A816" s="9"/>
      <c r="B816" s="9"/>
      <c r="C816" s="16"/>
      <c r="D816" s="16"/>
      <c r="E816" s="6"/>
      <c r="F816" s="6"/>
      <c r="G816" s="6"/>
      <c r="H816" s="7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ht="15.75" customHeight="1">
      <c r="A817" s="9"/>
      <c r="B817" s="9"/>
      <c r="C817" s="16"/>
      <c r="D817" s="16"/>
      <c r="E817" s="6"/>
      <c r="F817" s="6"/>
      <c r="G817" s="6"/>
      <c r="H817" s="7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ht="15.75" customHeight="1">
      <c r="A818" s="9"/>
      <c r="B818" s="9"/>
      <c r="C818" s="16"/>
      <c r="D818" s="16"/>
      <c r="E818" s="6"/>
      <c r="F818" s="6"/>
      <c r="G818" s="6"/>
      <c r="H818" s="7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ht="15.75" customHeight="1">
      <c r="A819" s="9"/>
      <c r="B819" s="9"/>
      <c r="C819" s="16"/>
      <c r="D819" s="16"/>
      <c r="E819" s="6"/>
      <c r="F819" s="6"/>
      <c r="G819" s="6"/>
      <c r="H819" s="7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ht="15.75" customHeight="1">
      <c r="A820" s="9"/>
      <c r="B820" s="9"/>
      <c r="C820" s="16"/>
      <c r="D820" s="16"/>
      <c r="E820" s="6"/>
      <c r="F820" s="6"/>
      <c r="G820" s="6"/>
      <c r="H820" s="7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ht="15.75" customHeight="1">
      <c r="A821" s="9"/>
      <c r="B821" s="9"/>
      <c r="C821" s="16"/>
      <c r="D821" s="16"/>
      <c r="E821" s="6"/>
      <c r="F821" s="6"/>
      <c r="G821" s="6"/>
      <c r="H821" s="7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ht="15.75" customHeight="1">
      <c r="A822" s="9"/>
      <c r="B822" s="9"/>
      <c r="C822" s="16"/>
      <c r="D822" s="16"/>
      <c r="E822" s="6"/>
      <c r="F822" s="6"/>
      <c r="G822" s="6"/>
      <c r="H822" s="7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ht="15.75" customHeight="1">
      <c r="A823" s="9"/>
      <c r="B823" s="9"/>
      <c r="C823" s="16"/>
      <c r="D823" s="16"/>
      <c r="E823" s="6"/>
      <c r="F823" s="6"/>
      <c r="G823" s="6"/>
      <c r="H823" s="7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ht="15.75" customHeight="1">
      <c r="A824" s="9"/>
      <c r="B824" s="9"/>
      <c r="C824" s="16"/>
      <c r="D824" s="16"/>
      <c r="E824" s="6"/>
      <c r="F824" s="6"/>
      <c r="G824" s="6"/>
      <c r="H824" s="7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ht="15.75" customHeight="1">
      <c r="A825" s="9"/>
      <c r="B825" s="9"/>
      <c r="C825" s="16"/>
      <c r="D825" s="16"/>
      <c r="E825" s="6"/>
      <c r="F825" s="6"/>
      <c r="G825" s="6"/>
      <c r="H825" s="7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ht="15.75" customHeight="1">
      <c r="A826" s="9"/>
      <c r="B826" s="9"/>
      <c r="C826" s="16"/>
      <c r="D826" s="16"/>
      <c r="E826" s="6"/>
      <c r="F826" s="6"/>
      <c r="G826" s="6"/>
      <c r="H826" s="7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ht="15.75" customHeight="1">
      <c r="A827" s="9"/>
      <c r="B827" s="9"/>
      <c r="C827" s="16"/>
      <c r="D827" s="16"/>
      <c r="E827" s="6"/>
      <c r="F827" s="6"/>
      <c r="G827" s="6"/>
      <c r="H827" s="7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ht="15.75" customHeight="1">
      <c r="A828" s="9"/>
      <c r="B828" s="9"/>
      <c r="C828" s="16"/>
      <c r="D828" s="16"/>
      <c r="E828" s="6"/>
      <c r="F828" s="6"/>
      <c r="G828" s="6"/>
      <c r="H828" s="7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ht="15.75" customHeight="1">
      <c r="A829" s="9"/>
      <c r="B829" s="9"/>
      <c r="C829" s="16"/>
      <c r="D829" s="16"/>
      <c r="E829" s="6"/>
      <c r="F829" s="6"/>
      <c r="G829" s="6"/>
      <c r="H829" s="7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ht="15.75" customHeight="1">
      <c r="A830" s="9"/>
      <c r="B830" s="9"/>
      <c r="C830" s="16"/>
      <c r="D830" s="16"/>
      <c r="E830" s="6"/>
      <c r="F830" s="6"/>
      <c r="G830" s="6"/>
      <c r="H830" s="7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ht="15.75" customHeight="1">
      <c r="A831" s="9"/>
      <c r="B831" s="9"/>
      <c r="C831" s="16"/>
      <c r="D831" s="16"/>
      <c r="E831" s="6"/>
      <c r="F831" s="6"/>
      <c r="G831" s="6"/>
      <c r="H831" s="7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ht="15.75" customHeight="1">
      <c r="A832" s="9"/>
      <c r="B832" s="9"/>
      <c r="C832" s="16"/>
      <c r="D832" s="16"/>
      <c r="E832" s="6"/>
      <c r="F832" s="6"/>
      <c r="G832" s="6"/>
      <c r="H832" s="7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ht="15.75" customHeight="1">
      <c r="A833" s="9"/>
      <c r="B833" s="9"/>
      <c r="C833" s="16"/>
      <c r="D833" s="16"/>
      <c r="E833" s="6"/>
      <c r="F833" s="6"/>
      <c r="G833" s="6"/>
      <c r="H833" s="7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ht="15.75" customHeight="1">
      <c r="A834" s="9"/>
      <c r="B834" s="9"/>
      <c r="C834" s="16"/>
      <c r="D834" s="16"/>
      <c r="E834" s="6"/>
      <c r="F834" s="6"/>
      <c r="G834" s="6"/>
      <c r="H834" s="7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ht="15.75" customHeight="1">
      <c r="A835" s="9"/>
      <c r="B835" s="9"/>
      <c r="C835" s="16"/>
      <c r="D835" s="16"/>
      <c r="E835" s="6"/>
      <c r="F835" s="6"/>
      <c r="G835" s="6"/>
      <c r="H835" s="7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ht="15.75" customHeight="1">
      <c r="A836" s="9"/>
      <c r="B836" s="9"/>
      <c r="C836" s="16"/>
      <c r="D836" s="16"/>
      <c r="E836" s="6"/>
      <c r="F836" s="6"/>
      <c r="G836" s="6"/>
      <c r="H836" s="7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ht="15.75" customHeight="1">
      <c r="A837" s="9"/>
      <c r="B837" s="9"/>
      <c r="C837" s="16"/>
      <c r="D837" s="16"/>
      <c r="E837" s="6"/>
      <c r="F837" s="6"/>
      <c r="G837" s="6"/>
      <c r="H837" s="7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ht="15.75" customHeight="1">
      <c r="A838" s="9"/>
      <c r="B838" s="9"/>
      <c r="C838" s="16"/>
      <c r="D838" s="16"/>
      <c r="E838" s="6"/>
      <c r="F838" s="6"/>
      <c r="G838" s="6"/>
      <c r="H838" s="7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ht="15.75" customHeight="1">
      <c r="A839" s="9"/>
      <c r="B839" s="9"/>
      <c r="C839" s="16"/>
      <c r="D839" s="16"/>
      <c r="E839" s="6"/>
      <c r="F839" s="6"/>
      <c r="G839" s="6"/>
      <c r="H839" s="7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ht="15.75" customHeight="1">
      <c r="A840" s="9"/>
      <c r="B840" s="9"/>
      <c r="C840" s="16"/>
      <c r="D840" s="16"/>
      <c r="E840" s="6"/>
      <c r="F840" s="6"/>
      <c r="G840" s="6"/>
      <c r="H840" s="7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ht="15.75" customHeight="1">
      <c r="A841" s="9"/>
      <c r="B841" s="9"/>
      <c r="C841" s="16"/>
      <c r="D841" s="16"/>
      <c r="E841" s="6"/>
      <c r="F841" s="6"/>
      <c r="G841" s="6"/>
      <c r="H841" s="7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ht="15.75" customHeight="1">
      <c r="A842" s="9"/>
      <c r="B842" s="9"/>
      <c r="C842" s="16"/>
      <c r="D842" s="16"/>
      <c r="E842" s="6"/>
      <c r="F842" s="6"/>
      <c r="G842" s="6"/>
      <c r="H842" s="7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ht="15.75" customHeight="1">
      <c r="A843" s="9"/>
      <c r="B843" s="9"/>
      <c r="C843" s="16"/>
      <c r="D843" s="16"/>
      <c r="E843" s="6"/>
      <c r="F843" s="6"/>
      <c r="G843" s="6"/>
      <c r="H843" s="7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ht="15.75" customHeight="1">
      <c r="A844" s="9"/>
      <c r="B844" s="9"/>
      <c r="C844" s="16"/>
      <c r="D844" s="16"/>
      <c r="E844" s="6"/>
      <c r="F844" s="6"/>
      <c r="G844" s="6"/>
      <c r="H844" s="7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ht="15.75" customHeight="1">
      <c r="A845" s="9"/>
      <c r="B845" s="9"/>
      <c r="C845" s="16"/>
      <c r="D845" s="16"/>
      <c r="E845" s="6"/>
      <c r="F845" s="6"/>
      <c r="G845" s="6"/>
      <c r="H845" s="7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ht="15.75" customHeight="1">
      <c r="A846" s="9"/>
      <c r="B846" s="9"/>
      <c r="C846" s="16"/>
      <c r="D846" s="16"/>
      <c r="E846" s="6"/>
      <c r="F846" s="6"/>
      <c r="G846" s="6"/>
      <c r="H846" s="7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ht="15.75" customHeight="1">
      <c r="A847" s="9"/>
      <c r="B847" s="9"/>
      <c r="C847" s="16"/>
      <c r="D847" s="16"/>
      <c r="E847" s="6"/>
      <c r="F847" s="6"/>
      <c r="G847" s="6"/>
      <c r="H847" s="7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ht="15.75" customHeight="1">
      <c r="A848" s="9"/>
      <c r="B848" s="9"/>
      <c r="C848" s="16"/>
      <c r="D848" s="16"/>
      <c r="E848" s="6"/>
      <c r="F848" s="6"/>
      <c r="G848" s="6"/>
      <c r="H848" s="7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ht="15.75" customHeight="1">
      <c r="A849" s="9"/>
      <c r="B849" s="9"/>
      <c r="C849" s="16"/>
      <c r="D849" s="16"/>
      <c r="E849" s="6"/>
      <c r="F849" s="6"/>
      <c r="G849" s="6"/>
      <c r="H849" s="7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ht="15.75" customHeight="1">
      <c r="A850" s="9"/>
      <c r="B850" s="9"/>
      <c r="C850" s="16"/>
      <c r="D850" s="16"/>
      <c r="E850" s="6"/>
      <c r="F850" s="6"/>
      <c r="G850" s="6"/>
      <c r="H850" s="7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ht="15.75" customHeight="1">
      <c r="A851" s="9"/>
      <c r="B851" s="9"/>
      <c r="C851" s="16"/>
      <c r="D851" s="16"/>
      <c r="E851" s="6"/>
      <c r="F851" s="6"/>
      <c r="G851" s="6"/>
      <c r="H851" s="7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ht="15.75" customHeight="1">
      <c r="A852" s="9"/>
      <c r="B852" s="9"/>
      <c r="C852" s="16"/>
      <c r="D852" s="16"/>
      <c r="E852" s="6"/>
      <c r="F852" s="6"/>
      <c r="G852" s="6"/>
      <c r="H852" s="7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ht="15.75" customHeight="1">
      <c r="A853" s="9"/>
      <c r="B853" s="9"/>
      <c r="C853" s="16"/>
      <c r="D853" s="16"/>
      <c r="E853" s="6"/>
      <c r="F853" s="6"/>
      <c r="G853" s="6"/>
      <c r="H853" s="7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ht="15.75" customHeight="1">
      <c r="A854" s="9"/>
      <c r="B854" s="9"/>
      <c r="C854" s="16"/>
      <c r="D854" s="16"/>
      <c r="E854" s="6"/>
      <c r="F854" s="6"/>
      <c r="G854" s="6"/>
      <c r="H854" s="7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ht="15.75" customHeight="1">
      <c r="A855" s="9"/>
      <c r="B855" s="9"/>
      <c r="C855" s="16"/>
      <c r="D855" s="16"/>
      <c r="E855" s="6"/>
      <c r="F855" s="6"/>
      <c r="G855" s="6"/>
      <c r="H855" s="7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ht="15.75" customHeight="1">
      <c r="A856" s="9"/>
      <c r="B856" s="9"/>
      <c r="C856" s="16"/>
      <c r="D856" s="16"/>
      <c r="E856" s="6"/>
      <c r="F856" s="6"/>
      <c r="G856" s="6"/>
      <c r="H856" s="7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ht="15.75" customHeight="1">
      <c r="A857" s="9"/>
      <c r="B857" s="9"/>
      <c r="C857" s="16"/>
      <c r="D857" s="16"/>
      <c r="E857" s="6"/>
      <c r="F857" s="6"/>
      <c r="G857" s="6"/>
      <c r="H857" s="7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ht="15.75" customHeight="1">
      <c r="A858" s="9"/>
      <c r="B858" s="9"/>
      <c r="C858" s="16"/>
      <c r="D858" s="16"/>
      <c r="E858" s="6"/>
      <c r="F858" s="6"/>
      <c r="G858" s="6"/>
      <c r="H858" s="7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ht="15.75" customHeight="1">
      <c r="A859" s="9"/>
      <c r="B859" s="9"/>
      <c r="C859" s="16"/>
      <c r="D859" s="16"/>
      <c r="E859" s="6"/>
      <c r="F859" s="6"/>
      <c r="G859" s="6"/>
      <c r="H859" s="7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ht="15.75" customHeight="1">
      <c r="A860" s="9"/>
      <c r="B860" s="9"/>
      <c r="C860" s="16"/>
      <c r="D860" s="16"/>
      <c r="E860" s="6"/>
      <c r="F860" s="6"/>
      <c r="G860" s="6"/>
      <c r="H860" s="7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ht="15.75" customHeight="1">
      <c r="A861" s="9"/>
      <c r="B861" s="9"/>
      <c r="C861" s="16"/>
      <c r="D861" s="16"/>
      <c r="E861" s="6"/>
      <c r="F861" s="6"/>
      <c r="G861" s="6"/>
      <c r="H861" s="7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ht="15.75" customHeight="1">
      <c r="A862" s="9"/>
      <c r="B862" s="9"/>
      <c r="C862" s="16"/>
      <c r="D862" s="16"/>
      <c r="E862" s="6"/>
      <c r="F862" s="6"/>
      <c r="G862" s="6"/>
      <c r="H862" s="7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ht="15.75" customHeight="1">
      <c r="A863" s="9"/>
      <c r="B863" s="9"/>
      <c r="C863" s="16"/>
      <c r="D863" s="16"/>
      <c r="E863" s="6"/>
      <c r="F863" s="6"/>
      <c r="G863" s="6"/>
      <c r="H863" s="7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ht="15.75" customHeight="1">
      <c r="A864" s="9"/>
      <c r="B864" s="9"/>
      <c r="C864" s="16"/>
      <c r="D864" s="16"/>
      <c r="E864" s="6"/>
      <c r="F864" s="6"/>
      <c r="G864" s="6"/>
      <c r="H864" s="7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ht="15.75" customHeight="1">
      <c r="A865" s="9"/>
      <c r="B865" s="9"/>
      <c r="C865" s="16"/>
      <c r="D865" s="16"/>
      <c r="E865" s="6"/>
      <c r="F865" s="6"/>
      <c r="G865" s="6"/>
      <c r="H865" s="7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ht="15.75" customHeight="1">
      <c r="A866" s="9"/>
      <c r="B866" s="9"/>
      <c r="C866" s="16"/>
      <c r="D866" s="16"/>
      <c r="E866" s="6"/>
      <c r="F866" s="6"/>
      <c r="G866" s="6"/>
      <c r="H866" s="7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ht="15.75" customHeight="1">
      <c r="A867" s="9"/>
      <c r="B867" s="9"/>
      <c r="C867" s="16"/>
      <c r="D867" s="16"/>
      <c r="E867" s="6"/>
      <c r="F867" s="6"/>
      <c r="G867" s="6"/>
      <c r="H867" s="7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ht="15.75" customHeight="1">
      <c r="A868" s="9"/>
      <c r="B868" s="9"/>
      <c r="C868" s="16"/>
      <c r="D868" s="16"/>
      <c r="E868" s="6"/>
      <c r="F868" s="6"/>
      <c r="G868" s="6"/>
      <c r="H868" s="7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ht="15.75" customHeight="1">
      <c r="A869" s="9"/>
      <c r="B869" s="9"/>
      <c r="C869" s="16"/>
      <c r="D869" s="16"/>
      <c r="E869" s="6"/>
      <c r="F869" s="6"/>
      <c r="G869" s="6"/>
      <c r="H869" s="7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ht="15.75" customHeight="1">
      <c r="A870" s="9"/>
      <c r="B870" s="9"/>
      <c r="C870" s="16"/>
      <c r="D870" s="16"/>
      <c r="E870" s="6"/>
      <c r="F870" s="6"/>
      <c r="G870" s="6"/>
      <c r="H870" s="7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ht="15.75" customHeight="1">
      <c r="A871" s="9"/>
      <c r="B871" s="9"/>
      <c r="C871" s="16"/>
      <c r="D871" s="16"/>
      <c r="E871" s="6"/>
      <c r="F871" s="6"/>
      <c r="G871" s="6"/>
      <c r="H871" s="7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ht="15.75" customHeight="1">
      <c r="A872" s="9"/>
      <c r="B872" s="9"/>
      <c r="C872" s="16"/>
      <c r="D872" s="16"/>
      <c r="E872" s="6"/>
      <c r="F872" s="6"/>
      <c r="G872" s="6"/>
      <c r="H872" s="7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ht="15.75" customHeight="1">
      <c r="A873" s="9"/>
      <c r="B873" s="9"/>
      <c r="C873" s="16"/>
      <c r="D873" s="16"/>
      <c r="E873" s="6"/>
      <c r="F873" s="6"/>
      <c r="G873" s="6"/>
      <c r="H873" s="7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ht="15.75" customHeight="1">
      <c r="A874" s="9"/>
      <c r="B874" s="9"/>
      <c r="C874" s="16"/>
      <c r="D874" s="16"/>
      <c r="E874" s="6"/>
      <c r="F874" s="6"/>
      <c r="G874" s="6"/>
      <c r="H874" s="7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ht="15.75" customHeight="1">
      <c r="A875" s="9"/>
      <c r="B875" s="9"/>
      <c r="C875" s="16"/>
      <c r="D875" s="16"/>
      <c r="E875" s="6"/>
      <c r="F875" s="6"/>
      <c r="G875" s="6"/>
      <c r="H875" s="7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ht="15.75" customHeight="1">
      <c r="A876" s="9"/>
      <c r="B876" s="9"/>
      <c r="C876" s="16"/>
      <c r="D876" s="16"/>
      <c r="E876" s="6"/>
      <c r="F876" s="6"/>
      <c r="G876" s="6"/>
      <c r="H876" s="7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ht="15.75" customHeight="1">
      <c r="A877" s="9"/>
      <c r="B877" s="9"/>
      <c r="C877" s="16"/>
      <c r="D877" s="16"/>
      <c r="E877" s="6"/>
      <c r="F877" s="6"/>
      <c r="G877" s="6"/>
      <c r="H877" s="7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ht="15.75" customHeight="1">
      <c r="A878" s="9"/>
      <c r="B878" s="9"/>
      <c r="C878" s="16"/>
      <c r="D878" s="16"/>
      <c r="E878" s="6"/>
      <c r="F878" s="6"/>
      <c r="G878" s="6"/>
      <c r="H878" s="7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ht="15.75" customHeight="1">
      <c r="A879" s="9"/>
      <c r="B879" s="9"/>
      <c r="C879" s="16"/>
      <c r="D879" s="16"/>
      <c r="E879" s="6"/>
      <c r="F879" s="6"/>
      <c r="G879" s="6"/>
      <c r="H879" s="7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ht="15.75" customHeight="1">
      <c r="A880" s="9"/>
      <c r="B880" s="9"/>
      <c r="C880" s="16"/>
      <c r="D880" s="16"/>
      <c r="E880" s="6"/>
      <c r="F880" s="6"/>
      <c r="G880" s="6"/>
      <c r="H880" s="7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ht="15.75" customHeight="1">
      <c r="A881" s="9"/>
      <c r="B881" s="9"/>
      <c r="C881" s="16"/>
      <c r="D881" s="16"/>
      <c r="E881" s="6"/>
      <c r="F881" s="6"/>
      <c r="G881" s="6"/>
      <c r="H881" s="7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ht="15.75" customHeight="1">
      <c r="A882" s="9"/>
      <c r="B882" s="9"/>
      <c r="C882" s="16"/>
      <c r="D882" s="16"/>
      <c r="E882" s="6"/>
      <c r="F882" s="6"/>
      <c r="G882" s="6"/>
      <c r="H882" s="7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ht="15.75" customHeight="1">
      <c r="A883" s="9"/>
      <c r="B883" s="9"/>
      <c r="C883" s="16"/>
      <c r="D883" s="16"/>
      <c r="E883" s="6"/>
      <c r="F883" s="6"/>
      <c r="G883" s="6"/>
      <c r="H883" s="7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ht="15.75" customHeight="1">
      <c r="A884" s="9"/>
      <c r="B884" s="9"/>
      <c r="C884" s="16"/>
      <c r="D884" s="16"/>
      <c r="E884" s="6"/>
      <c r="F884" s="6"/>
      <c r="G884" s="6"/>
      <c r="H884" s="7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ht="15.75" customHeight="1">
      <c r="A885" s="9"/>
      <c r="B885" s="9"/>
      <c r="C885" s="16"/>
      <c r="D885" s="16"/>
      <c r="E885" s="6"/>
      <c r="F885" s="6"/>
      <c r="G885" s="6"/>
      <c r="H885" s="7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ht="15.75" customHeight="1">
      <c r="A886" s="9"/>
      <c r="B886" s="9"/>
      <c r="C886" s="16"/>
      <c r="D886" s="16"/>
      <c r="E886" s="6"/>
      <c r="F886" s="6"/>
      <c r="G886" s="6"/>
      <c r="H886" s="7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ht="15.75" customHeight="1">
      <c r="A887" s="9"/>
      <c r="B887" s="9"/>
      <c r="C887" s="16"/>
      <c r="D887" s="16"/>
      <c r="E887" s="6"/>
      <c r="F887" s="6"/>
      <c r="G887" s="6"/>
      <c r="H887" s="7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ht="15.75" customHeight="1">
      <c r="A888" s="9"/>
      <c r="B888" s="9"/>
      <c r="C888" s="16"/>
      <c r="D888" s="16"/>
      <c r="E888" s="6"/>
      <c r="F888" s="6"/>
      <c r="G888" s="6"/>
      <c r="H888" s="7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ht="15.75" customHeight="1">
      <c r="A889" s="9"/>
      <c r="B889" s="9"/>
      <c r="C889" s="16"/>
      <c r="D889" s="16"/>
      <c r="E889" s="6"/>
      <c r="F889" s="6"/>
      <c r="G889" s="6"/>
      <c r="H889" s="7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ht="15.75" customHeight="1">
      <c r="A890" s="9"/>
      <c r="B890" s="9"/>
      <c r="C890" s="16"/>
      <c r="D890" s="16"/>
      <c r="E890" s="6"/>
      <c r="F890" s="6"/>
      <c r="G890" s="6"/>
      <c r="H890" s="7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ht="15.75" customHeight="1">
      <c r="A891" s="9"/>
      <c r="B891" s="9"/>
      <c r="C891" s="16"/>
      <c r="D891" s="16"/>
      <c r="E891" s="6"/>
      <c r="F891" s="6"/>
      <c r="G891" s="6"/>
      <c r="H891" s="7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ht="15.75" customHeight="1">
      <c r="A892" s="9"/>
      <c r="B892" s="9"/>
      <c r="C892" s="16"/>
      <c r="D892" s="16"/>
      <c r="E892" s="6"/>
      <c r="F892" s="6"/>
      <c r="G892" s="6"/>
      <c r="H892" s="7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ht="15.75" customHeight="1">
      <c r="A893" s="9"/>
      <c r="B893" s="9"/>
      <c r="C893" s="16"/>
      <c r="D893" s="16"/>
      <c r="E893" s="6"/>
      <c r="F893" s="6"/>
      <c r="G893" s="6"/>
      <c r="H893" s="7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ht="15.75" customHeight="1">
      <c r="A894" s="9"/>
      <c r="B894" s="9"/>
      <c r="C894" s="16"/>
      <c r="D894" s="16"/>
      <c r="E894" s="6"/>
      <c r="F894" s="6"/>
      <c r="G894" s="6"/>
      <c r="H894" s="7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ht="15.75" customHeight="1">
      <c r="A895" s="9"/>
      <c r="B895" s="9"/>
      <c r="C895" s="16"/>
      <c r="D895" s="16"/>
      <c r="E895" s="6"/>
      <c r="F895" s="6"/>
      <c r="G895" s="6"/>
      <c r="H895" s="7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ht="15.75" customHeight="1">
      <c r="A896" s="9"/>
      <c r="B896" s="9"/>
      <c r="C896" s="16"/>
      <c r="D896" s="16"/>
      <c r="E896" s="6"/>
      <c r="F896" s="6"/>
      <c r="G896" s="6"/>
      <c r="H896" s="7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ht="15.75" customHeight="1">
      <c r="A897" s="9"/>
      <c r="B897" s="9"/>
      <c r="C897" s="16"/>
      <c r="D897" s="16"/>
      <c r="E897" s="6"/>
      <c r="F897" s="6"/>
      <c r="G897" s="6"/>
      <c r="H897" s="7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ht="15.75" customHeight="1">
      <c r="A898" s="9"/>
      <c r="B898" s="9"/>
      <c r="C898" s="16"/>
      <c r="D898" s="16"/>
      <c r="E898" s="6"/>
      <c r="F898" s="6"/>
      <c r="G898" s="6"/>
      <c r="H898" s="7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ht="15.75" customHeight="1">
      <c r="A899" s="9"/>
      <c r="B899" s="9"/>
      <c r="C899" s="16"/>
      <c r="D899" s="16"/>
      <c r="E899" s="6"/>
      <c r="F899" s="6"/>
      <c r="G899" s="6"/>
      <c r="H899" s="7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ht="15.75" customHeight="1">
      <c r="A900" s="9"/>
      <c r="B900" s="9"/>
      <c r="C900" s="16"/>
      <c r="D900" s="16"/>
      <c r="E900" s="6"/>
      <c r="F900" s="6"/>
      <c r="G900" s="6"/>
      <c r="H900" s="7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ht="15.75" customHeight="1">
      <c r="A901" s="9"/>
      <c r="B901" s="9"/>
      <c r="C901" s="16"/>
      <c r="D901" s="16"/>
      <c r="E901" s="6"/>
      <c r="F901" s="6"/>
      <c r="G901" s="6"/>
      <c r="H901" s="7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ht="15.75" customHeight="1">
      <c r="A902" s="9"/>
      <c r="B902" s="9"/>
      <c r="C902" s="16"/>
      <c r="D902" s="16"/>
      <c r="E902" s="6"/>
      <c r="F902" s="6"/>
      <c r="G902" s="6"/>
      <c r="H902" s="7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ht="15.75" customHeight="1">
      <c r="A903" s="9"/>
      <c r="B903" s="9"/>
      <c r="C903" s="16"/>
      <c r="D903" s="16"/>
      <c r="E903" s="6"/>
      <c r="F903" s="6"/>
      <c r="G903" s="6"/>
      <c r="H903" s="7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ht="15.75" customHeight="1">
      <c r="A904" s="9"/>
      <c r="B904" s="9"/>
      <c r="C904" s="16"/>
      <c r="D904" s="16"/>
      <c r="E904" s="6"/>
      <c r="F904" s="6"/>
      <c r="G904" s="6"/>
      <c r="H904" s="7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ht="15.75" customHeight="1">
      <c r="A905" s="9"/>
      <c r="B905" s="9"/>
      <c r="C905" s="16"/>
      <c r="D905" s="16"/>
      <c r="E905" s="6"/>
      <c r="F905" s="6"/>
      <c r="G905" s="6"/>
      <c r="H905" s="7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ht="15.75" customHeight="1">
      <c r="A906" s="9"/>
      <c r="B906" s="9"/>
      <c r="C906" s="16"/>
      <c r="D906" s="16"/>
      <c r="E906" s="6"/>
      <c r="F906" s="6"/>
      <c r="G906" s="6"/>
      <c r="H906" s="7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ht="15.75" customHeight="1">
      <c r="A907" s="9"/>
      <c r="B907" s="9"/>
      <c r="C907" s="16"/>
      <c r="D907" s="16"/>
      <c r="E907" s="6"/>
      <c r="F907" s="6"/>
      <c r="G907" s="6"/>
      <c r="H907" s="7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ht="15.75" customHeight="1">
      <c r="A908" s="9"/>
      <c r="B908" s="9"/>
      <c r="C908" s="16"/>
      <c r="D908" s="16"/>
      <c r="E908" s="6"/>
      <c r="F908" s="6"/>
      <c r="G908" s="6"/>
      <c r="H908" s="7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ht="15.75" customHeight="1">
      <c r="A909" s="9"/>
      <c r="B909" s="9"/>
      <c r="C909" s="16"/>
      <c r="D909" s="16"/>
      <c r="E909" s="6"/>
      <c r="F909" s="6"/>
      <c r="G909" s="6"/>
      <c r="H909" s="7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ht="15.75" customHeight="1">
      <c r="A910" s="9"/>
      <c r="B910" s="9"/>
      <c r="C910" s="16"/>
      <c r="D910" s="16"/>
      <c r="E910" s="6"/>
      <c r="F910" s="6"/>
      <c r="G910" s="6"/>
      <c r="H910" s="7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ht="15.75" customHeight="1">
      <c r="A911" s="9"/>
      <c r="B911" s="9"/>
      <c r="C911" s="16"/>
      <c r="D911" s="16"/>
      <c r="E911" s="6"/>
      <c r="F911" s="6"/>
      <c r="G911" s="6"/>
      <c r="H911" s="7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ht="15.75" customHeight="1">
      <c r="A912" s="9"/>
      <c r="B912" s="9"/>
      <c r="C912" s="16"/>
      <c r="D912" s="16"/>
      <c r="E912" s="6"/>
      <c r="F912" s="6"/>
      <c r="G912" s="6"/>
      <c r="H912" s="7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ht="15.75" customHeight="1">
      <c r="A913" s="9"/>
      <c r="B913" s="9"/>
      <c r="C913" s="16"/>
      <c r="D913" s="16"/>
      <c r="E913" s="6"/>
      <c r="F913" s="6"/>
      <c r="G913" s="6"/>
      <c r="H913" s="7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ht="15.75" customHeight="1">
      <c r="A914" s="9"/>
      <c r="B914" s="9"/>
      <c r="C914" s="16"/>
      <c r="D914" s="16"/>
      <c r="E914" s="6"/>
      <c r="F914" s="6"/>
      <c r="G914" s="6"/>
      <c r="H914" s="7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ht="15.75" customHeight="1">
      <c r="A915" s="9"/>
      <c r="B915" s="9"/>
      <c r="C915" s="16"/>
      <c r="D915" s="16"/>
      <c r="E915" s="6"/>
      <c r="F915" s="6"/>
      <c r="G915" s="6"/>
      <c r="H915" s="7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ht="15.75" customHeight="1">
      <c r="A916" s="9"/>
      <c r="B916" s="9"/>
      <c r="C916" s="16"/>
      <c r="D916" s="16"/>
      <c r="E916" s="6"/>
      <c r="F916" s="6"/>
      <c r="G916" s="6"/>
      <c r="H916" s="7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ht="15.75" customHeight="1">
      <c r="A917" s="9"/>
      <c r="B917" s="9"/>
      <c r="C917" s="16"/>
      <c r="D917" s="16"/>
      <c r="E917" s="6"/>
      <c r="F917" s="6"/>
      <c r="G917" s="6"/>
      <c r="H917" s="7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ht="15.75" customHeight="1">
      <c r="A918" s="9"/>
      <c r="B918" s="9"/>
      <c r="C918" s="16"/>
      <c r="D918" s="16"/>
      <c r="E918" s="6"/>
      <c r="F918" s="6"/>
      <c r="G918" s="6"/>
      <c r="H918" s="7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ht="15.75" customHeight="1">
      <c r="A919" s="9"/>
      <c r="B919" s="9"/>
      <c r="C919" s="16"/>
      <c r="D919" s="16"/>
      <c r="E919" s="6"/>
      <c r="F919" s="6"/>
      <c r="G919" s="6"/>
      <c r="H919" s="7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ht="15.75" customHeight="1">
      <c r="A920" s="9"/>
      <c r="B920" s="9"/>
      <c r="C920" s="16"/>
      <c r="D920" s="16"/>
      <c r="E920" s="6"/>
      <c r="F920" s="6"/>
      <c r="G920" s="6"/>
      <c r="H920" s="7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ht="15.75" customHeight="1">
      <c r="A921" s="9"/>
      <c r="B921" s="9"/>
      <c r="C921" s="16"/>
      <c r="D921" s="16"/>
      <c r="E921" s="6"/>
      <c r="F921" s="6"/>
      <c r="G921" s="6"/>
      <c r="H921" s="7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ht="15.75" customHeight="1">
      <c r="A922" s="9"/>
      <c r="B922" s="9"/>
      <c r="C922" s="16"/>
      <c r="D922" s="16"/>
      <c r="E922" s="6"/>
      <c r="F922" s="6"/>
      <c r="G922" s="6"/>
      <c r="H922" s="7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ht="15.75" customHeight="1">
      <c r="A923" s="9"/>
      <c r="B923" s="9"/>
      <c r="C923" s="16"/>
      <c r="D923" s="16"/>
      <c r="E923" s="6"/>
      <c r="F923" s="6"/>
      <c r="G923" s="6"/>
      <c r="H923" s="7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ht="15.75" customHeight="1">
      <c r="A924" s="9"/>
      <c r="B924" s="9"/>
      <c r="C924" s="16"/>
      <c r="D924" s="16"/>
      <c r="E924" s="6"/>
      <c r="F924" s="6"/>
      <c r="G924" s="6"/>
      <c r="H924" s="7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ht="15.75" customHeight="1">
      <c r="A925" s="9"/>
      <c r="B925" s="9"/>
      <c r="C925" s="16"/>
      <c r="D925" s="16"/>
      <c r="E925" s="6"/>
      <c r="F925" s="6"/>
      <c r="G925" s="6"/>
      <c r="H925" s="7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ht="15.75" customHeight="1">
      <c r="A926" s="9"/>
      <c r="B926" s="9"/>
      <c r="C926" s="16"/>
      <c r="D926" s="16"/>
      <c r="E926" s="6"/>
      <c r="F926" s="6"/>
      <c r="G926" s="6"/>
      <c r="H926" s="7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ht="15.75" customHeight="1">
      <c r="A927" s="9"/>
      <c r="B927" s="9"/>
      <c r="C927" s="16"/>
      <c r="D927" s="16"/>
      <c r="E927" s="6"/>
      <c r="F927" s="6"/>
      <c r="G927" s="6"/>
      <c r="H927" s="7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ht="15.75" customHeight="1">
      <c r="A928" s="9"/>
      <c r="B928" s="9"/>
      <c r="C928" s="16"/>
      <c r="D928" s="16"/>
      <c r="E928" s="6"/>
      <c r="F928" s="6"/>
      <c r="G928" s="6"/>
      <c r="H928" s="7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ht="15.75" customHeight="1">
      <c r="A929" s="9"/>
      <c r="B929" s="9"/>
      <c r="C929" s="16"/>
      <c r="D929" s="16"/>
      <c r="E929" s="6"/>
      <c r="F929" s="6"/>
      <c r="G929" s="6"/>
      <c r="H929" s="7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ht="15.75" customHeight="1">
      <c r="A930" s="9"/>
      <c r="B930" s="9"/>
      <c r="C930" s="16"/>
      <c r="D930" s="16"/>
      <c r="E930" s="6"/>
      <c r="F930" s="6"/>
      <c r="G930" s="6"/>
      <c r="H930" s="7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ht="15.75" customHeight="1">
      <c r="A931" s="9"/>
      <c r="B931" s="9"/>
      <c r="C931" s="16"/>
      <c r="D931" s="16"/>
      <c r="E931" s="6"/>
      <c r="F931" s="6"/>
      <c r="G931" s="6"/>
      <c r="H931" s="7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ht="15.75" customHeight="1">
      <c r="A932" s="9"/>
      <c r="B932" s="9"/>
      <c r="C932" s="16"/>
      <c r="D932" s="16"/>
      <c r="E932" s="6"/>
      <c r="F932" s="6"/>
      <c r="G932" s="6"/>
      <c r="H932" s="7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ht="15.75" customHeight="1">
      <c r="A933" s="9"/>
      <c r="B933" s="9"/>
      <c r="C933" s="16"/>
      <c r="D933" s="16"/>
      <c r="E933" s="6"/>
      <c r="F933" s="6"/>
      <c r="G933" s="6"/>
      <c r="H933" s="7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ht="15.75" customHeight="1">
      <c r="A934" s="9"/>
      <c r="B934" s="9"/>
      <c r="C934" s="16"/>
      <c r="D934" s="16"/>
      <c r="E934" s="6"/>
      <c r="F934" s="6"/>
      <c r="G934" s="6"/>
      <c r="H934" s="7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ht="15.75" customHeight="1">
      <c r="A935" s="9"/>
      <c r="B935" s="9"/>
      <c r="C935" s="16"/>
      <c r="D935" s="16"/>
      <c r="E935" s="6"/>
      <c r="F935" s="6"/>
      <c r="G935" s="6"/>
      <c r="H935" s="7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ht="15.75" customHeight="1">
      <c r="A936" s="9"/>
      <c r="B936" s="9"/>
      <c r="C936" s="16"/>
      <c r="D936" s="16"/>
      <c r="E936" s="6"/>
      <c r="F936" s="6"/>
      <c r="G936" s="6"/>
      <c r="H936" s="7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ht="15.75" customHeight="1">
      <c r="A937" s="9"/>
      <c r="B937" s="9"/>
      <c r="C937" s="16"/>
      <c r="D937" s="16"/>
      <c r="E937" s="6"/>
      <c r="F937" s="6"/>
      <c r="G937" s="6"/>
      <c r="H937" s="7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ht="15.75" customHeight="1">
      <c r="A938" s="9"/>
      <c r="B938" s="9"/>
      <c r="C938" s="16"/>
      <c r="D938" s="16"/>
      <c r="E938" s="6"/>
      <c r="F938" s="6"/>
      <c r="G938" s="6"/>
      <c r="H938" s="7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ht="15.75" customHeight="1">
      <c r="A939" s="9"/>
      <c r="B939" s="9"/>
      <c r="C939" s="16"/>
      <c r="D939" s="16"/>
      <c r="E939" s="6"/>
      <c r="F939" s="6"/>
      <c r="G939" s="6"/>
      <c r="H939" s="7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ht="15.75" customHeight="1">
      <c r="A940" s="9"/>
      <c r="B940" s="9"/>
      <c r="C940" s="16"/>
      <c r="D940" s="16"/>
      <c r="E940" s="6"/>
      <c r="F940" s="6"/>
      <c r="G940" s="6"/>
      <c r="H940" s="7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ht="15.75" customHeight="1">
      <c r="A941" s="9"/>
      <c r="B941" s="9"/>
      <c r="C941" s="16"/>
      <c r="D941" s="16"/>
      <c r="E941" s="6"/>
      <c r="F941" s="6"/>
      <c r="G941" s="6"/>
      <c r="H941" s="7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ht="15.75" customHeight="1">
      <c r="A942" s="9"/>
      <c r="B942" s="9"/>
      <c r="C942" s="16"/>
      <c r="D942" s="16"/>
      <c r="E942" s="6"/>
      <c r="F942" s="6"/>
      <c r="G942" s="6"/>
      <c r="H942" s="7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ht="15.75" customHeight="1">
      <c r="A943" s="9"/>
      <c r="B943" s="9"/>
      <c r="C943" s="16"/>
      <c r="D943" s="16"/>
      <c r="E943" s="6"/>
      <c r="F943" s="6"/>
      <c r="G943" s="6"/>
      <c r="H943" s="7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ht="15.75" customHeight="1">
      <c r="A944" s="9"/>
      <c r="B944" s="9"/>
      <c r="C944" s="16"/>
      <c r="D944" s="16"/>
      <c r="E944" s="6"/>
      <c r="F944" s="6"/>
      <c r="G944" s="6"/>
      <c r="H944" s="7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ht="15.75" customHeight="1">
      <c r="A945" s="9"/>
      <c r="B945" s="9"/>
      <c r="C945" s="16"/>
      <c r="D945" s="16"/>
      <c r="E945" s="6"/>
      <c r="F945" s="6"/>
      <c r="G945" s="6"/>
      <c r="H945" s="7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ht="15.75" customHeight="1">
      <c r="A946" s="9"/>
      <c r="B946" s="9"/>
      <c r="C946" s="16"/>
      <c r="D946" s="16"/>
      <c r="E946" s="6"/>
      <c r="F946" s="6"/>
      <c r="G946" s="6"/>
      <c r="H946" s="7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ht="15.75" customHeight="1">
      <c r="A947" s="9"/>
      <c r="B947" s="9"/>
      <c r="C947" s="16"/>
      <c r="D947" s="16"/>
      <c r="E947" s="6"/>
      <c r="F947" s="6"/>
      <c r="G947" s="6"/>
      <c r="H947" s="7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ht="15.75" customHeight="1">
      <c r="A948" s="9"/>
      <c r="B948" s="9"/>
      <c r="C948" s="16"/>
      <c r="D948" s="16"/>
      <c r="E948" s="6"/>
      <c r="F948" s="6"/>
      <c r="G948" s="6"/>
      <c r="H948" s="7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ht="15.75" customHeight="1">
      <c r="A949" s="9"/>
      <c r="B949" s="9"/>
      <c r="C949" s="16"/>
      <c r="D949" s="16"/>
      <c r="E949" s="6"/>
      <c r="F949" s="6"/>
      <c r="G949" s="6"/>
      <c r="H949" s="7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ht="15.75" customHeight="1">
      <c r="A950" s="9"/>
      <c r="B950" s="9"/>
      <c r="C950" s="16"/>
      <c r="D950" s="16"/>
      <c r="E950" s="6"/>
      <c r="F950" s="6"/>
      <c r="G950" s="6"/>
      <c r="H950" s="7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ht="15.75" customHeight="1">
      <c r="A951" s="9"/>
      <c r="B951" s="9"/>
      <c r="C951" s="16"/>
      <c r="D951" s="16"/>
      <c r="E951" s="6"/>
      <c r="F951" s="6"/>
      <c r="G951" s="6"/>
      <c r="H951" s="7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ht="15.75" customHeight="1">
      <c r="A952" s="9"/>
      <c r="B952" s="9"/>
      <c r="C952" s="16"/>
      <c r="D952" s="16"/>
      <c r="E952" s="6"/>
      <c r="F952" s="6"/>
      <c r="G952" s="6"/>
      <c r="H952" s="7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ht="15.75" customHeight="1">
      <c r="A953" s="9"/>
      <c r="B953" s="9"/>
      <c r="C953" s="16"/>
      <c r="D953" s="16"/>
      <c r="E953" s="6"/>
      <c r="F953" s="6"/>
      <c r="G953" s="6"/>
      <c r="H953" s="7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ht="15.75" customHeight="1">
      <c r="A954" s="9"/>
      <c r="B954" s="9"/>
      <c r="C954" s="16"/>
      <c r="D954" s="16"/>
      <c r="E954" s="6"/>
      <c r="F954" s="6"/>
      <c r="G954" s="6"/>
      <c r="H954" s="7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ht="15.75" customHeight="1">
      <c r="A955" s="9"/>
      <c r="B955" s="9"/>
      <c r="C955" s="16"/>
      <c r="D955" s="16"/>
      <c r="E955" s="6"/>
      <c r="F955" s="6"/>
      <c r="G955" s="6"/>
      <c r="H955" s="7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ht="15.75" customHeight="1">
      <c r="A956" s="9"/>
      <c r="B956" s="9"/>
      <c r="C956" s="16"/>
      <c r="D956" s="16"/>
      <c r="E956" s="6"/>
      <c r="F956" s="6"/>
      <c r="G956" s="6"/>
      <c r="H956" s="7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ht="15.75" customHeight="1">
      <c r="A957" s="9"/>
      <c r="B957" s="9"/>
      <c r="C957" s="16"/>
      <c r="D957" s="16"/>
      <c r="E957" s="6"/>
      <c r="F957" s="6"/>
      <c r="G957" s="6"/>
      <c r="H957" s="7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ht="15.75" customHeight="1">
      <c r="A958" s="9"/>
      <c r="B958" s="9"/>
      <c r="C958" s="16"/>
      <c r="D958" s="16"/>
      <c r="E958" s="6"/>
      <c r="F958" s="6"/>
      <c r="G958" s="6"/>
      <c r="H958" s="7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ht="15.75" customHeight="1">
      <c r="A959" s="9"/>
      <c r="B959" s="9"/>
      <c r="C959" s="16"/>
      <c r="D959" s="16"/>
      <c r="E959" s="6"/>
      <c r="F959" s="6"/>
      <c r="G959" s="6"/>
      <c r="H959" s="7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ht="15.75" customHeight="1">
      <c r="A960" s="9"/>
      <c r="B960" s="9"/>
      <c r="C960" s="16"/>
      <c r="D960" s="16"/>
      <c r="E960" s="6"/>
      <c r="F960" s="6"/>
      <c r="G960" s="6"/>
      <c r="H960" s="7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ht="15.75" customHeight="1">
      <c r="A961" s="9"/>
      <c r="B961" s="9"/>
      <c r="C961" s="16"/>
      <c r="D961" s="16"/>
      <c r="E961" s="6"/>
      <c r="F961" s="6"/>
      <c r="G961" s="6"/>
      <c r="H961" s="7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ht="15.75" customHeight="1">
      <c r="A962" s="9"/>
      <c r="B962" s="9"/>
      <c r="C962" s="16"/>
      <c r="D962" s="16"/>
      <c r="E962" s="6"/>
      <c r="F962" s="6"/>
      <c r="G962" s="6"/>
      <c r="H962" s="7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ht="15.75" customHeight="1">
      <c r="A963" s="9"/>
      <c r="B963" s="9"/>
      <c r="C963" s="16"/>
      <c r="D963" s="16"/>
      <c r="E963" s="6"/>
      <c r="F963" s="6"/>
      <c r="G963" s="6"/>
      <c r="H963" s="7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ht="15.75" customHeight="1">
      <c r="A964" s="9"/>
      <c r="B964" s="9"/>
      <c r="C964" s="16"/>
      <c r="D964" s="16"/>
      <c r="E964" s="6"/>
      <c r="F964" s="6"/>
      <c r="G964" s="6"/>
      <c r="H964" s="7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ht="15.75" customHeight="1">
      <c r="A965" s="9"/>
      <c r="B965" s="9"/>
      <c r="C965" s="16"/>
      <c r="D965" s="16"/>
      <c r="E965" s="6"/>
      <c r="F965" s="6"/>
      <c r="G965" s="6"/>
      <c r="H965" s="7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ht="15.75" customHeight="1">
      <c r="A966" s="9"/>
      <c r="B966" s="9"/>
      <c r="C966" s="16"/>
      <c r="D966" s="16"/>
      <c r="E966" s="6"/>
      <c r="F966" s="6"/>
      <c r="G966" s="6"/>
      <c r="H966" s="7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ht="15.75" customHeight="1">
      <c r="A967" s="9"/>
      <c r="B967" s="9"/>
      <c r="C967" s="16"/>
      <c r="D967" s="16"/>
      <c r="E967" s="6"/>
      <c r="F967" s="6"/>
      <c r="G967" s="6"/>
      <c r="H967" s="7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ht="15.75" customHeight="1">
      <c r="A968" s="9"/>
      <c r="B968" s="9"/>
      <c r="C968" s="16"/>
      <c r="D968" s="16"/>
      <c r="E968" s="6"/>
      <c r="F968" s="6"/>
      <c r="G968" s="6"/>
      <c r="H968" s="7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ht="15.75" customHeight="1">
      <c r="A969" s="9"/>
      <c r="B969" s="9"/>
      <c r="C969" s="16"/>
      <c r="D969" s="16"/>
      <c r="E969" s="6"/>
      <c r="F969" s="6"/>
      <c r="G969" s="6"/>
      <c r="H969" s="7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ht="15.75" customHeight="1">
      <c r="A970" s="9"/>
      <c r="B970" s="9"/>
      <c r="C970" s="16"/>
      <c r="D970" s="16"/>
      <c r="E970" s="6"/>
      <c r="F970" s="6"/>
      <c r="G970" s="6"/>
      <c r="H970" s="7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ht="15.75" customHeight="1">
      <c r="A971" s="9"/>
      <c r="B971" s="9"/>
      <c r="C971" s="16"/>
      <c r="D971" s="16"/>
      <c r="E971" s="6"/>
      <c r="F971" s="6"/>
      <c r="G971" s="6"/>
      <c r="H971" s="7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ht="15.75" customHeight="1">
      <c r="A972" s="9"/>
      <c r="B972" s="9"/>
      <c r="C972" s="16"/>
      <c r="D972" s="16"/>
      <c r="E972" s="6"/>
      <c r="F972" s="6"/>
      <c r="G972" s="6"/>
      <c r="H972" s="7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ht="15.75" customHeight="1">
      <c r="A973" s="9"/>
      <c r="B973" s="9"/>
      <c r="C973" s="16"/>
      <c r="D973" s="16"/>
      <c r="E973" s="6"/>
      <c r="F973" s="6"/>
      <c r="G973" s="6"/>
      <c r="H973" s="7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ht="15.75" customHeight="1">
      <c r="A974" s="9"/>
      <c r="B974" s="9"/>
      <c r="C974" s="16"/>
      <c r="D974" s="16"/>
      <c r="E974" s="6"/>
      <c r="F974" s="6"/>
      <c r="G974" s="6"/>
      <c r="H974" s="7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ht="15.75" customHeight="1">
      <c r="A975" s="9"/>
      <c r="B975" s="9"/>
      <c r="C975" s="16"/>
      <c r="D975" s="16"/>
      <c r="E975" s="6"/>
      <c r="F975" s="6"/>
      <c r="G975" s="6"/>
      <c r="H975" s="7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ht="15.75" customHeight="1">
      <c r="A976" s="9"/>
      <c r="B976" s="9"/>
      <c r="C976" s="16"/>
      <c r="D976" s="16"/>
      <c r="E976" s="6"/>
      <c r="F976" s="6"/>
      <c r="G976" s="6"/>
      <c r="H976" s="7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ht="15.75" customHeight="1">
      <c r="A977" s="9"/>
      <c r="B977" s="9"/>
      <c r="C977" s="16"/>
      <c r="D977" s="16"/>
      <c r="E977" s="6"/>
      <c r="F977" s="6"/>
      <c r="G977" s="6"/>
      <c r="H977" s="7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ht="15.75" customHeight="1">
      <c r="A978" s="9"/>
      <c r="B978" s="9"/>
      <c r="C978" s="16"/>
      <c r="D978" s="16"/>
      <c r="E978" s="6"/>
      <c r="F978" s="6"/>
      <c r="G978" s="6"/>
      <c r="H978" s="7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ht="15.75" customHeight="1">
      <c r="A979" s="9"/>
      <c r="B979" s="9"/>
      <c r="C979" s="16"/>
      <c r="D979" s="16"/>
      <c r="E979" s="6"/>
      <c r="F979" s="6"/>
      <c r="G979" s="6"/>
      <c r="H979" s="7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ht="15.75" customHeight="1">
      <c r="A980" s="9"/>
      <c r="B980" s="9"/>
      <c r="C980" s="16"/>
      <c r="D980" s="16"/>
      <c r="E980" s="6"/>
      <c r="F980" s="6"/>
      <c r="G980" s="6"/>
      <c r="H980" s="7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ht="15.75" customHeight="1">
      <c r="A981" s="9"/>
      <c r="B981" s="9"/>
      <c r="C981" s="16"/>
      <c r="D981" s="16"/>
      <c r="E981" s="6"/>
      <c r="F981" s="6"/>
      <c r="G981" s="6"/>
      <c r="H981" s="7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</sheetData>
  <mergeCells count="3">
    <mergeCell ref="B7:C7"/>
    <mergeCell ref="E7:J7"/>
    <mergeCell ref="K7:L7"/>
  </mergeCells>
  <conditionalFormatting sqref="I9:I723 J202">
    <cfRule type="cellIs" dxfId="0" priority="1" operator="greaterThanOrEqual">
      <formula>0.3</formula>
    </cfRule>
  </conditionalFormatting>
  <conditionalFormatting sqref="I9:I723 J202">
    <cfRule type="cellIs" dxfId="1" priority="2" operator="greaterThan">
      <formula>0.3</formula>
    </cfRule>
  </conditionalFormatting>
  <conditionalFormatting sqref="I9:I723 J202">
    <cfRule type="cellIs" dxfId="2" priority="3" operator="greaterThanOrEqual">
      <formula>0.3</formula>
    </cfRule>
  </conditionalFormatting>
  <conditionalFormatting sqref="J9:J74 J76:J423 J425:J557 J559:J561 J566:J698 J701:J723">
    <cfRule type="cellIs" dxfId="3" priority="4" operator="between">
      <formula>35</formula>
      <formula>1000</formula>
    </cfRule>
  </conditionalFormatting>
  <conditionalFormatting sqref="J9:J74 J76:J423 J425:J557 J559:J561 J566:J698 J701:J723">
    <cfRule type="cellIs" dxfId="3" priority="5" operator="between">
      <formula>0.35</formula>
      <formula>10</formula>
    </cfRule>
  </conditionalFormatting>
  <dataValidations>
    <dataValidation type="list" allowBlank="1" showErrorMessage="1" sqref="B1:D1">
      <formula1>campos</formula1>
    </dataValidation>
  </dataValidations>
  <printOptions/>
  <pageMargins bottom="0.7875" footer="0.0" header="0.0" left="0.511805555555556" right="0.511805555555556" top="0.78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2015-10-27T18:59:45Z</dcterms:created>
  <dc:creator>Luciano</dc:creator>
</cp:coreProperties>
</file>